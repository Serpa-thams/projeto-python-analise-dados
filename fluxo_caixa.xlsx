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Projetos_thami\projeto-python-analise-dados\"/>
    </mc:Choice>
  </mc:AlternateContent>
  <xr:revisionPtr revIDLastSave="0" documentId="8_{6ED40424-BB48-4F2E-95E6-6F6C07541018}" xr6:coauthVersionLast="47" xr6:coauthVersionMax="47" xr10:uidLastSave="{00000000-0000-0000-0000-000000000000}"/>
  <bookViews>
    <workbookView xWindow="16140" yWindow="0" windowWidth="22365" windowHeight="20985" activeTab="1" xr2:uid="{00000000-000D-0000-FFFF-FFFF00000000}"/>
  </bookViews>
  <sheets>
    <sheet name="Dados" sheetId="1" r:id="rId1"/>
    <sheet name="Planilha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W4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4" i="2"/>
  <c r="I4" i="2"/>
  <c r="T4" i="2" s="1"/>
  <c r="I5" i="2"/>
  <c r="T5" i="2" s="1"/>
  <c r="I6" i="2"/>
  <c r="T6" i="2" s="1"/>
  <c r="I7" i="2"/>
  <c r="T7" i="2" s="1"/>
  <c r="I8" i="2"/>
  <c r="T8" i="2" s="1"/>
  <c r="I9" i="2"/>
  <c r="T9" i="2" s="1"/>
  <c r="I10" i="2"/>
  <c r="T10" i="2" s="1"/>
  <c r="I11" i="2"/>
  <c r="T11" i="2" s="1"/>
  <c r="I12" i="2"/>
  <c r="T12" i="2" s="1"/>
  <c r="I13" i="2"/>
  <c r="T13" i="2" s="1"/>
  <c r="I14" i="2"/>
  <c r="T14" i="2" s="1"/>
  <c r="I15" i="2"/>
  <c r="T15" i="2" s="1"/>
  <c r="I16" i="2"/>
  <c r="T16" i="2" s="1"/>
  <c r="I17" i="2"/>
  <c r="T17" i="2" s="1"/>
  <c r="I18" i="2"/>
  <c r="T18" i="2" s="1"/>
  <c r="I19" i="2"/>
  <c r="T19" i="2" s="1"/>
  <c r="I20" i="2"/>
  <c r="T20" i="2" s="1"/>
  <c r="I21" i="2"/>
  <c r="T21" i="2" s="1"/>
  <c r="I22" i="2"/>
  <c r="T22" i="2" s="1"/>
  <c r="I23" i="2"/>
  <c r="T23" i="2" s="1"/>
  <c r="I24" i="2"/>
  <c r="T24" i="2" s="1"/>
  <c r="I25" i="2"/>
  <c r="T25" i="2" s="1"/>
  <c r="I26" i="2"/>
  <c r="T26" i="2" s="1"/>
  <c r="I27" i="2"/>
  <c r="T27" i="2" s="1"/>
  <c r="I28" i="2"/>
  <c r="T28" i="2" s="1"/>
  <c r="I29" i="2"/>
  <c r="T29" i="2" s="1"/>
  <c r="I30" i="2"/>
  <c r="T30" i="2" s="1"/>
  <c r="I31" i="2"/>
  <c r="T31" i="2" s="1"/>
  <c r="I32" i="2"/>
  <c r="T32" i="2" s="1"/>
  <c r="I33" i="2"/>
  <c r="T33" i="2" s="1"/>
  <c r="I34" i="2"/>
  <c r="T34" i="2" s="1"/>
  <c r="I35" i="2"/>
  <c r="T35" i="2" s="1"/>
  <c r="I36" i="2"/>
  <c r="T36" i="2" s="1"/>
  <c r="I37" i="2"/>
  <c r="T37" i="2" s="1"/>
  <c r="I38" i="2"/>
  <c r="T38" i="2" s="1"/>
  <c r="I39" i="2"/>
  <c r="T39" i="2" s="1"/>
  <c r="I40" i="2"/>
  <c r="T40" i="2" s="1"/>
  <c r="I41" i="2"/>
  <c r="T41" i="2" s="1"/>
  <c r="I42" i="2"/>
  <c r="T42" i="2" s="1"/>
  <c r="I43" i="2"/>
  <c r="T43" i="2" s="1"/>
  <c r="I44" i="2"/>
  <c r="T44" i="2" s="1"/>
  <c r="I45" i="2"/>
  <c r="T45" i="2" s="1"/>
  <c r="I46" i="2"/>
  <c r="T46" i="2" s="1"/>
  <c r="I47" i="2"/>
  <c r="T47" i="2" s="1"/>
  <c r="I48" i="2"/>
  <c r="T48" i="2" s="1"/>
  <c r="I49" i="2"/>
  <c r="T49" i="2" s="1"/>
  <c r="I50" i="2"/>
  <c r="T50" i="2" s="1"/>
  <c r="I51" i="2"/>
  <c r="T51" i="2" s="1"/>
  <c r="I52" i="2"/>
  <c r="T52" i="2" s="1"/>
  <c r="I53" i="2"/>
  <c r="T53" i="2" s="1"/>
  <c r="I54" i="2"/>
  <c r="T54" i="2" s="1"/>
  <c r="I55" i="2"/>
  <c r="T55" i="2" s="1"/>
  <c r="I56" i="2"/>
  <c r="T56" i="2" s="1"/>
  <c r="I57" i="2"/>
  <c r="T57" i="2" s="1"/>
  <c r="I58" i="2"/>
  <c r="T58" i="2" s="1"/>
  <c r="I59" i="2"/>
  <c r="T59" i="2" s="1"/>
  <c r="I60" i="2"/>
  <c r="T60" i="2" s="1"/>
  <c r="I61" i="2"/>
  <c r="T61" i="2" s="1"/>
  <c r="I62" i="2"/>
  <c r="T62" i="2" s="1"/>
  <c r="I63" i="2"/>
  <c r="T63" i="2" s="1"/>
  <c r="I64" i="2"/>
  <c r="T64" i="2" s="1"/>
  <c r="I65" i="2"/>
  <c r="T65" i="2" s="1"/>
  <c r="I66" i="2"/>
  <c r="T66" i="2" s="1"/>
  <c r="I67" i="2"/>
  <c r="T67" i="2" s="1"/>
  <c r="I68" i="2"/>
  <c r="T68" i="2" s="1"/>
  <c r="I69" i="2"/>
  <c r="T69" i="2" s="1"/>
  <c r="I70" i="2"/>
  <c r="T70" i="2" s="1"/>
  <c r="I71" i="2"/>
  <c r="T71" i="2" s="1"/>
  <c r="I72" i="2"/>
  <c r="T72" i="2" s="1"/>
  <c r="I73" i="2"/>
  <c r="T73" i="2" s="1"/>
  <c r="I74" i="2"/>
  <c r="T74" i="2" s="1"/>
  <c r="I75" i="2"/>
  <c r="T75" i="2" s="1"/>
  <c r="I76" i="2"/>
  <c r="T76" i="2" s="1"/>
  <c r="I77" i="2"/>
  <c r="T77" i="2" s="1"/>
  <c r="I78" i="2"/>
  <c r="T78" i="2" s="1"/>
  <c r="I79" i="2"/>
  <c r="T79" i="2" s="1"/>
  <c r="I80" i="2"/>
  <c r="T80" i="2" s="1"/>
  <c r="I81" i="2"/>
  <c r="T81" i="2" s="1"/>
  <c r="I82" i="2"/>
  <c r="T82" i="2" s="1"/>
  <c r="I83" i="2"/>
  <c r="T83" i="2" s="1"/>
  <c r="I84" i="2"/>
  <c r="T84" i="2" s="1"/>
  <c r="I85" i="2"/>
  <c r="T85" i="2" s="1"/>
  <c r="I86" i="2"/>
  <c r="T86" i="2" s="1"/>
  <c r="I87" i="2"/>
  <c r="T87" i="2" s="1"/>
  <c r="I88" i="2"/>
  <c r="T88" i="2" s="1"/>
  <c r="I89" i="2"/>
  <c r="T89" i="2" s="1"/>
  <c r="I90" i="2"/>
  <c r="T90" i="2" s="1"/>
  <c r="I91" i="2"/>
  <c r="T91" i="2" s="1"/>
  <c r="I92" i="2"/>
  <c r="T92" i="2" s="1"/>
  <c r="I93" i="2"/>
  <c r="T93" i="2" s="1"/>
  <c r="I94" i="2"/>
  <c r="T94" i="2" s="1"/>
  <c r="I95" i="2"/>
  <c r="T95" i="2" s="1"/>
  <c r="I96" i="2"/>
  <c r="T96" i="2" s="1"/>
  <c r="I97" i="2"/>
  <c r="T97" i="2" s="1"/>
  <c r="I98" i="2"/>
  <c r="T98" i="2" s="1"/>
  <c r="I99" i="2"/>
  <c r="T99" i="2" s="1"/>
  <c r="I100" i="2"/>
  <c r="T100" i="2" s="1"/>
  <c r="I101" i="2"/>
  <c r="T101" i="2" s="1"/>
  <c r="I102" i="2"/>
  <c r="T102" i="2" s="1"/>
  <c r="I103" i="2"/>
  <c r="T103" i="2" s="1"/>
  <c r="I104" i="2"/>
  <c r="T104" i="2" s="1"/>
  <c r="I105" i="2"/>
  <c r="T105" i="2" s="1"/>
  <c r="I106" i="2"/>
  <c r="T106" i="2" s="1"/>
  <c r="I107" i="2"/>
  <c r="T107" i="2" s="1"/>
  <c r="I108" i="2"/>
  <c r="T108" i="2" s="1"/>
  <c r="I109" i="2"/>
  <c r="T109" i="2" s="1"/>
  <c r="I110" i="2"/>
  <c r="T110" i="2" s="1"/>
  <c r="I111" i="2"/>
  <c r="T111" i="2" s="1"/>
  <c r="I112" i="2"/>
  <c r="T112" i="2" s="1"/>
  <c r="I113" i="2"/>
  <c r="T113" i="2" s="1"/>
  <c r="I114" i="2"/>
  <c r="T114" i="2" s="1"/>
  <c r="I115" i="2"/>
  <c r="T115" i="2" s="1"/>
  <c r="I116" i="2"/>
  <c r="T116" i="2" s="1"/>
  <c r="I117" i="2"/>
  <c r="T117" i="2" s="1"/>
  <c r="I118" i="2"/>
  <c r="T118" i="2" s="1"/>
  <c r="I119" i="2"/>
  <c r="T119" i="2" s="1"/>
  <c r="I120" i="2"/>
  <c r="T120" i="2" s="1"/>
  <c r="I121" i="2"/>
  <c r="T121" i="2" s="1"/>
  <c r="I122" i="2"/>
  <c r="T122" i="2" s="1"/>
  <c r="I123" i="2"/>
  <c r="T123" i="2" s="1"/>
  <c r="I124" i="2"/>
  <c r="T124" i="2" s="1"/>
  <c r="I125" i="2"/>
  <c r="T125" i="2" s="1"/>
  <c r="I126" i="2"/>
  <c r="T126" i="2" s="1"/>
  <c r="I127" i="2"/>
  <c r="T127" i="2" s="1"/>
  <c r="I128" i="2"/>
  <c r="T128" i="2" s="1"/>
  <c r="I129" i="2"/>
  <c r="T129" i="2" s="1"/>
  <c r="I130" i="2"/>
  <c r="T130" i="2" s="1"/>
  <c r="I131" i="2"/>
  <c r="T131" i="2" s="1"/>
  <c r="I132" i="2"/>
  <c r="T132" i="2" s="1"/>
  <c r="I133" i="2"/>
  <c r="T133" i="2" s="1"/>
  <c r="I134" i="2"/>
  <c r="T134" i="2" s="1"/>
  <c r="I135" i="2"/>
  <c r="T135" i="2" s="1"/>
  <c r="I136" i="2"/>
  <c r="T136" i="2" s="1"/>
  <c r="I137" i="2"/>
  <c r="T137" i="2" s="1"/>
  <c r="I138" i="2"/>
  <c r="T138" i="2" s="1"/>
  <c r="I139" i="2"/>
  <c r="T139" i="2" s="1"/>
  <c r="I140" i="2"/>
  <c r="T140" i="2" s="1"/>
  <c r="I141" i="2"/>
  <c r="T141" i="2" s="1"/>
  <c r="I142" i="2"/>
  <c r="T142" i="2" s="1"/>
  <c r="I143" i="2"/>
  <c r="T143" i="2" s="1"/>
  <c r="I144" i="2"/>
  <c r="T144" i="2" s="1"/>
  <c r="I145" i="2"/>
  <c r="T145" i="2" s="1"/>
  <c r="I146" i="2"/>
  <c r="T146" i="2" s="1"/>
  <c r="I147" i="2"/>
  <c r="T147" i="2" s="1"/>
  <c r="I148" i="2"/>
  <c r="T148" i="2" s="1"/>
  <c r="I149" i="2"/>
  <c r="T149" i="2" s="1"/>
  <c r="I150" i="2"/>
  <c r="T150" i="2" s="1"/>
  <c r="I151" i="2"/>
  <c r="T151" i="2" s="1"/>
  <c r="I152" i="2"/>
  <c r="T152" i="2" s="1"/>
  <c r="I153" i="2"/>
  <c r="T153" i="2" s="1"/>
  <c r="I154" i="2"/>
  <c r="T154" i="2" s="1"/>
  <c r="I155" i="2"/>
  <c r="T155" i="2" s="1"/>
  <c r="I156" i="2"/>
  <c r="T156" i="2" s="1"/>
  <c r="I157" i="2"/>
  <c r="T157" i="2" s="1"/>
  <c r="I158" i="2"/>
  <c r="T158" i="2" s="1"/>
  <c r="I159" i="2"/>
  <c r="T159" i="2" s="1"/>
  <c r="I160" i="2"/>
  <c r="T160" i="2" s="1"/>
  <c r="I161" i="2"/>
  <c r="T161" i="2" s="1"/>
  <c r="I162" i="2"/>
  <c r="T162" i="2" s="1"/>
  <c r="I163" i="2"/>
  <c r="T163" i="2" s="1"/>
  <c r="I164" i="2"/>
  <c r="T164" i="2" s="1"/>
  <c r="I165" i="2"/>
  <c r="T165" i="2" s="1"/>
  <c r="I166" i="2"/>
  <c r="T166" i="2" s="1"/>
  <c r="I167" i="2"/>
  <c r="T167" i="2" s="1"/>
  <c r="I168" i="2"/>
  <c r="T168" i="2" s="1"/>
  <c r="I169" i="2"/>
  <c r="T169" i="2" s="1"/>
  <c r="I170" i="2"/>
  <c r="T170" i="2" s="1"/>
  <c r="I171" i="2"/>
  <c r="T171" i="2" s="1"/>
  <c r="I172" i="2"/>
  <c r="T172" i="2" s="1"/>
  <c r="I173" i="2"/>
  <c r="T173" i="2" s="1"/>
  <c r="I174" i="2"/>
  <c r="T174" i="2" s="1"/>
  <c r="I175" i="2"/>
  <c r="T175" i="2" s="1"/>
  <c r="I176" i="2"/>
  <c r="T176" i="2" s="1"/>
  <c r="I177" i="2"/>
  <c r="T177" i="2" s="1"/>
  <c r="I178" i="2"/>
  <c r="T178" i="2" s="1"/>
  <c r="I179" i="2"/>
  <c r="T179" i="2" s="1"/>
  <c r="I180" i="2"/>
  <c r="T180" i="2" s="1"/>
  <c r="I181" i="2"/>
  <c r="T181" i="2" s="1"/>
  <c r="I182" i="2"/>
  <c r="T182" i="2" s="1"/>
  <c r="I183" i="2"/>
  <c r="T183" i="2" s="1"/>
  <c r="I184" i="2"/>
  <c r="T184" i="2" s="1"/>
  <c r="I185" i="2"/>
  <c r="T185" i="2" s="1"/>
  <c r="I186" i="2"/>
  <c r="T186" i="2" s="1"/>
  <c r="I187" i="2"/>
  <c r="T187" i="2" s="1"/>
  <c r="I188" i="2"/>
  <c r="T188" i="2" s="1"/>
  <c r="I189" i="2"/>
  <c r="T189" i="2" s="1"/>
  <c r="I190" i="2"/>
  <c r="T190" i="2" s="1"/>
  <c r="I191" i="2"/>
  <c r="T191" i="2" s="1"/>
  <c r="I192" i="2"/>
  <c r="T192" i="2" s="1"/>
  <c r="I193" i="2"/>
  <c r="T193" i="2" s="1"/>
  <c r="I194" i="2"/>
  <c r="T194" i="2" s="1"/>
  <c r="I195" i="2"/>
  <c r="T195" i="2" s="1"/>
  <c r="I196" i="2"/>
  <c r="T196" i="2" s="1"/>
  <c r="I197" i="2"/>
  <c r="T197" i="2" s="1"/>
  <c r="I198" i="2"/>
  <c r="T198" i="2" s="1"/>
  <c r="I199" i="2"/>
  <c r="T199" i="2" s="1"/>
  <c r="I200" i="2"/>
  <c r="T200" i="2" s="1"/>
  <c r="I201" i="2"/>
  <c r="T201" i="2" s="1"/>
  <c r="I202" i="2"/>
  <c r="T202" i="2" s="1"/>
  <c r="I203" i="2"/>
  <c r="T203" i="2" s="1"/>
  <c r="I204" i="2"/>
  <c r="T204" i="2" s="1"/>
  <c r="I205" i="2"/>
  <c r="T205" i="2" s="1"/>
  <c r="I206" i="2"/>
  <c r="T206" i="2" s="1"/>
  <c r="I207" i="2"/>
  <c r="T207" i="2" s="1"/>
  <c r="I208" i="2"/>
  <c r="T208" i="2" s="1"/>
  <c r="I209" i="2"/>
  <c r="T209" i="2" s="1"/>
  <c r="I210" i="2"/>
  <c r="T210" i="2" s="1"/>
  <c r="I211" i="2"/>
  <c r="T211" i="2" s="1"/>
  <c r="I212" i="2"/>
  <c r="T212" i="2" s="1"/>
  <c r="I213" i="2"/>
  <c r="T213" i="2" s="1"/>
  <c r="I214" i="2"/>
  <c r="T214" i="2" s="1"/>
  <c r="I215" i="2"/>
  <c r="T215" i="2" s="1"/>
  <c r="I216" i="2"/>
  <c r="T216" i="2" s="1"/>
  <c r="I217" i="2"/>
  <c r="T217" i="2" s="1"/>
  <c r="I218" i="2"/>
  <c r="T218" i="2" s="1"/>
  <c r="I219" i="2"/>
  <c r="T219" i="2" s="1"/>
  <c r="I220" i="2"/>
  <c r="T220" i="2" s="1"/>
  <c r="I221" i="2"/>
  <c r="T221" i="2" s="1"/>
  <c r="I222" i="2"/>
  <c r="T222" i="2" s="1"/>
  <c r="I223" i="2"/>
  <c r="T223" i="2" s="1"/>
  <c r="I224" i="2"/>
  <c r="T224" i="2" s="1"/>
  <c r="I225" i="2"/>
  <c r="T225" i="2" s="1"/>
  <c r="I226" i="2"/>
  <c r="T226" i="2" s="1"/>
  <c r="I227" i="2"/>
  <c r="T227" i="2" s="1"/>
  <c r="I228" i="2"/>
  <c r="T228" i="2" s="1"/>
  <c r="I229" i="2"/>
  <c r="T229" i="2" s="1"/>
  <c r="I230" i="2"/>
  <c r="T230" i="2" s="1"/>
  <c r="I231" i="2"/>
  <c r="T231" i="2" s="1"/>
  <c r="I232" i="2"/>
  <c r="T232" i="2" s="1"/>
  <c r="I233" i="2"/>
  <c r="T233" i="2" s="1"/>
  <c r="I234" i="2"/>
  <c r="T234" i="2" s="1"/>
  <c r="I235" i="2"/>
  <c r="T235" i="2" s="1"/>
  <c r="I236" i="2"/>
  <c r="T236" i="2" s="1"/>
  <c r="I237" i="2"/>
  <c r="T237" i="2" s="1"/>
  <c r="I238" i="2"/>
  <c r="T238" i="2" s="1"/>
  <c r="I239" i="2"/>
  <c r="T239" i="2" s="1"/>
  <c r="I240" i="2"/>
  <c r="T240" i="2" s="1"/>
  <c r="I241" i="2"/>
  <c r="T241" i="2" s="1"/>
  <c r="I242" i="2"/>
  <c r="T242" i="2" s="1"/>
  <c r="I243" i="2"/>
  <c r="T243" i="2" s="1"/>
  <c r="I244" i="2"/>
  <c r="T244" i="2" s="1"/>
  <c r="I245" i="2"/>
  <c r="T245" i="2" s="1"/>
  <c r="I246" i="2"/>
  <c r="T246" i="2" s="1"/>
  <c r="I247" i="2"/>
  <c r="T247" i="2" s="1"/>
  <c r="I248" i="2"/>
  <c r="T248" i="2" s="1"/>
  <c r="I249" i="2"/>
  <c r="T249" i="2" s="1"/>
  <c r="I250" i="2"/>
  <c r="T250" i="2" s="1"/>
  <c r="I251" i="2"/>
  <c r="T251" i="2" s="1"/>
  <c r="I252" i="2"/>
  <c r="T252" i="2" s="1"/>
  <c r="I253" i="2"/>
  <c r="T253" i="2" s="1"/>
  <c r="I254" i="2"/>
  <c r="T254" i="2" s="1"/>
  <c r="I255" i="2"/>
  <c r="T255" i="2" s="1"/>
  <c r="I256" i="2"/>
  <c r="T256" i="2" s="1"/>
  <c r="I257" i="2"/>
  <c r="T257" i="2" s="1"/>
  <c r="I258" i="2"/>
  <c r="T258" i="2" s="1"/>
  <c r="I259" i="2"/>
  <c r="T259" i="2" s="1"/>
  <c r="I260" i="2"/>
  <c r="T260" i="2" s="1"/>
  <c r="I261" i="2"/>
  <c r="T261" i="2" s="1"/>
  <c r="I262" i="2"/>
  <c r="T262" i="2" s="1"/>
  <c r="I263" i="2"/>
  <c r="T263" i="2" s="1"/>
  <c r="I264" i="2"/>
  <c r="T264" i="2" s="1"/>
  <c r="I265" i="2"/>
  <c r="T265" i="2" s="1"/>
  <c r="I266" i="2"/>
  <c r="T266" i="2" s="1"/>
  <c r="I267" i="2"/>
  <c r="T267" i="2" s="1"/>
  <c r="I268" i="2"/>
  <c r="T268" i="2" s="1"/>
  <c r="I269" i="2"/>
  <c r="T269" i="2" s="1"/>
  <c r="I270" i="2"/>
  <c r="T270" i="2" s="1"/>
  <c r="I271" i="2"/>
  <c r="T271" i="2" s="1"/>
  <c r="I272" i="2"/>
  <c r="T272" i="2" s="1"/>
  <c r="I273" i="2"/>
  <c r="T273" i="2" s="1"/>
  <c r="I274" i="2"/>
  <c r="T274" i="2" s="1"/>
  <c r="I275" i="2"/>
  <c r="T275" i="2" s="1"/>
  <c r="I276" i="2"/>
  <c r="T276" i="2" s="1"/>
  <c r="I277" i="2"/>
  <c r="T277" i="2" s="1"/>
  <c r="I278" i="2"/>
  <c r="T278" i="2" s="1"/>
  <c r="I279" i="2"/>
  <c r="T279" i="2" s="1"/>
  <c r="I280" i="2"/>
  <c r="T280" i="2" s="1"/>
  <c r="I281" i="2"/>
  <c r="T281" i="2" s="1"/>
  <c r="I282" i="2"/>
  <c r="T282" i="2" s="1"/>
  <c r="I283" i="2"/>
  <c r="T283" i="2" s="1"/>
  <c r="I284" i="2"/>
  <c r="T284" i="2" s="1"/>
  <c r="I285" i="2"/>
  <c r="T285" i="2" s="1"/>
  <c r="I286" i="2"/>
  <c r="T286" i="2" s="1"/>
  <c r="I287" i="2"/>
  <c r="T287" i="2" s="1"/>
  <c r="I288" i="2"/>
  <c r="T288" i="2" s="1"/>
  <c r="I289" i="2"/>
  <c r="T289" i="2" s="1"/>
  <c r="I290" i="2"/>
  <c r="T290" i="2" s="1"/>
  <c r="I291" i="2"/>
  <c r="T291" i="2" s="1"/>
  <c r="I292" i="2"/>
  <c r="T292" i="2" s="1"/>
  <c r="I293" i="2"/>
  <c r="T293" i="2" s="1"/>
  <c r="I294" i="2"/>
  <c r="T294" i="2" s="1"/>
  <c r="I295" i="2"/>
  <c r="T295" i="2" s="1"/>
  <c r="I296" i="2"/>
  <c r="T296" i="2" s="1"/>
  <c r="I297" i="2"/>
  <c r="T297" i="2" s="1"/>
  <c r="I298" i="2"/>
  <c r="T298" i="2" s="1"/>
  <c r="I299" i="2"/>
  <c r="T299" i="2" s="1"/>
  <c r="I300" i="2"/>
  <c r="T300" i="2" s="1"/>
  <c r="I301" i="2"/>
  <c r="T301" i="2" s="1"/>
  <c r="I302" i="2"/>
  <c r="T302" i="2" s="1"/>
  <c r="I303" i="2"/>
  <c r="T303" i="2" s="1"/>
  <c r="I304" i="2"/>
  <c r="T304" i="2" s="1"/>
  <c r="I305" i="2"/>
  <c r="T305" i="2" s="1"/>
  <c r="I306" i="2"/>
  <c r="T306" i="2" s="1"/>
  <c r="I307" i="2"/>
  <c r="T307" i="2" s="1"/>
  <c r="I308" i="2"/>
  <c r="T308" i="2" s="1"/>
  <c r="I309" i="2"/>
  <c r="T309" i="2" s="1"/>
  <c r="I310" i="2"/>
  <c r="T310" i="2" s="1"/>
  <c r="I311" i="2"/>
  <c r="T311" i="2" s="1"/>
  <c r="I312" i="2"/>
  <c r="T312" i="2" s="1"/>
  <c r="I313" i="2"/>
  <c r="T313" i="2" s="1"/>
  <c r="I314" i="2"/>
  <c r="T314" i="2" s="1"/>
  <c r="I315" i="2"/>
  <c r="T315" i="2" s="1"/>
  <c r="I316" i="2"/>
  <c r="T316" i="2" s="1"/>
  <c r="I317" i="2"/>
  <c r="T317" i="2" s="1"/>
  <c r="I318" i="2"/>
  <c r="T318" i="2" s="1"/>
  <c r="I319" i="2"/>
  <c r="T319" i="2" s="1"/>
  <c r="I320" i="2"/>
  <c r="T320" i="2" s="1"/>
  <c r="I321" i="2"/>
  <c r="T321" i="2" s="1"/>
  <c r="I322" i="2"/>
  <c r="T322" i="2" s="1"/>
  <c r="I323" i="2"/>
  <c r="T323" i="2" s="1"/>
  <c r="I324" i="2"/>
  <c r="T324" i="2" s="1"/>
  <c r="I325" i="2"/>
  <c r="T325" i="2" s="1"/>
  <c r="I326" i="2"/>
  <c r="T326" i="2" s="1"/>
  <c r="I327" i="2"/>
  <c r="T327" i="2" s="1"/>
  <c r="I328" i="2"/>
  <c r="T328" i="2" s="1"/>
  <c r="I329" i="2"/>
  <c r="T329" i="2" s="1"/>
  <c r="I330" i="2"/>
  <c r="T330" i="2" s="1"/>
  <c r="I331" i="2"/>
  <c r="T331" i="2" s="1"/>
  <c r="I332" i="2"/>
  <c r="T332" i="2" s="1"/>
  <c r="I333" i="2"/>
  <c r="T333" i="2" s="1"/>
  <c r="I334" i="2"/>
  <c r="T334" i="2" s="1"/>
  <c r="I335" i="2"/>
  <c r="T335" i="2" s="1"/>
  <c r="I336" i="2"/>
  <c r="T336" i="2" s="1"/>
  <c r="I337" i="2"/>
  <c r="T337" i="2" s="1"/>
  <c r="I338" i="2"/>
  <c r="T338" i="2" s="1"/>
  <c r="I339" i="2"/>
  <c r="T339" i="2" s="1"/>
  <c r="I340" i="2"/>
  <c r="T340" i="2" s="1"/>
  <c r="I341" i="2"/>
  <c r="T341" i="2" s="1"/>
  <c r="I342" i="2"/>
  <c r="T342" i="2" s="1"/>
  <c r="I343" i="2"/>
  <c r="T343" i="2" s="1"/>
  <c r="I344" i="2"/>
  <c r="T344" i="2" s="1"/>
  <c r="I345" i="2"/>
  <c r="T345" i="2" s="1"/>
  <c r="I346" i="2"/>
  <c r="T346" i="2" s="1"/>
  <c r="I347" i="2"/>
  <c r="T347" i="2" s="1"/>
  <c r="I348" i="2"/>
  <c r="T348" i="2" s="1"/>
  <c r="I349" i="2"/>
  <c r="T349" i="2" s="1"/>
  <c r="I350" i="2"/>
  <c r="T350" i="2" s="1"/>
  <c r="I351" i="2"/>
  <c r="T351" i="2" s="1"/>
  <c r="I352" i="2"/>
  <c r="T352" i="2" s="1"/>
  <c r="I353" i="2"/>
  <c r="T353" i="2" s="1"/>
  <c r="I354" i="2"/>
  <c r="T354" i="2" s="1"/>
  <c r="I355" i="2"/>
  <c r="T355" i="2" s="1"/>
  <c r="I356" i="2"/>
  <c r="T356" i="2" s="1"/>
  <c r="I357" i="2"/>
  <c r="T357" i="2" s="1"/>
  <c r="I358" i="2"/>
  <c r="T358" i="2" s="1"/>
  <c r="I359" i="2"/>
  <c r="T359" i="2" s="1"/>
  <c r="I360" i="2"/>
  <c r="T360" i="2" s="1"/>
  <c r="I361" i="2"/>
  <c r="T361" i="2" s="1"/>
  <c r="I362" i="2"/>
  <c r="T362" i="2" s="1"/>
  <c r="I363" i="2"/>
  <c r="T363" i="2" s="1"/>
  <c r="I364" i="2"/>
  <c r="T364" i="2" s="1"/>
  <c r="I365" i="2"/>
  <c r="T365" i="2" s="1"/>
  <c r="I366" i="2"/>
  <c r="T366" i="2" s="1"/>
  <c r="I367" i="2"/>
  <c r="T367" i="2" s="1"/>
  <c r="I368" i="2"/>
  <c r="T368" i="2" s="1"/>
  <c r="I369" i="2"/>
  <c r="T369" i="2" s="1"/>
  <c r="I370" i="2"/>
  <c r="T370" i="2" s="1"/>
  <c r="I371" i="2"/>
  <c r="T371" i="2" s="1"/>
  <c r="I372" i="2"/>
  <c r="T372" i="2" s="1"/>
  <c r="I373" i="2"/>
  <c r="T373" i="2" s="1"/>
  <c r="I374" i="2"/>
  <c r="T374" i="2" s="1"/>
  <c r="I375" i="2"/>
  <c r="T375" i="2" s="1"/>
  <c r="I376" i="2"/>
  <c r="T376" i="2" s="1"/>
  <c r="I377" i="2"/>
  <c r="T377" i="2" s="1"/>
  <c r="I378" i="2"/>
  <c r="T378" i="2" s="1"/>
  <c r="I379" i="2"/>
  <c r="T379" i="2" s="1"/>
  <c r="I380" i="2"/>
  <c r="T380" i="2" s="1"/>
  <c r="I381" i="2"/>
  <c r="T381" i="2" s="1"/>
  <c r="I382" i="2"/>
  <c r="T382" i="2" s="1"/>
  <c r="I383" i="2"/>
  <c r="T383" i="2" s="1"/>
  <c r="I384" i="2"/>
  <c r="T384" i="2" s="1"/>
  <c r="I385" i="2"/>
  <c r="T385" i="2" s="1"/>
  <c r="I386" i="2"/>
  <c r="T386" i="2" s="1"/>
  <c r="I387" i="2"/>
  <c r="T387" i="2" s="1"/>
  <c r="I388" i="2"/>
  <c r="T388" i="2" s="1"/>
  <c r="I389" i="2"/>
  <c r="T389" i="2" s="1"/>
  <c r="I390" i="2"/>
  <c r="T390" i="2" s="1"/>
  <c r="I391" i="2"/>
  <c r="T391" i="2" s="1"/>
  <c r="I392" i="2"/>
  <c r="T392" i="2" s="1"/>
  <c r="I393" i="2"/>
  <c r="T393" i="2" s="1"/>
  <c r="I394" i="2"/>
  <c r="T394" i="2" s="1"/>
  <c r="I395" i="2"/>
  <c r="T395" i="2" s="1"/>
  <c r="I396" i="2"/>
  <c r="T396" i="2" s="1"/>
  <c r="I397" i="2"/>
  <c r="T397" i="2" s="1"/>
  <c r="I398" i="2"/>
  <c r="T398" i="2" s="1"/>
  <c r="I399" i="2"/>
  <c r="T399" i="2" s="1"/>
  <c r="I400" i="2"/>
  <c r="T400" i="2" s="1"/>
  <c r="I401" i="2"/>
  <c r="T401" i="2" s="1"/>
  <c r="I402" i="2"/>
  <c r="T402" i="2" s="1"/>
  <c r="I403" i="2"/>
  <c r="T403" i="2" s="1"/>
  <c r="I404" i="2"/>
  <c r="T404" i="2" s="1"/>
  <c r="I405" i="2"/>
  <c r="T405" i="2" s="1"/>
  <c r="I406" i="2"/>
  <c r="T406" i="2" s="1"/>
  <c r="I407" i="2"/>
  <c r="T407" i="2" s="1"/>
  <c r="I408" i="2"/>
  <c r="T408" i="2" s="1"/>
  <c r="I409" i="2"/>
  <c r="T409" i="2" s="1"/>
  <c r="I410" i="2"/>
  <c r="T410" i="2" s="1"/>
  <c r="I411" i="2"/>
  <c r="T411" i="2" s="1"/>
  <c r="I412" i="2"/>
  <c r="T412" i="2" s="1"/>
  <c r="I413" i="2"/>
  <c r="T413" i="2" s="1"/>
  <c r="I414" i="2"/>
  <c r="T414" i="2" s="1"/>
  <c r="I415" i="2"/>
  <c r="T415" i="2" s="1"/>
  <c r="I416" i="2"/>
  <c r="T416" i="2" s="1"/>
  <c r="I417" i="2"/>
  <c r="T417" i="2" s="1"/>
  <c r="I418" i="2"/>
  <c r="T418" i="2" s="1"/>
  <c r="I419" i="2"/>
  <c r="T419" i="2" s="1"/>
  <c r="I420" i="2"/>
  <c r="T420" i="2" s="1"/>
  <c r="I421" i="2"/>
  <c r="T421" i="2" s="1"/>
  <c r="I422" i="2"/>
  <c r="T422" i="2" s="1"/>
  <c r="I423" i="2"/>
  <c r="T423" i="2" s="1"/>
  <c r="I424" i="2"/>
  <c r="T424" i="2" s="1"/>
  <c r="I425" i="2"/>
  <c r="T425" i="2" s="1"/>
  <c r="I426" i="2"/>
  <c r="T426" i="2" s="1"/>
  <c r="I427" i="2"/>
  <c r="T427" i="2" s="1"/>
  <c r="I428" i="2"/>
  <c r="T428" i="2" s="1"/>
  <c r="I429" i="2"/>
  <c r="T429" i="2" s="1"/>
  <c r="I430" i="2"/>
  <c r="T430" i="2" s="1"/>
  <c r="I431" i="2"/>
  <c r="T431" i="2" s="1"/>
  <c r="I432" i="2"/>
  <c r="T432" i="2" s="1"/>
  <c r="I433" i="2"/>
  <c r="T433" i="2" s="1"/>
  <c r="I434" i="2"/>
  <c r="T434" i="2" s="1"/>
  <c r="I435" i="2"/>
  <c r="T435" i="2" s="1"/>
  <c r="I436" i="2"/>
  <c r="T436" i="2" s="1"/>
  <c r="I437" i="2"/>
  <c r="T437" i="2" s="1"/>
  <c r="I438" i="2"/>
  <c r="T438" i="2" s="1"/>
  <c r="I439" i="2"/>
  <c r="T439" i="2" s="1"/>
  <c r="I440" i="2"/>
  <c r="T440" i="2" s="1"/>
  <c r="I441" i="2"/>
  <c r="T441" i="2" s="1"/>
  <c r="I442" i="2"/>
  <c r="T442" i="2" s="1"/>
  <c r="I443" i="2"/>
  <c r="T443" i="2" s="1"/>
  <c r="I444" i="2"/>
  <c r="T444" i="2" s="1"/>
  <c r="I445" i="2"/>
  <c r="T445" i="2" s="1"/>
  <c r="I446" i="2"/>
  <c r="T446" i="2" s="1"/>
  <c r="I447" i="2"/>
  <c r="T447" i="2" s="1"/>
  <c r="I448" i="2"/>
  <c r="T448" i="2" s="1"/>
  <c r="I449" i="2"/>
  <c r="T449" i="2" s="1"/>
  <c r="I450" i="2"/>
  <c r="T450" i="2" s="1"/>
  <c r="I451" i="2"/>
  <c r="T451" i="2" s="1"/>
  <c r="I452" i="2"/>
  <c r="T452" i="2" s="1"/>
  <c r="I453" i="2"/>
  <c r="T453" i="2" s="1"/>
  <c r="I454" i="2"/>
  <c r="T454" i="2" s="1"/>
  <c r="I455" i="2"/>
  <c r="T455" i="2" s="1"/>
  <c r="I456" i="2"/>
  <c r="T456" i="2" s="1"/>
  <c r="I457" i="2"/>
  <c r="T457" i="2" s="1"/>
  <c r="I458" i="2"/>
  <c r="T458" i="2" s="1"/>
  <c r="I459" i="2"/>
  <c r="T459" i="2" s="1"/>
  <c r="I460" i="2"/>
  <c r="T460" i="2" s="1"/>
  <c r="I461" i="2"/>
  <c r="T461" i="2" s="1"/>
  <c r="I462" i="2"/>
  <c r="T462" i="2" s="1"/>
  <c r="I463" i="2"/>
  <c r="T463" i="2" s="1"/>
  <c r="I464" i="2"/>
  <c r="T464" i="2" s="1"/>
  <c r="I465" i="2"/>
  <c r="T465" i="2" s="1"/>
  <c r="I466" i="2"/>
  <c r="T466" i="2" s="1"/>
  <c r="I467" i="2"/>
  <c r="T467" i="2" s="1"/>
  <c r="I468" i="2"/>
  <c r="T468" i="2" s="1"/>
  <c r="I469" i="2"/>
  <c r="T469" i="2" s="1"/>
  <c r="I470" i="2"/>
  <c r="T470" i="2" s="1"/>
  <c r="I471" i="2"/>
  <c r="T471" i="2" s="1"/>
  <c r="I472" i="2"/>
  <c r="T472" i="2" s="1"/>
  <c r="I473" i="2"/>
  <c r="T473" i="2" s="1"/>
  <c r="I474" i="2"/>
  <c r="T474" i="2" s="1"/>
  <c r="I475" i="2"/>
  <c r="T475" i="2" s="1"/>
  <c r="I476" i="2"/>
  <c r="T476" i="2" s="1"/>
  <c r="I477" i="2"/>
  <c r="T477" i="2" s="1"/>
  <c r="I478" i="2"/>
  <c r="T478" i="2" s="1"/>
  <c r="I479" i="2"/>
  <c r="T479" i="2" s="1"/>
  <c r="I480" i="2"/>
  <c r="T480" i="2" s="1"/>
  <c r="I481" i="2"/>
  <c r="T481" i="2" s="1"/>
  <c r="I482" i="2"/>
  <c r="T482" i="2" s="1"/>
  <c r="I483" i="2"/>
  <c r="T483" i="2" s="1"/>
  <c r="I484" i="2"/>
  <c r="T484" i="2" s="1"/>
  <c r="I485" i="2"/>
  <c r="T485" i="2" s="1"/>
  <c r="I486" i="2"/>
  <c r="T486" i="2" s="1"/>
  <c r="I487" i="2"/>
  <c r="T487" i="2" s="1"/>
  <c r="I488" i="2"/>
  <c r="T488" i="2" s="1"/>
  <c r="I489" i="2"/>
  <c r="T489" i="2" s="1"/>
  <c r="I490" i="2"/>
  <c r="T490" i="2" s="1"/>
  <c r="I491" i="2"/>
  <c r="T491" i="2" s="1"/>
  <c r="I492" i="2"/>
  <c r="T492" i="2" s="1"/>
  <c r="I493" i="2"/>
  <c r="T493" i="2" s="1"/>
  <c r="I494" i="2"/>
  <c r="T494" i="2" s="1"/>
  <c r="I495" i="2"/>
  <c r="T495" i="2" s="1"/>
  <c r="I496" i="2"/>
  <c r="T496" i="2" s="1"/>
  <c r="I497" i="2"/>
  <c r="T497" i="2" s="1"/>
  <c r="I498" i="2"/>
  <c r="T498" i="2" s="1"/>
  <c r="I499" i="2"/>
  <c r="T499" i="2" s="1"/>
  <c r="I500" i="2"/>
  <c r="T500" i="2" s="1"/>
  <c r="I501" i="2"/>
  <c r="T501" i="2" s="1"/>
  <c r="I502" i="2"/>
  <c r="T502" i="2" s="1"/>
  <c r="I503" i="2"/>
  <c r="T503" i="2" s="1"/>
  <c r="I504" i="2"/>
  <c r="T504" i="2" s="1"/>
  <c r="I505" i="2"/>
  <c r="T505" i="2" s="1"/>
  <c r="I506" i="2"/>
  <c r="T506" i="2" s="1"/>
  <c r="I507" i="2"/>
  <c r="T507" i="2" s="1"/>
  <c r="I508" i="2"/>
  <c r="T508" i="2" s="1"/>
  <c r="I509" i="2"/>
  <c r="T509" i="2" s="1"/>
  <c r="I510" i="2"/>
  <c r="T510" i="2" s="1"/>
  <c r="I511" i="2"/>
  <c r="T511" i="2" s="1"/>
  <c r="I512" i="2"/>
  <c r="T512" i="2" s="1"/>
  <c r="I513" i="2"/>
  <c r="T513" i="2" s="1"/>
  <c r="I514" i="2"/>
  <c r="T514" i="2" s="1"/>
  <c r="I515" i="2"/>
  <c r="T515" i="2" s="1"/>
  <c r="I516" i="2"/>
  <c r="T516" i="2" s="1"/>
  <c r="I517" i="2"/>
  <c r="T517" i="2" s="1"/>
  <c r="I518" i="2"/>
  <c r="T518" i="2" s="1"/>
  <c r="I519" i="2"/>
  <c r="T519" i="2" s="1"/>
  <c r="I520" i="2"/>
  <c r="T520" i="2" s="1"/>
  <c r="I521" i="2"/>
  <c r="T521" i="2" s="1"/>
  <c r="I522" i="2"/>
  <c r="T522" i="2" s="1"/>
  <c r="I523" i="2"/>
  <c r="T523" i="2" s="1"/>
  <c r="I524" i="2"/>
  <c r="T524" i="2" s="1"/>
  <c r="I525" i="2"/>
  <c r="T525" i="2" s="1"/>
  <c r="I526" i="2"/>
  <c r="T526" i="2" s="1"/>
  <c r="I527" i="2"/>
  <c r="T527" i="2" s="1"/>
  <c r="I528" i="2"/>
  <c r="T528" i="2" s="1"/>
  <c r="I529" i="2"/>
  <c r="T529" i="2" s="1"/>
  <c r="I530" i="2"/>
  <c r="T530" i="2" s="1"/>
  <c r="I531" i="2"/>
  <c r="T531" i="2" s="1"/>
  <c r="I532" i="2"/>
  <c r="T532" i="2" s="1"/>
  <c r="I533" i="2"/>
  <c r="T533" i="2" s="1"/>
  <c r="I534" i="2"/>
  <c r="T534" i="2" s="1"/>
  <c r="I535" i="2"/>
  <c r="T535" i="2" s="1"/>
  <c r="I536" i="2"/>
  <c r="T536" i="2" s="1"/>
  <c r="I537" i="2"/>
  <c r="T537" i="2" s="1"/>
  <c r="I538" i="2"/>
  <c r="T538" i="2" s="1"/>
  <c r="I539" i="2"/>
  <c r="T539" i="2" s="1"/>
  <c r="I540" i="2"/>
  <c r="T540" i="2" s="1"/>
  <c r="I541" i="2"/>
  <c r="T541" i="2" s="1"/>
  <c r="I542" i="2"/>
  <c r="T542" i="2" s="1"/>
  <c r="I543" i="2"/>
  <c r="T543" i="2" s="1"/>
  <c r="I544" i="2"/>
  <c r="T544" i="2" s="1"/>
  <c r="I545" i="2"/>
  <c r="T545" i="2" s="1"/>
  <c r="I546" i="2"/>
  <c r="T546" i="2" s="1"/>
  <c r="I547" i="2"/>
  <c r="T547" i="2" s="1"/>
  <c r="I548" i="2"/>
  <c r="T548" i="2" s="1"/>
  <c r="I549" i="2"/>
  <c r="T549" i="2" s="1"/>
  <c r="I550" i="2"/>
  <c r="T550" i="2" s="1"/>
  <c r="I551" i="2"/>
  <c r="T551" i="2" s="1"/>
  <c r="I552" i="2"/>
  <c r="T552" i="2" s="1"/>
  <c r="I553" i="2"/>
  <c r="T553" i="2" s="1"/>
  <c r="I554" i="2"/>
  <c r="T554" i="2" s="1"/>
  <c r="I555" i="2"/>
  <c r="T555" i="2" s="1"/>
  <c r="I556" i="2"/>
  <c r="T556" i="2" s="1"/>
  <c r="I557" i="2"/>
  <c r="T557" i="2" s="1"/>
  <c r="I558" i="2"/>
  <c r="T558" i="2" s="1"/>
  <c r="I559" i="2"/>
  <c r="T559" i="2" s="1"/>
  <c r="I560" i="2"/>
  <c r="T560" i="2" s="1"/>
  <c r="I561" i="2"/>
  <c r="T561" i="2" s="1"/>
  <c r="I562" i="2"/>
  <c r="T562" i="2" s="1"/>
  <c r="I563" i="2"/>
  <c r="T563" i="2" s="1"/>
  <c r="I564" i="2"/>
  <c r="T564" i="2" s="1"/>
  <c r="I565" i="2"/>
  <c r="T565" i="2" s="1"/>
  <c r="I566" i="2"/>
  <c r="T566" i="2" s="1"/>
  <c r="I567" i="2"/>
  <c r="T567" i="2" s="1"/>
  <c r="I568" i="2"/>
  <c r="T568" i="2" s="1"/>
  <c r="I569" i="2"/>
  <c r="T569" i="2" s="1"/>
  <c r="I570" i="2"/>
  <c r="T570" i="2" s="1"/>
  <c r="I571" i="2"/>
  <c r="T571" i="2" s="1"/>
  <c r="I572" i="2"/>
  <c r="T572" i="2" s="1"/>
  <c r="I573" i="2"/>
  <c r="T573" i="2" s="1"/>
  <c r="I574" i="2"/>
  <c r="T574" i="2" s="1"/>
  <c r="I575" i="2"/>
  <c r="T575" i="2" s="1"/>
  <c r="I576" i="2"/>
  <c r="T576" i="2" s="1"/>
  <c r="I577" i="2"/>
  <c r="T577" i="2" s="1"/>
  <c r="I578" i="2"/>
  <c r="T578" i="2" s="1"/>
  <c r="I579" i="2"/>
  <c r="T579" i="2" s="1"/>
  <c r="I580" i="2"/>
  <c r="T580" i="2" s="1"/>
  <c r="I581" i="2"/>
  <c r="T581" i="2" s="1"/>
  <c r="I582" i="2"/>
  <c r="T582" i="2" s="1"/>
  <c r="I583" i="2"/>
  <c r="T583" i="2" s="1"/>
  <c r="I584" i="2"/>
  <c r="T584" i="2" s="1"/>
  <c r="I585" i="2"/>
  <c r="T585" i="2" s="1"/>
  <c r="I586" i="2"/>
  <c r="T586" i="2" s="1"/>
  <c r="I587" i="2"/>
  <c r="T587" i="2" s="1"/>
  <c r="I588" i="2"/>
  <c r="T588" i="2" s="1"/>
  <c r="I589" i="2"/>
  <c r="T589" i="2" s="1"/>
  <c r="I590" i="2"/>
  <c r="T590" i="2" s="1"/>
  <c r="I591" i="2"/>
  <c r="T591" i="2" s="1"/>
  <c r="I592" i="2"/>
  <c r="T592" i="2" s="1"/>
  <c r="I593" i="2"/>
  <c r="T593" i="2" s="1"/>
  <c r="I594" i="2"/>
  <c r="T594" i="2" s="1"/>
  <c r="I595" i="2"/>
  <c r="T595" i="2" s="1"/>
  <c r="I596" i="2"/>
  <c r="T596" i="2" s="1"/>
  <c r="I597" i="2"/>
  <c r="T597" i="2" s="1"/>
  <c r="I598" i="2"/>
  <c r="T598" i="2" s="1"/>
  <c r="I599" i="2"/>
  <c r="T599" i="2" s="1"/>
  <c r="I600" i="2"/>
  <c r="T600" i="2" s="1"/>
  <c r="I601" i="2"/>
  <c r="T601" i="2" s="1"/>
  <c r="I602" i="2"/>
  <c r="T602" i="2" s="1"/>
  <c r="I603" i="2"/>
  <c r="T603" i="2" s="1"/>
  <c r="I604" i="2"/>
  <c r="T604" i="2" s="1"/>
  <c r="I605" i="2"/>
  <c r="T605" i="2" s="1"/>
  <c r="I606" i="2"/>
  <c r="T606" i="2" s="1"/>
  <c r="I607" i="2"/>
  <c r="T607" i="2" s="1"/>
  <c r="I608" i="2"/>
  <c r="T608" i="2" s="1"/>
  <c r="I609" i="2"/>
  <c r="T609" i="2" s="1"/>
  <c r="I610" i="2"/>
  <c r="T610" i="2" s="1"/>
  <c r="I611" i="2"/>
  <c r="T611" i="2" s="1"/>
  <c r="I612" i="2"/>
  <c r="T612" i="2" s="1"/>
  <c r="I613" i="2"/>
  <c r="T613" i="2" s="1"/>
  <c r="I614" i="2"/>
  <c r="T614" i="2" s="1"/>
  <c r="I615" i="2"/>
  <c r="T615" i="2" s="1"/>
  <c r="I616" i="2"/>
  <c r="T616" i="2" s="1"/>
  <c r="I617" i="2"/>
  <c r="T617" i="2" s="1"/>
  <c r="I618" i="2"/>
  <c r="T618" i="2" s="1"/>
  <c r="I619" i="2"/>
  <c r="T619" i="2" s="1"/>
  <c r="I620" i="2"/>
  <c r="T620" i="2" s="1"/>
  <c r="I621" i="2"/>
  <c r="T621" i="2" s="1"/>
  <c r="I622" i="2"/>
  <c r="T622" i="2" s="1"/>
  <c r="I623" i="2"/>
  <c r="T623" i="2" s="1"/>
  <c r="I624" i="2"/>
  <c r="T624" i="2" s="1"/>
  <c r="I625" i="2"/>
  <c r="T625" i="2" s="1"/>
  <c r="I626" i="2"/>
  <c r="T626" i="2" s="1"/>
  <c r="I627" i="2"/>
  <c r="T627" i="2" s="1"/>
  <c r="I628" i="2"/>
  <c r="T628" i="2" s="1"/>
  <c r="I629" i="2"/>
  <c r="T629" i="2" s="1"/>
  <c r="I630" i="2"/>
  <c r="T630" i="2" s="1"/>
  <c r="I631" i="2"/>
  <c r="T631" i="2" s="1"/>
  <c r="I632" i="2"/>
  <c r="T632" i="2" s="1"/>
  <c r="I633" i="2"/>
  <c r="T633" i="2" s="1"/>
  <c r="I634" i="2"/>
  <c r="T634" i="2" s="1"/>
  <c r="I635" i="2"/>
  <c r="T635" i="2" s="1"/>
  <c r="I636" i="2"/>
  <c r="T636" i="2" s="1"/>
  <c r="I637" i="2"/>
  <c r="T637" i="2" s="1"/>
  <c r="I638" i="2"/>
  <c r="T638" i="2" s="1"/>
  <c r="I639" i="2"/>
  <c r="T639" i="2" s="1"/>
  <c r="I640" i="2"/>
  <c r="T640" i="2" s="1"/>
  <c r="I641" i="2"/>
  <c r="T641" i="2" s="1"/>
  <c r="I642" i="2"/>
  <c r="T642" i="2" s="1"/>
  <c r="I643" i="2"/>
  <c r="T643" i="2" s="1"/>
  <c r="I644" i="2"/>
  <c r="T644" i="2" s="1"/>
  <c r="I645" i="2"/>
  <c r="T645" i="2" s="1"/>
  <c r="I646" i="2"/>
  <c r="T646" i="2" s="1"/>
  <c r="I647" i="2"/>
  <c r="T647" i="2" s="1"/>
  <c r="I648" i="2"/>
  <c r="T648" i="2" s="1"/>
  <c r="I649" i="2"/>
  <c r="T649" i="2" s="1"/>
  <c r="I650" i="2"/>
  <c r="T650" i="2" s="1"/>
  <c r="I651" i="2"/>
  <c r="T651" i="2" s="1"/>
  <c r="I652" i="2"/>
  <c r="T652" i="2" s="1"/>
  <c r="I653" i="2"/>
  <c r="T653" i="2" s="1"/>
  <c r="I654" i="2"/>
  <c r="T654" i="2" s="1"/>
  <c r="I655" i="2"/>
  <c r="T655" i="2" s="1"/>
  <c r="I656" i="2"/>
  <c r="T656" i="2" s="1"/>
  <c r="I657" i="2"/>
  <c r="T657" i="2" s="1"/>
  <c r="I658" i="2"/>
  <c r="T658" i="2" s="1"/>
  <c r="I659" i="2"/>
  <c r="T659" i="2" s="1"/>
  <c r="I660" i="2"/>
  <c r="T660" i="2" s="1"/>
  <c r="I661" i="2"/>
  <c r="T661" i="2" s="1"/>
  <c r="I662" i="2"/>
  <c r="T662" i="2" s="1"/>
  <c r="I663" i="2"/>
  <c r="T663" i="2" s="1"/>
  <c r="I664" i="2"/>
  <c r="T664" i="2" s="1"/>
  <c r="I665" i="2"/>
  <c r="T665" i="2" s="1"/>
  <c r="I666" i="2"/>
  <c r="T666" i="2" s="1"/>
  <c r="I667" i="2"/>
  <c r="T667" i="2" s="1"/>
  <c r="I668" i="2"/>
  <c r="T668" i="2" s="1"/>
  <c r="I669" i="2"/>
  <c r="T669" i="2" s="1"/>
  <c r="I670" i="2"/>
  <c r="T670" i="2" s="1"/>
  <c r="I671" i="2"/>
  <c r="T671" i="2" s="1"/>
  <c r="I672" i="2"/>
  <c r="T672" i="2" s="1"/>
  <c r="I673" i="2"/>
  <c r="T673" i="2" s="1"/>
  <c r="I674" i="2"/>
  <c r="T674" i="2" s="1"/>
  <c r="I675" i="2"/>
  <c r="T675" i="2" s="1"/>
  <c r="I676" i="2"/>
  <c r="T676" i="2" s="1"/>
  <c r="I677" i="2"/>
  <c r="T677" i="2" s="1"/>
  <c r="I678" i="2"/>
  <c r="T678" i="2" s="1"/>
  <c r="I679" i="2"/>
  <c r="T679" i="2" s="1"/>
  <c r="I680" i="2"/>
  <c r="T680" i="2" s="1"/>
  <c r="I681" i="2"/>
  <c r="T681" i="2" s="1"/>
  <c r="I682" i="2"/>
  <c r="T682" i="2" s="1"/>
  <c r="I683" i="2"/>
  <c r="T683" i="2" s="1"/>
  <c r="I684" i="2"/>
  <c r="T684" i="2" s="1"/>
  <c r="I685" i="2"/>
  <c r="T685" i="2" s="1"/>
  <c r="I686" i="2"/>
  <c r="T686" i="2" s="1"/>
  <c r="I687" i="2"/>
  <c r="T687" i="2" s="1"/>
  <c r="I688" i="2"/>
  <c r="T688" i="2" s="1"/>
  <c r="I689" i="2"/>
  <c r="T689" i="2" s="1"/>
  <c r="I690" i="2"/>
  <c r="T690" i="2" s="1"/>
  <c r="I691" i="2"/>
  <c r="T691" i="2" s="1"/>
  <c r="I692" i="2"/>
  <c r="T692" i="2" s="1"/>
  <c r="I693" i="2"/>
  <c r="T693" i="2" s="1"/>
  <c r="I694" i="2"/>
  <c r="T694" i="2" s="1"/>
  <c r="I695" i="2"/>
  <c r="T695" i="2" s="1"/>
  <c r="I696" i="2"/>
  <c r="T696" i="2" s="1"/>
  <c r="I697" i="2"/>
  <c r="T697" i="2" s="1"/>
  <c r="I698" i="2"/>
  <c r="T698" i="2" s="1"/>
  <c r="I699" i="2"/>
  <c r="T699" i="2" s="1"/>
  <c r="I700" i="2"/>
  <c r="T700" i="2" s="1"/>
  <c r="I701" i="2"/>
  <c r="T701" i="2" s="1"/>
  <c r="I702" i="2"/>
  <c r="T702" i="2" s="1"/>
  <c r="I703" i="2"/>
  <c r="T703" i="2" s="1"/>
  <c r="I704" i="2"/>
  <c r="T704" i="2" s="1"/>
  <c r="I705" i="2"/>
  <c r="T705" i="2" s="1"/>
  <c r="I706" i="2"/>
  <c r="T706" i="2" s="1"/>
  <c r="I707" i="2"/>
  <c r="T707" i="2" s="1"/>
  <c r="I708" i="2"/>
  <c r="T708" i="2" s="1"/>
  <c r="I709" i="2"/>
  <c r="T709" i="2" s="1"/>
  <c r="I710" i="2"/>
  <c r="T710" i="2" s="1"/>
  <c r="I711" i="2"/>
  <c r="T711" i="2" s="1"/>
  <c r="I712" i="2"/>
  <c r="T712" i="2" s="1"/>
  <c r="I713" i="2"/>
  <c r="T713" i="2" s="1"/>
  <c r="I714" i="2"/>
  <c r="T714" i="2" s="1"/>
  <c r="I715" i="2"/>
  <c r="T715" i="2" s="1"/>
  <c r="I716" i="2"/>
  <c r="T716" i="2" s="1"/>
  <c r="I717" i="2"/>
  <c r="T717" i="2" s="1"/>
  <c r="I718" i="2"/>
  <c r="T718" i="2" s="1"/>
  <c r="I719" i="2"/>
  <c r="T719" i="2" s="1"/>
  <c r="I720" i="2"/>
  <c r="T720" i="2" s="1"/>
  <c r="I721" i="2"/>
  <c r="T721" i="2" s="1"/>
  <c r="I722" i="2"/>
  <c r="T722" i="2" s="1"/>
  <c r="I723" i="2"/>
  <c r="T723" i="2" s="1"/>
  <c r="I724" i="2"/>
  <c r="T724" i="2" s="1"/>
  <c r="I725" i="2"/>
  <c r="T725" i="2" s="1"/>
  <c r="I726" i="2"/>
  <c r="T726" i="2" s="1"/>
  <c r="I727" i="2"/>
  <c r="T727" i="2" s="1"/>
  <c r="I728" i="2"/>
  <c r="T728" i="2" s="1"/>
  <c r="I729" i="2"/>
  <c r="T729" i="2" s="1"/>
  <c r="I730" i="2"/>
  <c r="T730" i="2" s="1"/>
  <c r="I731" i="2"/>
  <c r="T731" i="2" s="1"/>
  <c r="I732" i="2"/>
  <c r="T732" i="2" s="1"/>
  <c r="I733" i="2"/>
  <c r="T733" i="2" s="1"/>
  <c r="I734" i="2"/>
  <c r="T734" i="2" s="1"/>
  <c r="I735" i="2"/>
  <c r="T735" i="2" s="1"/>
  <c r="I736" i="2"/>
  <c r="T736" i="2" s="1"/>
  <c r="I737" i="2"/>
  <c r="T737" i="2" s="1"/>
  <c r="I738" i="2"/>
  <c r="T738" i="2" s="1"/>
  <c r="I739" i="2"/>
  <c r="T739" i="2" s="1"/>
  <c r="I740" i="2"/>
  <c r="T740" i="2" s="1"/>
  <c r="I741" i="2"/>
  <c r="T741" i="2" s="1"/>
  <c r="I742" i="2"/>
  <c r="T742" i="2" s="1"/>
  <c r="I743" i="2"/>
  <c r="T743" i="2" s="1"/>
  <c r="I744" i="2"/>
  <c r="T744" i="2" s="1"/>
  <c r="I745" i="2"/>
  <c r="T745" i="2" s="1"/>
  <c r="I746" i="2"/>
  <c r="T746" i="2" s="1"/>
  <c r="I747" i="2"/>
  <c r="T747" i="2" s="1"/>
  <c r="I748" i="2"/>
  <c r="T748" i="2" s="1"/>
  <c r="I749" i="2"/>
  <c r="T749" i="2" s="1"/>
  <c r="I750" i="2"/>
  <c r="T750" i="2" s="1"/>
  <c r="I751" i="2"/>
  <c r="T751" i="2" s="1"/>
  <c r="I752" i="2"/>
  <c r="T752" i="2" s="1"/>
  <c r="I753" i="2"/>
  <c r="T753" i="2" s="1"/>
  <c r="I754" i="2"/>
  <c r="T754" i="2" s="1"/>
  <c r="I755" i="2"/>
  <c r="T755" i="2" s="1"/>
  <c r="I756" i="2"/>
  <c r="T756" i="2" s="1"/>
  <c r="I757" i="2"/>
  <c r="T757" i="2" s="1"/>
  <c r="I758" i="2"/>
  <c r="T758" i="2" s="1"/>
  <c r="I759" i="2"/>
  <c r="T759" i="2" s="1"/>
  <c r="I760" i="2"/>
  <c r="T760" i="2" s="1"/>
  <c r="I761" i="2"/>
  <c r="T761" i="2" s="1"/>
  <c r="I762" i="2"/>
  <c r="T762" i="2" s="1"/>
  <c r="I763" i="2"/>
  <c r="T763" i="2" s="1"/>
  <c r="I764" i="2"/>
  <c r="T764" i="2" s="1"/>
  <c r="I765" i="2"/>
  <c r="T765" i="2" s="1"/>
  <c r="I766" i="2"/>
  <c r="T766" i="2" s="1"/>
  <c r="I767" i="2"/>
  <c r="T767" i="2" s="1"/>
  <c r="I768" i="2"/>
  <c r="T768" i="2" s="1"/>
  <c r="I769" i="2"/>
  <c r="T769" i="2" s="1"/>
  <c r="I770" i="2"/>
  <c r="T770" i="2" s="1"/>
  <c r="I771" i="2"/>
  <c r="T771" i="2" s="1"/>
  <c r="I772" i="2"/>
  <c r="T772" i="2" s="1"/>
  <c r="I773" i="2"/>
  <c r="T773" i="2" s="1"/>
  <c r="I774" i="2"/>
  <c r="T774" i="2" s="1"/>
  <c r="I775" i="2"/>
  <c r="T775" i="2" s="1"/>
  <c r="I776" i="2"/>
  <c r="T776" i="2" s="1"/>
  <c r="I777" i="2"/>
  <c r="T777" i="2" s="1"/>
  <c r="I778" i="2"/>
  <c r="T778" i="2" s="1"/>
  <c r="I779" i="2"/>
  <c r="T779" i="2" s="1"/>
  <c r="I780" i="2"/>
  <c r="T780" i="2" s="1"/>
  <c r="I781" i="2"/>
  <c r="T781" i="2" s="1"/>
  <c r="I782" i="2"/>
  <c r="T782" i="2" s="1"/>
  <c r="I783" i="2"/>
  <c r="T783" i="2" s="1"/>
  <c r="I784" i="2"/>
  <c r="T784" i="2" s="1"/>
  <c r="I785" i="2"/>
  <c r="T785" i="2" s="1"/>
  <c r="I786" i="2"/>
  <c r="T786" i="2" s="1"/>
  <c r="I787" i="2"/>
  <c r="T787" i="2" s="1"/>
  <c r="I788" i="2"/>
  <c r="T788" i="2" s="1"/>
  <c r="I789" i="2"/>
  <c r="T789" i="2" s="1"/>
  <c r="I790" i="2"/>
  <c r="T790" i="2" s="1"/>
  <c r="I791" i="2"/>
  <c r="T791" i="2" s="1"/>
  <c r="I792" i="2"/>
  <c r="T792" i="2" s="1"/>
  <c r="I793" i="2"/>
  <c r="T793" i="2" s="1"/>
  <c r="I794" i="2"/>
  <c r="T794" i="2" s="1"/>
  <c r="I795" i="2"/>
  <c r="T795" i="2" s="1"/>
  <c r="I796" i="2"/>
  <c r="T796" i="2" s="1"/>
  <c r="I797" i="2"/>
  <c r="T797" i="2" s="1"/>
  <c r="I798" i="2"/>
  <c r="T798" i="2" s="1"/>
  <c r="I799" i="2"/>
  <c r="T799" i="2" s="1"/>
  <c r="I800" i="2"/>
  <c r="T800" i="2" s="1"/>
  <c r="I801" i="2"/>
  <c r="T801" i="2" s="1"/>
  <c r="I802" i="2"/>
  <c r="T802" i="2" s="1"/>
  <c r="I803" i="2"/>
  <c r="T803" i="2" s="1"/>
  <c r="I804" i="2"/>
  <c r="T804" i="2" s="1"/>
  <c r="I805" i="2"/>
  <c r="T805" i="2" s="1"/>
  <c r="I806" i="2"/>
  <c r="T806" i="2" s="1"/>
  <c r="I807" i="2"/>
  <c r="T807" i="2" s="1"/>
  <c r="I808" i="2"/>
  <c r="T808" i="2" s="1"/>
  <c r="I809" i="2"/>
  <c r="T809" i="2" s="1"/>
  <c r="I810" i="2"/>
  <c r="T810" i="2" s="1"/>
  <c r="I811" i="2"/>
  <c r="T811" i="2" s="1"/>
  <c r="I812" i="2"/>
  <c r="T812" i="2" s="1"/>
  <c r="I813" i="2"/>
  <c r="T813" i="2" s="1"/>
  <c r="I814" i="2"/>
  <c r="T814" i="2" s="1"/>
  <c r="I815" i="2"/>
  <c r="T815" i="2" s="1"/>
  <c r="I816" i="2"/>
  <c r="T816" i="2" s="1"/>
  <c r="I817" i="2"/>
  <c r="T817" i="2" s="1"/>
  <c r="I818" i="2"/>
  <c r="T818" i="2" s="1"/>
  <c r="I819" i="2"/>
  <c r="T819" i="2" s="1"/>
  <c r="I820" i="2"/>
  <c r="T820" i="2" s="1"/>
  <c r="I821" i="2"/>
  <c r="T821" i="2" s="1"/>
  <c r="I822" i="2"/>
  <c r="T822" i="2" s="1"/>
  <c r="I823" i="2"/>
  <c r="T823" i="2" s="1"/>
  <c r="I824" i="2"/>
  <c r="T824" i="2" s="1"/>
  <c r="I825" i="2"/>
  <c r="T825" i="2" s="1"/>
  <c r="I826" i="2"/>
  <c r="T826" i="2" s="1"/>
  <c r="I827" i="2"/>
  <c r="T827" i="2" s="1"/>
  <c r="I828" i="2"/>
  <c r="T828" i="2" s="1"/>
  <c r="I829" i="2"/>
  <c r="T829" i="2" s="1"/>
  <c r="I830" i="2"/>
  <c r="T830" i="2" s="1"/>
  <c r="I831" i="2"/>
  <c r="T831" i="2" s="1"/>
  <c r="I832" i="2"/>
  <c r="T832" i="2" s="1"/>
  <c r="I833" i="2"/>
  <c r="T833" i="2" s="1"/>
  <c r="I834" i="2"/>
  <c r="T834" i="2" s="1"/>
  <c r="I835" i="2"/>
  <c r="T835" i="2" s="1"/>
  <c r="I836" i="2"/>
  <c r="T836" i="2" s="1"/>
  <c r="I837" i="2"/>
  <c r="T837" i="2" s="1"/>
  <c r="I838" i="2"/>
  <c r="T838" i="2" s="1"/>
  <c r="I839" i="2"/>
  <c r="T839" i="2" s="1"/>
  <c r="I840" i="2"/>
  <c r="T840" i="2" s="1"/>
  <c r="I841" i="2"/>
  <c r="T841" i="2" s="1"/>
  <c r="I842" i="2"/>
  <c r="T842" i="2" s="1"/>
  <c r="I843" i="2"/>
  <c r="T843" i="2" s="1"/>
  <c r="I844" i="2"/>
  <c r="T844" i="2" s="1"/>
  <c r="I845" i="2"/>
  <c r="T845" i="2" s="1"/>
  <c r="I846" i="2"/>
  <c r="T846" i="2" s="1"/>
  <c r="I847" i="2"/>
  <c r="T847" i="2" s="1"/>
  <c r="I848" i="2"/>
  <c r="T848" i="2" s="1"/>
  <c r="I849" i="2"/>
  <c r="T849" i="2" s="1"/>
  <c r="I850" i="2"/>
  <c r="T850" i="2" s="1"/>
  <c r="I851" i="2"/>
  <c r="T851" i="2" s="1"/>
  <c r="I852" i="2"/>
  <c r="T852" i="2" s="1"/>
  <c r="I853" i="2"/>
  <c r="T853" i="2" s="1"/>
  <c r="I854" i="2"/>
  <c r="T854" i="2" s="1"/>
  <c r="I855" i="2"/>
  <c r="T855" i="2" s="1"/>
  <c r="I856" i="2"/>
  <c r="T856" i="2" s="1"/>
  <c r="I857" i="2"/>
  <c r="T857" i="2" s="1"/>
  <c r="I858" i="2"/>
  <c r="T858" i="2" s="1"/>
  <c r="I859" i="2"/>
  <c r="T859" i="2" s="1"/>
  <c r="I860" i="2"/>
  <c r="T860" i="2" s="1"/>
  <c r="I861" i="2"/>
  <c r="T861" i="2" s="1"/>
  <c r="I862" i="2"/>
  <c r="T862" i="2" s="1"/>
  <c r="I863" i="2"/>
  <c r="T863" i="2" s="1"/>
  <c r="I864" i="2"/>
  <c r="T864" i="2" s="1"/>
  <c r="I865" i="2"/>
  <c r="T865" i="2" s="1"/>
  <c r="I866" i="2"/>
  <c r="T866" i="2" s="1"/>
  <c r="I867" i="2"/>
  <c r="T867" i="2" s="1"/>
  <c r="I868" i="2"/>
  <c r="T868" i="2" s="1"/>
  <c r="I869" i="2"/>
  <c r="T869" i="2" s="1"/>
  <c r="I870" i="2"/>
  <c r="T870" i="2" s="1"/>
  <c r="I871" i="2"/>
  <c r="T871" i="2" s="1"/>
  <c r="I872" i="2"/>
  <c r="T872" i="2" s="1"/>
  <c r="I873" i="2"/>
  <c r="T873" i="2" s="1"/>
  <c r="I874" i="2"/>
  <c r="T874" i="2" s="1"/>
  <c r="I875" i="2"/>
  <c r="T875" i="2" s="1"/>
  <c r="I876" i="2"/>
  <c r="T876" i="2" s="1"/>
  <c r="I877" i="2"/>
  <c r="T877" i="2" s="1"/>
  <c r="I878" i="2"/>
  <c r="T878" i="2" s="1"/>
  <c r="I879" i="2"/>
  <c r="T879" i="2" s="1"/>
  <c r="I880" i="2"/>
  <c r="T880" i="2" s="1"/>
  <c r="I881" i="2"/>
  <c r="T881" i="2" s="1"/>
  <c r="I882" i="2"/>
  <c r="T882" i="2" s="1"/>
  <c r="I883" i="2"/>
  <c r="T883" i="2" s="1"/>
  <c r="I884" i="2"/>
  <c r="T884" i="2" s="1"/>
  <c r="I885" i="2"/>
  <c r="T885" i="2" s="1"/>
  <c r="I886" i="2"/>
  <c r="T886" i="2" s="1"/>
  <c r="I887" i="2"/>
  <c r="T887" i="2" s="1"/>
  <c r="I888" i="2"/>
  <c r="T888" i="2" s="1"/>
  <c r="I889" i="2"/>
  <c r="T889" i="2" s="1"/>
  <c r="I890" i="2"/>
  <c r="T890" i="2" s="1"/>
  <c r="I891" i="2"/>
  <c r="T891" i="2" s="1"/>
  <c r="I892" i="2"/>
  <c r="T892" i="2" s="1"/>
  <c r="I893" i="2"/>
  <c r="T893" i="2" s="1"/>
  <c r="I894" i="2"/>
  <c r="T894" i="2" s="1"/>
  <c r="I895" i="2"/>
  <c r="T895" i="2" s="1"/>
  <c r="I896" i="2"/>
  <c r="T896" i="2" s="1"/>
  <c r="I897" i="2"/>
  <c r="T897" i="2" s="1"/>
  <c r="I898" i="2"/>
  <c r="T898" i="2" s="1"/>
  <c r="I899" i="2"/>
  <c r="T899" i="2" s="1"/>
  <c r="I900" i="2"/>
  <c r="T900" i="2" s="1"/>
  <c r="I901" i="2"/>
  <c r="T901" i="2" s="1"/>
  <c r="I902" i="2"/>
  <c r="T902" i="2" s="1"/>
  <c r="I903" i="2"/>
  <c r="T903" i="2" s="1"/>
  <c r="I904" i="2"/>
  <c r="T904" i="2" s="1"/>
  <c r="I905" i="2"/>
  <c r="T905" i="2" s="1"/>
  <c r="I906" i="2"/>
  <c r="T906" i="2" s="1"/>
  <c r="I907" i="2"/>
  <c r="T907" i="2" s="1"/>
  <c r="I908" i="2"/>
  <c r="T908" i="2" s="1"/>
  <c r="I909" i="2"/>
  <c r="T909" i="2" s="1"/>
  <c r="I910" i="2"/>
  <c r="T910" i="2" s="1"/>
  <c r="I911" i="2"/>
  <c r="T911" i="2" s="1"/>
  <c r="I912" i="2"/>
  <c r="T912" i="2" s="1"/>
  <c r="I913" i="2"/>
  <c r="T913" i="2" s="1"/>
  <c r="I914" i="2"/>
  <c r="T914" i="2" s="1"/>
  <c r="I915" i="2"/>
  <c r="T915" i="2" s="1"/>
  <c r="I916" i="2"/>
  <c r="T916" i="2" s="1"/>
  <c r="I917" i="2"/>
  <c r="T917" i="2" s="1"/>
  <c r="I918" i="2"/>
  <c r="T918" i="2" s="1"/>
  <c r="I919" i="2"/>
  <c r="T919" i="2" s="1"/>
  <c r="I920" i="2"/>
  <c r="T920" i="2" s="1"/>
  <c r="I921" i="2"/>
  <c r="T921" i="2" s="1"/>
  <c r="I922" i="2"/>
  <c r="T922" i="2" s="1"/>
  <c r="I923" i="2"/>
  <c r="T923" i="2" s="1"/>
  <c r="I924" i="2"/>
  <c r="T924" i="2" s="1"/>
  <c r="I925" i="2"/>
  <c r="T925" i="2" s="1"/>
  <c r="I926" i="2"/>
  <c r="T926" i="2" s="1"/>
  <c r="I927" i="2"/>
  <c r="T927" i="2" s="1"/>
  <c r="I928" i="2"/>
  <c r="T928" i="2" s="1"/>
  <c r="I929" i="2"/>
  <c r="T929" i="2" s="1"/>
  <c r="I930" i="2"/>
  <c r="T930" i="2" s="1"/>
  <c r="I931" i="2"/>
  <c r="T931" i="2" s="1"/>
  <c r="I932" i="2"/>
  <c r="T932" i="2" s="1"/>
  <c r="I933" i="2"/>
  <c r="T933" i="2" s="1"/>
  <c r="I934" i="2"/>
  <c r="T934" i="2" s="1"/>
  <c r="I935" i="2"/>
  <c r="T935" i="2" s="1"/>
  <c r="I936" i="2"/>
  <c r="T936" i="2" s="1"/>
  <c r="I937" i="2"/>
  <c r="T937" i="2" s="1"/>
  <c r="I938" i="2"/>
  <c r="T938" i="2" s="1"/>
  <c r="I939" i="2"/>
  <c r="T939" i="2" s="1"/>
  <c r="I940" i="2"/>
  <c r="T940" i="2" s="1"/>
  <c r="I941" i="2"/>
  <c r="T941" i="2" s="1"/>
  <c r="I942" i="2"/>
  <c r="T942" i="2" s="1"/>
  <c r="I943" i="2"/>
  <c r="T943" i="2" s="1"/>
  <c r="I944" i="2"/>
  <c r="T944" i="2" s="1"/>
  <c r="I945" i="2"/>
  <c r="T945" i="2" s="1"/>
  <c r="I946" i="2"/>
  <c r="T946" i="2" s="1"/>
  <c r="I947" i="2"/>
  <c r="T947" i="2" s="1"/>
  <c r="I948" i="2"/>
  <c r="T948" i="2" s="1"/>
  <c r="I949" i="2"/>
  <c r="T949" i="2" s="1"/>
  <c r="I950" i="2"/>
  <c r="T950" i="2" s="1"/>
  <c r="I951" i="2"/>
  <c r="T951" i="2" s="1"/>
  <c r="I952" i="2"/>
  <c r="T952" i="2" s="1"/>
  <c r="I953" i="2"/>
  <c r="T953" i="2" s="1"/>
  <c r="I954" i="2"/>
  <c r="T954" i="2" s="1"/>
  <c r="I955" i="2"/>
  <c r="T955" i="2" s="1"/>
  <c r="I956" i="2"/>
  <c r="T956" i="2" s="1"/>
  <c r="I957" i="2"/>
  <c r="T957" i="2" s="1"/>
  <c r="I958" i="2"/>
  <c r="T958" i="2" s="1"/>
  <c r="I959" i="2"/>
  <c r="T959" i="2" s="1"/>
  <c r="I960" i="2"/>
  <c r="T960" i="2" s="1"/>
  <c r="I961" i="2"/>
  <c r="T961" i="2" s="1"/>
  <c r="I962" i="2"/>
  <c r="T962" i="2" s="1"/>
  <c r="I963" i="2"/>
  <c r="T963" i="2" s="1"/>
  <c r="I964" i="2"/>
  <c r="T964" i="2" s="1"/>
  <c r="I965" i="2"/>
  <c r="T965" i="2" s="1"/>
  <c r="I966" i="2"/>
  <c r="T966" i="2" s="1"/>
  <c r="I967" i="2"/>
  <c r="T967" i="2" s="1"/>
  <c r="I968" i="2"/>
  <c r="T968" i="2" s="1"/>
  <c r="I969" i="2"/>
  <c r="T969" i="2" s="1"/>
  <c r="I970" i="2"/>
  <c r="T970" i="2" s="1"/>
  <c r="I971" i="2"/>
  <c r="T971" i="2" s="1"/>
  <c r="I972" i="2"/>
  <c r="T972" i="2" s="1"/>
  <c r="I973" i="2"/>
  <c r="T973" i="2" s="1"/>
  <c r="I974" i="2"/>
  <c r="T974" i="2" s="1"/>
  <c r="I975" i="2"/>
  <c r="T975" i="2" s="1"/>
  <c r="I976" i="2"/>
  <c r="T976" i="2" s="1"/>
  <c r="I977" i="2"/>
  <c r="T977" i="2" s="1"/>
  <c r="I978" i="2"/>
  <c r="T978" i="2" s="1"/>
  <c r="I979" i="2"/>
  <c r="T979" i="2" s="1"/>
  <c r="I980" i="2"/>
  <c r="T980" i="2" s="1"/>
  <c r="I981" i="2"/>
  <c r="T981" i="2" s="1"/>
  <c r="I982" i="2"/>
  <c r="T982" i="2" s="1"/>
  <c r="I983" i="2"/>
  <c r="T983" i="2" s="1"/>
  <c r="I984" i="2"/>
  <c r="T984" i="2" s="1"/>
  <c r="I985" i="2"/>
  <c r="T985" i="2" s="1"/>
  <c r="I986" i="2"/>
  <c r="T986" i="2" s="1"/>
  <c r="I987" i="2"/>
  <c r="T987" i="2" s="1"/>
  <c r="I988" i="2"/>
  <c r="T988" i="2" s="1"/>
  <c r="I989" i="2"/>
  <c r="T989" i="2" s="1"/>
  <c r="I990" i="2"/>
  <c r="T990" i="2" s="1"/>
  <c r="I991" i="2"/>
  <c r="T991" i="2" s="1"/>
  <c r="I992" i="2"/>
  <c r="T992" i="2" s="1"/>
  <c r="I993" i="2"/>
  <c r="T993" i="2" s="1"/>
  <c r="I994" i="2"/>
  <c r="T994" i="2" s="1"/>
  <c r="I995" i="2"/>
  <c r="T995" i="2" s="1"/>
  <c r="I996" i="2"/>
  <c r="T996" i="2" s="1"/>
  <c r="I997" i="2"/>
  <c r="T997" i="2" s="1"/>
  <c r="I998" i="2"/>
  <c r="T998" i="2" s="1"/>
  <c r="I999" i="2"/>
  <c r="T999" i="2" s="1"/>
  <c r="I1000" i="2"/>
  <c r="T1000" i="2" s="1"/>
  <c r="I1001" i="2"/>
  <c r="T1001" i="2" s="1"/>
  <c r="I1002" i="2"/>
  <c r="T1002" i="2" s="1"/>
  <c r="I1003" i="2"/>
  <c r="T1003" i="2" s="1"/>
  <c r="I1004" i="2"/>
  <c r="T1004" i="2" s="1"/>
  <c r="I1005" i="2"/>
  <c r="T1005" i="2" s="1"/>
  <c r="I1006" i="2"/>
  <c r="T1006" i="2" s="1"/>
  <c r="I1007" i="2"/>
  <c r="T1007" i="2" s="1"/>
  <c r="I1008" i="2"/>
  <c r="T1008" i="2" s="1"/>
  <c r="I1009" i="2"/>
  <c r="T1009" i="2" s="1"/>
  <c r="I1010" i="2"/>
  <c r="T1010" i="2" s="1"/>
  <c r="I1011" i="2"/>
  <c r="T1011" i="2" s="1"/>
  <c r="I1012" i="2"/>
  <c r="T1012" i="2" s="1"/>
  <c r="I1013" i="2"/>
  <c r="T1013" i="2" s="1"/>
  <c r="I1014" i="2"/>
  <c r="T1014" i="2" s="1"/>
  <c r="I1015" i="2"/>
  <c r="T1015" i="2" s="1"/>
  <c r="I1016" i="2"/>
  <c r="T1016" i="2" s="1"/>
  <c r="I1017" i="2"/>
  <c r="T1017" i="2" s="1"/>
  <c r="I1018" i="2"/>
  <c r="T1018" i="2" s="1"/>
  <c r="I1019" i="2"/>
  <c r="T1019" i="2" s="1"/>
  <c r="I1020" i="2"/>
  <c r="T1020" i="2" s="1"/>
  <c r="I1021" i="2"/>
  <c r="T1021" i="2" s="1"/>
  <c r="I1022" i="2"/>
  <c r="T1022" i="2" s="1"/>
  <c r="I1023" i="2"/>
  <c r="T1023" i="2" s="1"/>
  <c r="I1024" i="2"/>
  <c r="T1024" i="2" s="1"/>
  <c r="I1025" i="2"/>
  <c r="T1025" i="2" s="1"/>
  <c r="I1026" i="2"/>
  <c r="T1026" i="2" s="1"/>
  <c r="I1027" i="2"/>
  <c r="T1027" i="2" s="1"/>
  <c r="I1028" i="2"/>
  <c r="T1028" i="2" s="1"/>
  <c r="I1029" i="2"/>
  <c r="T1029" i="2" s="1"/>
  <c r="I1030" i="2"/>
  <c r="T1030" i="2" s="1"/>
  <c r="I1031" i="2"/>
  <c r="T1031" i="2" s="1"/>
  <c r="I1032" i="2"/>
  <c r="T1032" i="2" s="1"/>
  <c r="I1033" i="2"/>
  <c r="T1033" i="2" s="1"/>
  <c r="I1034" i="2"/>
  <c r="T1034" i="2" s="1"/>
  <c r="I1035" i="2"/>
  <c r="T1035" i="2" s="1"/>
  <c r="I1036" i="2"/>
  <c r="T1036" i="2" s="1"/>
  <c r="I1037" i="2"/>
  <c r="T1037" i="2" s="1"/>
  <c r="I1038" i="2"/>
  <c r="T1038" i="2" s="1"/>
  <c r="I1039" i="2"/>
  <c r="T1039" i="2" s="1"/>
  <c r="I1040" i="2"/>
  <c r="T1040" i="2" s="1"/>
  <c r="I1041" i="2"/>
  <c r="T1041" i="2" s="1"/>
  <c r="I1042" i="2"/>
  <c r="T1042" i="2" s="1"/>
  <c r="I1043" i="2"/>
  <c r="T1043" i="2" s="1"/>
  <c r="I1044" i="2"/>
  <c r="T1044" i="2" s="1"/>
  <c r="I1045" i="2"/>
  <c r="T1045" i="2" s="1"/>
  <c r="I1046" i="2"/>
  <c r="T1046" i="2" s="1"/>
  <c r="I1047" i="2"/>
  <c r="T1047" i="2" s="1"/>
  <c r="I1048" i="2"/>
  <c r="T1048" i="2" s="1"/>
  <c r="I1049" i="2"/>
  <c r="T1049" i="2" s="1"/>
  <c r="I1050" i="2"/>
  <c r="T1050" i="2" s="1"/>
  <c r="I1051" i="2"/>
  <c r="T1051" i="2" s="1"/>
  <c r="I1052" i="2"/>
  <c r="T1052" i="2" s="1"/>
  <c r="I1053" i="2"/>
  <c r="T1053" i="2" s="1"/>
  <c r="I1054" i="2"/>
  <c r="T1054" i="2" s="1"/>
  <c r="I1055" i="2"/>
  <c r="T1055" i="2" s="1"/>
  <c r="I1056" i="2"/>
  <c r="T1056" i="2" s="1"/>
  <c r="I1057" i="2"/>
  <c r="T1057" i="2" s="1"/>
  <c r="I1058" i="2"/>
  <c r="T1058" i="2" s="1"/>
  <c r="I1059" i="2"/>
  <c r="T1059" i="2" s="1"/>
  <c r="I1060" i="2"/>
  <c r="T1060" i="2" s="1"/>
  <c r="I1061" i="2"/>
  <c r="T1061" i="2" s="1"/>
  <c r="I1062" i="2"/>
  <c r="T1062" i="2" s="1"/>
  <c r="I1063" i="2"/>
  <c r="T1063" i="2" s="1"/>
  <c r="I1064" i="2"/>
  <c r="T1064" i="2" s="1"/>
  <c r="I1065" i="2"/>
  <c r="T1065" i="2" s="1"/>
  <c r="I1066" i="2"/>
  <c r="T1066" i="2" s="1"/>
  <c r="I1067" i="2"/>
  <c r="T1067" i="2" s="1"/>
  <c r="I1068" i="2"/>
  <c r="T1068" i="2" s="1"/>
  <c r="I1069" i="2"/>
  <c r="T1069" i="2" s="1"/>
  <c r="I1070" i="2"/>
  <c r="T1070" i="2" s="1"/>
  <c r="I1071" i="2"/>
  <c r="T1071" i="2" s="1"/>
  <c r="I1072" i="2"/>
  <c r="T1072" i="2" s="1"/>
  <c r="I1073" i="2"/>
  <c r="T1073" i="2" s="1"/>
  <c r="I1074" i="2"/>
  <c r="T1074" i="2" s="1"/>
  <c r="I1075" i="2"/>
  <c r="T1075" i="2" s="1"/>
  <c r="I1076" i="2"/>
  <c r="T1076" i="2" s="1"/>
  <c r="I1077" i="2"/>
  <c r="T1077" i="2" s="1"/>
  <c r="I1078" i="2"/>
  <c r="T1078" i="2" s="1"/>
  <c r="I1079" i="2"/>
  <c r="T1079" i="2" s="1"/>
  <c r="I1080" i="2"/>
  <c r="T1080" i="2" s="1"/>
  <c r="I1081" i="2"/>
  <c r="T1081" i="2" s="1"/>
  <c r="I1082" i="2"/>
  <c r="T1082" i="2" s="1"/>
  <c r="I1083" i="2"/>
  <c r="T1083" i="2" s="1"/>
  <c r="I1084" i="2"/>
  <c r="T1084" i="2" s="1"/>
  <c r="I1085" i="2"/>
  <c r="T1085" i="2" s="1"/>
  <c r="I1086" i="2"/>
  <c r="T1086" i="2" s="1"/>
  <c r="I1087" i="2"/>
  <c r="T1087" i="2" s="1"/>
  <c r="I1088" i="2"/>
  <c r="T1088" i="2" s="1"/>
  <c r="I1089" i="2"/>
  <c r="T1089" i="2" s="1"/>
  <c r="I1090" i="2"/>
  <c r="T1090" i="2" s="1"/>
  <c r="I1091" i="2"/>
  <c r="T1091" i="2" s="1"/>
  <c r="I1092" i="2"/>
  <c r="T1092" i="2" s="1"/>
  <c r="I1093" i="2"/>
  <c r="T1093" i="2" s="1"/>
  <c r="I1094" i="2"/>
  <c r="T1094" i="2" s="1"/>
  <c r="I1095" i="2"/>
  <c r="T1095" i="2" s="1"/>
  <c r="I1096" i="2"/>
  <c r="T1096" i="2" s="1"/>
  <c r="I1097" i="2"/>
  <c r="T1097" i="2" s="1"/>
  <c r="I1098" i="2"/>
  <c r="T1098" i="2" s="1"/>
  <c r="I1099" i="2"/>
  <c r="T1099" i="2" s="1"/>
  <c r="I1100" i="2"/>
  <c r="T1100" i="2" s="1"/>
  <c r="I1101" i="2"/>
  <c r="T1101" i="2" s="1"/>
  <c r="I1102" i="2"/>
  <c r="T1102" i="2" s="1"/>
  <c r="I1103" i="2"/>
  <c r="T1103" i="2" s="1"/>
  <c r="I1104" i="2"/>
  <c r="T1104" i="2" s="1"/>
  <c r="I1105" i="2"/>
  <c r="T1105" i="2" s="1"/>
  <c r="I1106" i="2"/>
  <c r="T1106" i="2" s="1"/>
  <c r="I1107" i="2"/>
  <c r="T1107" i="2" s="1"/>
  <c r="I1108" i="2"/>
  <c r="T1108" i="2" s="1"/>
  <c r="I1109" i="2"/>
  <c r="T1109" i="2" s="1"/>
  <c r="I1110" i="2"/>
  <c r="T1110" i="2" s="1"/>
  <c r="I1111" i="2"/>
  <c r="T1111" i="2" s="1"/>
  <c r="I1112" i="2"/>
  <c r="T1112" i="2" s="1"/>
  <c r="I1113" i="2"/>
  <c r="T1113" i="2" s="1"/>
  <c r="I1114" i="2"/>
  <c r="T1114" i="2" s="1"/>
  <c r="I1115" i="2"/>
  <c r="T1115" i="2" s="1"/>
  <c r="I1116" i="2"/>
  <c r="T1116" i="2" s="1"/>
  <c r="I1117" i="2"/>
  <c r="T1117" i="2" s="1"/>
  <c r="I1118" i="2"/>
  <c r="T1118" i="2" s="1"/>
  <c r="I1119" i="2"/>
  <c r="T1119" i="2" s="1"/>
  <c r="I1120" i="2"/>
  <c r="T1120" i="2" s="1"/>
  <c r="I1121" i="2"/>
  <c r="T1121" i="2" s="1"/>
  <c r="I1122" i="2"/>
  <c r="T1122" i="2" s="1"/>
  <c r="I1123" i="2"/>
  <c r="T1123" i="2" s="1"/>
  <c r="I1124" i="2"/>
  <c r="T1124" i="2" s="1"/>
  <c r="I1125" i="2"/>
  <c r="T1125" i="2" s="1"/>
  <c r="I1126" i="2"/>
  <c r="T1126" i="2" s="1"/>
  <c r="I1127" i="2"/>
  <c r="T1127" i="2" s="1"/>
  <c r="I1128" i="2"/>
  <c r="T1128" i="2" s="1"/>
  <c r="I1129" i="2"/>
  <c r="T1129" i="2" s="1"/>
  <c r="I1130" i="2"/>
  <c r="T1130" i="2" s="1"/>
  <c r="I1131" i="2"/>
  <c r="T1131" i="2" s="1"/>
  <c r="I1132" i="2"/>
  <c r="T1132" i="2" s="1"/>
  <c r="I1133" i="2"/>
  <c r="T1133" i="2" s="1"/>
  <c r="I1134" i="2"/>
  <c r="T1134" i="2" s="1"/>
  <c r="I1135" i="2"/>
  <c r="T1135" i="2" s="1"/>
  <c r="I1136" i="2"/>
  <c r="T1136" i="2" s="1"/>
  <c r="I1137" i="2"/>
  <c r="T1137" i="2" s="1"/>
  <c r="I1138" i="2"/>
  <c r="T1138" i="2" s="1"/>
  <c r="I1139" i="2"/>
  <c r="T1139" i="2" s="1"/>
  <c r="I1140" i="2"/>
  <c r="T1140" i="2" s="1"/>
  <c r="I1141" i="2"/>
  <c r="T1141" i="2" s="1"/>
  <c r="I1142" i="2"/>
  <c r="T1142" i="2" s="1"/>
  <c r="I1143" i="2"/>
  <c r="T1143" i="2" s="1"/>
  <c r="I1144" i="2"/>
  <c r="T1144" i="2" s="1"/>
  <c r="I1145" i="2"/>
  <c r="T1145" i="2" s="1"/>
  <c r="I1146" i="2"/>
  <c r="T1146" i="2" s="1"/>
  <c r="I1147" i="2"/>
  <c r="T1147" i="2" s="1"/>
  <c r="I1148" i="2"/>
  <c r="T1148" i="2" s="1"/>
  <c r="I1149" i="2"/>
  <c r="T1149" i="2" s="1"/>
  <c r="I1150" i="2"/>
  <c r="T1150" i="2" s="1"/>
  <c r="I1151" i="2"/>
  <c r="T1151" i="2" s="1"/>
  <c r="I1152" i="2"/>
  <c r="T1152" i="2" s="1"/>
  <c r="I1153" i="2"/>
  <c r="T1153" i="2" s="1"/>
  <c r="I1154" i="2"/>
  <c r="T1154" i="2" s="1"/>
  <c r="I1155" i="2"/>
  <c r="T1155" i="2" s="1"/>
  <c r="I1156" i="2"/>
  <c r="T1156" i="2" s="1"/>
  <c r="I1157" i="2"/>
  <c r="T1157" i="2" s="1"/>
  <c r="I1158" i="2"/>
  <c r="T1158" i="2" s="1"/>
  <c r="I1159" i="2"/>
  <c r="T1159" i="2" s="1"/>
  <c r="I1160" i="2"/>
  <c r="T1160" i="2" s="1"/>
  <c r="I1161" i="2"/>
  <c r="T1161" i="2" s="1"/>
  <c r="I1162" i="2"/>
  <c r="T1162" i="2" s="1"/>
  <c r="I1163" i="2"/>
  <c r="T1163" i="2" s="1"/>
  <c r="I1164" i="2"/>
  <c r="T1164" i="2" s="1"/>
  <c r="I1165" i="2"/>
  <c r="T1165" i="2" s="1"/>
  <c r="I1166" i="2"/>
  <c r="T1166" i="2" s="1"/>
  <c r="I1167" i="2"/>
  <c r="T1167" i="2" s="1"/>
  <c r="I1168" i="2"/>
  <c r="T1168" i="2" s="1"/>
  <c r="I1169" i="2"/>
  <c r="T1169" i="2" s="1"/>
  <c r="I1170" i="2"/>
  <c r="T1170" i="2" s="1"/>
  <c r="I1171" i="2"/>
  <c r="T1171" i="2" s="1"/>
  <c r="I1172" i="2"/>
  <c r="T1172" i="2" s="1"/>
  <c r="I1173" i="2"/>
  <c r="T1173" i="2" s="1"/>
  <c r="I1174" i="2"/>
  <c r="T1174" i="2" s="1"/>
  <c r="I1175" i="2"/>
  <c r="T1175" i="2" s="1"/>
  <c r="I1176" i="2"/>
  <c r="T1176" i="2" s="1"/>
  <c r="I1177" i="2"/>
  <c r="T1177" i="2" s="1"/>
  <c r="I1178" i="2"/>
  <c r="T1178" i="2" s="1"/>
  <c r="I1179" i="2"/>
  <c r="T1179" i="2" s="1"/>
  <c r="I1180" i="2"/>
  <c r="T1180" i="2" s="1"/>
  <c r="I1181" i="2"/>
  <c r="T1181" i="2" s="1"/>
  <c r="I1182" i="2"/>
  <c r="T1182" i="2" s="1"/>
  <c r="I1183" i="2"/>
  <c r="T1183" i="2" s="1"/>
  <c r="I1184" i="2"/>
  <c r="T1184" i="2" s="1"/>
  <c r="I1185" i="2"/>
  <c r="T1185" i="2" s="1"/>
  <c r="I1186" i="2"/>
  <c r="T1186" i="2" s="1"/>
  <c r="I1187" i="2"/>
  <c r="T1187" i="2" s="1"/>
  <c r="I1188" i="2"/>
  <c r="T1188" i="2" s="1"/>
  <c r="I1189" i="2"/>
  <c r="T1189" i="2" s="1"/>
  <c r="I1190" i="2"/>
  <c r="T1190" i="2" s="1"/>
  <c r="I1191" i="2"/>
  <c r="T1191" i="2" s="1"/>
  <c r="I1192" i="2"/>
  <c r="T1192" i="2" s="1"/>
  <c r="I1193" i="2"/>
  <c r="T1193" i="2" s="1"/>
  <c r="I1194" i="2"/>
  <c r="T1194" i="2" s="1"/>
  <c r="I1195" i="2"/>
  <c r="T1195" i="2" s="1"/>
  <c r="I1196" i="2"/>
  <c r="T1196" i="2" s="1"/>
  <c r="I1197" i="2"/>
  <c r="T1197" i="2" s="1"/>
  <c r="I1198" i="2"/>
  <c r="T1198" i="2" s="1"/>
  <c r="I1199" i="2"/>
  <c r="T1199" i="2" s="1"/>
  <c r="I1200" i="2"/>
  <c r="T1200" i="2" s="1"/>
  <c r="I1201" i="2"/>
  <c r="T1201" i="2" s="1"/>
  <c r="I1202" i="2"/>
  <c r="T1202" i="2" s="1"/>
  <c r="I1203" i="2"/>
  <c r="T1203" i="2" s="1"/>
  <c r="I1204" i="2"/>
  <c r="T1204" i="2" s="1"/>
  <c r="I1205" i="2"/>
  <c r="T1205" i="2" s="1"/>
  <c r="I1206" i="2"/>
  <c r="T1206" i="2" s="1"/>
  <c r="I1207" i="2"/>
  <c r="T1207" i="2" s="1"/>
  <c r="I1208" i="2"/>
  <c r="T1208" i="2" s="1"/>
  <c r="I1209" i="2"/>
  <c r="T1209" i="2" s="1"/>
  <c r="I1210" i="2"/>
  <c r="T1210" i="2" s="1"/>
  <c r="I1211" i="2"/>
  <c r="T1211" i="2" s="1"/>
  <c r="I1212" i="2"/>
  <c r="T1212" i="2" s="1"/>
  <c r="I1213" i="2"/>
  <c r="T1213" i="2" s="1"/>
  <c r="I1214" i="2"/>
  <c r="T1214" i="2" s="1"/>
  <c r="I1215" i="2"/>
  <c r="T1215" i="2" s="1"/>
  <c r="I1216" i="2"/>
  <c r="T1216" i="2" s="1"/>
  <c r="I1217" i="2"/>
  <c r="T1217" i="2" s="1"/>
  <c r="I1218" i="2"/>
  <c r="T1218" i="2" s="1"/>
  <c r="I1219" i="2"/>
  <c r="T1219" i="2" s="1"/>
  <c r="I1220" i="2"/>
  <c r="T1220" i="2" s="1"/>
  <c r="I1221" i="2"/>
  <c r="T1221" i="2" s="1"/>
  <c r="I1222" i="2"/>
  <c r="T1222" i="2" s="1"/>
  <c r="I1223" i="2"/>
  <c r="T1223" i="2" s="1"/>
  <c r="I1224" i="2"/>
  <c r="T1224" i="2" s="1"/>
  <c r="I1225" i="2"/>
  <c r="T1225" i="2" s="1"/>
  <c r="I1226" i="2"/>
  <c r="T1226" i="2" s="1"/>
  <c r="I1227" i="2"/>
  <c r="T1227" i="2" s="1"/>
  <c r="I1228" i="2"/>
  <c r="T1228" i="2" s="1"/>
  <c r="I1229" i="2"/>
  <c r="T1229" i="2" s="1"/>
  <c r="I1230" i="2"/>
  <c r="T1230" i="2" s="1"/>
  <c r="I1231" i="2"/>
  <c r="T1231" i="2" s="1"/>
  <c r="I1232" i="2"/>
  <c r="T1232" i="2" s="1"/>
  <c r="I1233" i="2"/>
  <c r="T1233" i="2" s="1"/>
  <c r="I1234" i="2"/>
  <c r="T1234" i="2" s="1"/>
  <c r="I1235" i="2"/>
  <c r="T1235" i="2" s="1"/>
  <c r="I1236" i="2"/>
  <c r="T1236" i="2" s="1"/>
  <c r="I1237" i="2"/>
  <c r="T1237" i="2" s="1"/>
  <c r="I1238" i="2"/>
  <c r="T1238" i="2" s="1"/>
  <c r="I1239" i="2"/>
  <c r="T1239" i="2" s="1"/>
  <c r="I1240" i="2"/>
  <c r="T1240" i="2" s="1"/>
  <c r="I1241" i="2"/>
  <c r="T1241" i="2" s="1"/>
  <c r="I1242" i="2"/>
  <c r="T1242" i="2" s="1"/>
  <c r="I1243" i="2"/>
  <c r="T1243" i="2" s="1"/>
  <c r="I1244" i="2"/>
  <c r="T1244" i="2" s="1"/>
  <c r="I1245" i="2"/>
  <c r="T1245" i="2" s="1"/>
  <c r="I1246" i="2"/>
  <c r="T1246" i="2" s="1"/>
  <c r="I1247" i="2"/>
  <c r="T1247" i="2" s="1"/>
  <c r="I1248" i="2"/>
  <c r="T1248" i="2" s="1"/>
  <c r="I1249" i="2"/>
  <c r="T1249" i="2" s="1"/>
  <c r="I1250" i="2"/>
  <c r="T1250" i="2" s="1"/>
  <c r="I1251" i="2"/>
  <c r="T1251" i="2" s="1"/>
  <c r="I1252" i="2"/>
  <c r="T1252" i="2" s="1"/>
  <c r="I1253" i="2"/>
  <c r="T1253" i="2" s="1"/>
  <c r="I1254" i="2"/>
  <c r="T1254" i="2" s="1"/>
  <c r="I1255" i="2"/>
  <c r="T1255" i="2" s="1"/>
  <c r="I1256" i="2"/>
  <c r="T1256" i="2" s="1"/>
  <c r="I1257" i="2"/>
  <c r="T1257" i="2" s="1"/>
  <c r="I1258" i="2"/>
  <c r="T1258" i="2" s="1"/>
  <c r="I1259" i="2"/>
  <c r="T1259" i="2" s="1"/>
  <c r="I1260" i="2"/>
  <c r="T1260" i="2" s="1"/>
  <c r="I1261" i="2"/>
  <c r="T1261" i="2" s="1"/>
  <c r="I1262" i="2"/>
  <c r="T1262" i="2" s="1"/>
  <c r="I1263" i="2"/>
  <c r="T1263" i="2" s="1"/>
  <c r="I1264" i="2"/>
  <c r="T1264" i="2" s="1"/>
  <c r="I1265" i="2"/>
  <c r="T1265" i="2" s="1"/>
  <c r="I1266" i="2"/>
  <c r="T1266" i="2" s="1"/>
  <c r="I1267" i="2"/>
  <c r="T1267" i="2" s="1"/>
  <c r="I1268" i="2"/>
  <c r="T1268" i="2" s="1"/>
  <c r="I1269" i="2"/>
  <c r="T1269" i="2" s="1"/>
  <c r="I1270" i="2"/>
  <c r="T1270" i="2" s="1"/>
  <c r="I1271" i="2"/>
  <c r="T1271" i="2" s="1"/>
  <c r="I1272" i="2"/>
  <c r="T1272" i="2" s="1"/>
  <c r="I1273" i="2"/>
  <c r="T1273" i="2" s="1"/>
  <c r="I1274" i="2"/>
  <c r="T1274" i="2" s="1"/>
  <c r="I1275" i="2"/>
  <c r="T1275" i="2" s="1"/>
  <c r="I1276" i="2"/>
  <c r="T1276" i="2" s="1"/>
  <c r="I1277" i="2"/>
  <c r="T1277" i="2" s="1"/>
  <c r="I1278" i="2"/>
  <c r="T1278" i="2" s="1"/>
  <c r="I1279" i="2"/>
  <c r="T1279" i="2" s="1"/>
  <c r="I1280" i="2"/>
  <c r="T1280" i="2" s="1"/>
  <c r="I1281" i="2"/>
  <c r="T1281" i="2" s="1"/>
  <c r="I1282" i="2"/>
  <c r="T1282" i="2" s="1"/>
  <c r="I1283" i="2"/>
  <c r="T1283" i="2" s="1"/>
  <c r="I1284" i="2"/>
  <c r="T1284" i="2" s="1"/>
  <c r="I1285" i="2"/>
  <c r="T1285" i="2" s="1"/>
  <c r="I1286" i="2"/>
  <c r="T1286" i="2" s="1"/>
  <c r="I1287" i="2"/>
  <c r="T1287" i="2" s="1"/>
  <c r="I1288" i="2"/>
  <c r="T1288" i="2" s="1"/>
  <c r="I1289" i="2"/>
  <c r="T1289" i="2" s="1"/>
  <c r="I1290" i="2"/>
  <c r="T1290" i="2" s="1"/>
  <c r="I1291" i="2"/>
  <c r="T1291" i="2" s="1"/>
  <c r="I1292" i="2"/>
  <c r="T1292" i="2" s="1"/>
  <c r="I1293" i="2"/>
  <c r="T1293" i="2" s="1"/>
  <c r="I1294" i="2"/>
  <c r="T1294" i="2" s="1"/>
  <c r="I1295" i="2"/>
  <c r="T1295" i="2" s="1"/>
  <c r="I1296" i="2"/>
  <c r="T1296" i="2" s="1"/>
  <c r="I1297" i="2"/>
  <c r="T1297" i="2" s="1"/>
  <c r="I1298" i="2"/>
  <c r="T1298" i="2" s="1"/>
  <c r="I1299" i="2"/>
  <c r="T1299" i="2" s="1"/>
  <c r="I1300" i="2"/>
  <c r="T1300" i="2" s="1"/>
  <c r="I1301" i="2"/>
  <c r="T1301" i="2" s="1"/>
  <c r="I1302" i="2"/>
  <c r="T1302" i="2" s="1"/>
  <c r="I1303" i="2"/>
  <c r="T1303" i="2" s="1"/>
  <c r="I1304" i="2"/>
  <c r="T1304" i="2" s="1"/>
  <c r="I1305" i="2"/>
  <c r="T1305" i="2" s="1"/>
  <c r="I1306" i="2"/>
  <c r="T1306" i="2" s="1"/>
  <c r="I1307" i="2"/>
  <c r="T1307" i="2" s="1"/>
  <c r="I1308" i="2"/>
  <c r="T1308" i="2" s="1"/>
  <c r="I1309" i="2"/>
  <c r="T1309" i="2" s="1"/>
  <c r="I1310" i="2"/>
  <c r="T1310" i="2" s="1"/>
  <c r="I1311" i="2"/>
  <c r="T1311" i="2" s="1"/>
  <c r="I1312" i="2"/>
  <c r="T1312" i="2" s="1"/>
  <c r="I1313" i="2"/>
  <c r="T1313" i="2" s="1"/>
  <c r="I1314" i="2"/>
  <c r="T1314" i="2" s="1"/>
  <c r="I1315" i="2"/>
  <c r="T1315" i="2" s="1"/>
  <c r="I1316" i="2"/>
  <c r="T1316" i="2" s="1"/>
  <c r="I1317" i="2"/>
  <c r="T1317" i="2" s="1"/>
  <c r="I1318" i="2"/>
  <c r="T1318" i="2" s="1"/>
  <c r="I1319" i="2"/>
  <c r="T1319" i="2" s="1"/>
  <c r="I1320" i="2"/>
  <c r="T1320" i="2" s="1"/>
  <c r="I1321" i="2"/>
  <c r="T1321" i="2" s="1"/>
  <c r="I1322" i="2"/>
  <c r="T1322" i="2" s="1"/>
  <c r="I1323" i="2"/>
  <c r="T1323" i="2" s="1"/>
  <c r="I1324" i="2"/>
  <c r="T1324" i="2" s="1"/>
  <c r="I1325" i="2"/>
  <c r="T1325" i="2" s="1"/>
  <c r="I1326" i="2"/>
  <c r="T1326" i="2" s="1"/>
  <c r="I1327" i="2"/>
  <c r="T1327" i="2" s="1"/>
  <c r="I1328" i="2"/>
  <c r="T1328" i="2" s="1"/>
  <c r="I1329" i="2"/>
  <c r="T1329" i="2" s="1"/>
  <c r="I1330" i="2"/>
  <c r="T1330" i="2" s="1"/>
  <c r="I1331" i="2"/>
  <c r="T1331" i="2" s="1"/>
  <c r="I1332" i="2"/>
  <c r="T1332" i="2" s="1"/>
  <c r="I1333" i="2"/>
  <c r="T1333" i="2" s="1"/>
  <c r="I1334" i="2"/>
  <c r="T1334" i="2" s="1"/>
  <c r="I1335" i="2"/>
  <c r="T1335" i="2" s="1"/>
  <c r="I1336" i="2"/>
  <c r="T1336" i="2" s="1"/>
  <c r="I1337" i="2"/>
  <c r="T1337" i="2" s="1"/>
  <c r="I1338" i="2"/>
  <c r="T1338" i="2" s="1"/>
  <c r="I1339" i="2"/>
  <c r="T1339" i="2" s="1"/>
  <c r="I1340" i="2"/>
  <c r="T1340" i="2" s="1"/>
  <c r="I1341" i="2"/>
  <c r="T1341" i="2" s="1"/>
  <c r="I1342" i="2"/>
  <c r="T1342" i="2" s="1"/>
  <c r="I1343" i="2"/>
  <c r="T1343" i="2" s="1"/>
  <c r="I1344" i="2"/>
  <c r="T1344" i="2" s="1"/>
  <c r="I1345" i="2"/>
  <c r="T1345" i="2" s="1"/>
  <c r="I1346" i="2"/>
  <c r="T1346" i="2" s="1"/>
  <c r="I1347" i="2"/>
  <c r="T1347" i="2" s="1"/>
  <c r="I1348" i="2"/>
  <c r="T1348" i="2" s="1"/>
  <c r="I1349" i="2"/>
  <c r="T1349" i="2" s="1"/>
  <c r="I1350" i="2"/>
  <c r="T1350" i="2" s="1"/>
  <c r="I1351" i="2"/>
  <c r="T1351" i="2" s="1"/>
  <c r="I1352" i="2"/>
  <c r="T1352" i="2" s="1"/>
  <c r="I1353" i="2"/>
  <c r="T1353" i="2" s="1"/>
  <c r="I1354" i="2"/>
  <c r="T1354" i="2" s="1"/>
  <c r="I1355" i="2"/>
  <c r="T1355" i="2" s="1"/>
  <c r="I1356" i="2"/>
  <c r="T1356" i="2" s="1"/>
  <c r="I1357" i="2"/>
  <c r="T1357" i="2" s="1"/>
  <c r="I1358" i="2"/>
  <c r="T1358" i="2" s="1"/>
  <c r="I1359" i="2"/>
  <c r="T1359" i="2" s="1"/>
  <c r="I1360" i="2"/>
  <c r="T1360" i="2" s="1"/>
  <c r="I1361" i="2"/>
  <c r="T1361" i="2" s="1"/>
  <c r="I1362" i="2"/>
  <c r="T1362" i="2" s="1"/>
  <c r="I1363" i="2"/>
  <c r="T1363" i="2" s="1"/>
  <c r="I1364" i="2"/>
  <c r="T1364" i="2" s="1"/>
  <c r="I1365" i="2"/>
  <c r="T1365" i="2" s="1"/>
  <c r="I1366" i="2"/>
  <c r="T1366" i="2" s="1"/>
  <c r="I1367" i="2"/>
  <c r="T1367" i="2" s="1"/>
  <c r="I1368" i="2"/>
  <c r="T1368" i="2" s="1"/>
  <c r="I1369" i="2"/>
  <c r="T1369" i="2" s="1"/>
  <c r="I1370" i="2"/>
  <c r="T1370" i="2" s="1"/>
  <c r="I1371" i="2"/>
  <c r="T1371" i="2" s="1"/>
  <c r="I1372" i="2"/>
  <c r="T1372" i="2" s="1"/>
  <c r="I1373" i="2"/>
  <c r="T1373" i="2" s="1"/>
  <c r="I1374" i="2"/>
  <c r="T1374" i="2" s="1"/>
  <c r="I1375" i="2"/>
  <c r="T1375" i="2" s="1"/>
  <c r="I1376" i="2"/>
  <c r="T1376" i="2" s="1"/>
  <c r="I1377" i="2"/>
  <c r="T1377" i="2" s="1"/>
  <c r="I1378" i="2"/>
  <c r="T1378" i="2" s="1"/>
  <c r="I1379" i="2"/>
  <c r="T1379" i="2" s="1"/>
  <c r="I1380" i="2"/>
  <c r="T1380" i="2" s="1"/>
  <c r="I1381" i="2"/>
  <c r="T1381" i="2" s="1"/>
  <c r="I1382" i="2"/>
  <c r="T1382" i="2" s="1"/>
  <c r="I1383" i="2"/>
  <c r="T1383" i="2" s="1"/>
  <c r="I1384" i="2"/>
  <c r="T1384" i="2" s="1"/>
  <c r="I1385" i="2"/>
  <c r="T1385" i="2" s="1"/>
  <c r="I1386" i="2"/>
  <c r="T1386" i="2" s="1"/>
  <c r="I1387" i="2"/>
  <c r="T1387" i="2" s="1"/>
  <c r="I1388" i="2"/>
  <c r="T1388" i="2" s="1"/>
  <c r="I1389" i="2"/>
  <c r="T1389" i="2" s="1"/>
  <c r="I1390" i="2"/>
  <c r="T1390" i="2" s="1"/>
  <c r="I1391" i="2"/>
  <c r="T1391" i="2" s="1"/>
  <c r="I1392" i="2"/>
  <c r="T1392" i="2" s="1"/>
  <c r="I1393" i="2"/>
  <c r="T1393" i="2" s="1"/>
  <c r="I1394" i="2"/>
  <c r="T1394" i="2" s="1"/>
  <c r="I1395" i="2"/>
  <c r="T1395" i="2" s="1"/>
  <c r="I1396" i="2"/>
  <c r="T1396" i="2" s="1"/>
  <c r="I1397" i="2"/>
  <c r="T1397" i="2" s="1"/>
  <c r="I1398" i="2"/>
  <c r="T1398" i="2" s="1"/>
  <c r="I1399" i="2"/>
  <c r="T1399" i="2" s="1"/>
  <c r="I1400" i="2"/>
  <c r="T1400" i="2" s="1"/>
  <c r="I1401" i="2"/>
  <c r="T1401" i="2" s="1"/>
  <c r="I1402" i="2"/>
  <c r="T1402" i="2" s="1"/>
  <c r="I1403" i="2"/>
  <c r="T1403" i="2" s="1"/>
  <c r="I1404" i="2"/>
  <c r="T1404" i="2" s="1"/>
  <c r="I1405" i="2"/>
  <c r="T1405" i="2" s="1"/>
  <c r="I1406" i="2"/>
  <c r="T1406" i="2" s="1"/>
  <c r="I1407" i="2"/>
  <c r="T1407" i="2" s="1"/>
  <c r="I1408" i="2"/>
  <c r="T1408" i="2" s="1"/>
  <c r="I1409" i="2"/>
  <c r="T1409" i="2" s="1"/>
  <c r="I1410" i="2"/>
  <c r="T1410" i="2" s="1"/>
  <c r="I1411" i="2"/>
  <c r="T1411" i="2" s="1"/>
  <c r="I1412" i="2"/>
  <c r="T1412" i="2" s="1"/>
  <c r="I1413" i="2"/>
  <c r="T1413" i="2" s="1"/>
  <c r="I1414" i="2"/>
  <c r="T1414" i="2" s="1"/>
  <c r="I1415" i="2"/>
  <c r="T1415" i="2" s="1"/>
  <c r="I1416" i="2"/>
  <c r="T1416" i="2" s="1"/>
  <c r="I1417" i="2"/>
  <c r="T1417" i="2" s="1"/>
  <c r="I1418" i="2"/>
  <c r="T1418" i="2" s="1"/>
  <c r="I1419" i="2"/>
  <c r="T1419" i="2" s="1"/>
  <c r="I1420" i="2"/>
  <c r="T1420" i="2" s="1"/>
  <c r="I1421" i="2"/>
  <c r="T1421" i="2" s="1"/>
  <c r="I1422" i="2"/>
  <c r="T1422" i="2" s="1"/>
  <c r="I1423" i="2"/>
  <c r="T1423" i="2" s="1"/>
  <c r="I1424" i="2"/>
  <c r="T1424" i="2" s="1"/>
  <c r="I1425" i="2"/>
  <c r="T1425" i="2" s="1"/>
  <c r="I1426" i="2"/>
  <c r="T1426" i="2" s="1"/>
  <c r="I1427" i="2"/>
  <c r="T1427" i="2" s="1"/>
  <c r="I1428" i="2"/>
  <c r="T1428" i="2" s="1"/>
  <c r="I1429" i="2"/>
  <c r="T1429" i="2" s="1"/>
  <c r="I1430" i="2"/>
  <c r="T1430" i="2" s="1"/>
  <c r="I1431" i="2"/>
  <c r="T1431" i="2" s="1"/>
  <c r="I1432" i="2"/>
  <c r="T1432" i="2" s="1"/>
  <c r="I1433" i="2"/>
  <c r="T1433" i="2" s="1"/>
  <c r="I1434" i="2"/>
  <c r="T1434" i="2" s="1"/>
  <c r="I1435" i="2"/>
  <c r="T1435" i="2" s="1"/>
  <c r="I1436" i="2"/>
  <c r="T1436" i="2" s="1"/>
  <c r="I1437" i="2"/>
  <c r="T1437" i="2" s="1"/>
  <c r="I1438" i="2"/>
  <c r="T1438" i="2" s="1"/>
  <c r="I1439" i="2"/>
  <c r="T1439" i="2" s="1"/>
  <c r="I1440" i="2"/>
  <c r="T1440" i="2" s="1"/>
  <c r="I1441" i="2"/>
  <c r="T1441" i="2" s="1"/>
  <c r="I1442" i="2"/>
  <c r="T1442" i="2" s="1"/>
  <c r="I1443" i="2"/>
  <c r="T1443" i="2" s="1"/>
  <c r="I1444" i="2"/>
  <c r="T1444" i="2" s="1"/>
  <c r="I1445" i="2"/>
  <c r="T1445" i="2" s="1"/>
  <c r="I1446" i="2"/>
  <c r="T1446" i="2" s="1"/>
  <c r="I1447" i="2"/>
  <c r="T1447" i="2" s="1"/>
  <c r="I1448" i="2"/>
  <c r="T1448" i="2" s="1"/>
  <c r="I1449" i="2"/>
  <c r="T1449" i="2" s="1"/>
  <c r="I1450" i="2"/>
  <c r="T1450" i="2" s="1"/>
  <c r="I1451" i="2"/>
  <c r="T1451" i="2" s="1"/>
  <c r="I1452" i="2"/>
  <c r="T1452" i="2" s="1"/>
  <c r="I1453" i="2"/>
  <c r="T1453" i="2" s="1"/>
  <c r="I1454" i="2"/>
  <c r="T1454" i="2" s="1"/>
  <c r="I1455" i="2"/>
  <c r="T1455" i="2" s="1"/>
  <c r="I1456" i="2"/>
  <c r="T1456" i="2" s="1"/>
  <c r="I1457" i="2"/>
  <c r="T1457" i="2" s="1"/>
  <c r="I1458" i="2"/>
  <c r="T1458" i="2" s="1"/>
  <c r="I1459" i="2"/>
  <c r="T1459" i="2" s="1"/>
  <c r="I1460" i="2"/>
  <c r="T1460" i="2" s="1"/>
  <c r="I1461" i="2"/>
  <c r="T1461" i="2" s="1"/>
  <c r="I1462" i="2"/>
  <c r="T1462" i="2" s="1"/>
  <c r="I1463" i="2"/>
  <c r="T1463" i="2" s="1"/>
  <c r="I1464" i="2"/>
  <c r="T1464" i="2" s="1"/>
  <c r="I1465" i="2"/>
  <c r="T1465" i="2" s="1"/>
  <c r="I1466" i="2"/>
  <c r="T1466" i="2" s="1"/>
  <c r="I1467" i="2"/>
  <c r="T1467" i="2" s="1"/>
  <c r="I1468" i="2"/>
  <c r="T1468" i="2" s="1"/>
  <c r="I1469" i="2"/>
  <c r="T1469" i="2" s="1"/>
  <c r="I1470" i="2"/>
  <c r="T1470" i="2" s="1"/>
  <c r="I1471" i="2"/>
  <c r="T1471" i="2" s="1"/>
  <c r="I1472" i="2"/>
  <c r="T1472" i="2" s="1"/>
  <c r="I1473" i="2"/>
  <c r="T1473" i="2" s="1"/>
  <c r="I1474" i="2"/>
  <c r="T1474" i="2" s="1"/>
  <c r="I1475" i="2"/>
  <c r="T1475" i="2" s="1"/>
  <c r="I1476" i="2"/>
  <c r="T1476" i="2" s="1"/>
  <c r="I1477" i="2"/>
  <c r="T1477" i="2" s="1"/>
  <c r="I1478" i="2"/>
  <c r="T1478" i="2" s="1"/>
  <c r="I1479" i="2"/>
  <c r="T1479" i="2" s="1"/>
  <c r="I1480" i="2"/>
  <c r="T1480" i="2" s="1"/>
  <c r="I1481" i="2"/>
  <c r="T1481" i="2" s="1"/>
  <c r="I1482" i="2"/>
  <c r="T1482" i="2" s="1"/>
  <c r="I1483" i="2"/>
  <c r="T1483" i="2" s="1"/>
  <c r="I1484" i="2"/>
  <c r="T1484" i="2" s="1"/>
  <c r="I1485" i="2"/>
  <c r="T1485" i="2" s="1"/>
  <c r="I1486" i="2"/>
  <c r="T1486" i="2" s="1"/>
  <c r="I1487" i="2"/>
  <c r="T1487" i="2" s="1"/>
  <c r="I1488" i="2"/>
  <c r="T1488" i="2" s="1"/>
  <c r="I1489" i="2"/>
  <c r="T1489" i="2" s="1"/>
  <c r="I1490" i="2"/>
  <c r="T1490" i="2" s="1"/>
  <c r="I1491" i="2"/>
  <c r="T1491" i="2" s="1"/>
  <c r="I1492" i="2"/>
  <c r="T1492" i="2" s="1"/>
  <c r="I1493" i="2"/>
  <c r="T1493" i="2" s="1"/>
  <c r="I1494" i="2"/>
  <c r="T1494" i="2" s="1"/>
  <c r="I1495" i="2"/>
  <c r="T1495" i="2" s="1"/>
  <c r="I1496" i="2"/>
  <c r="T1496" i="2" s="1"/>
  <c r="I1497" i="2"/>
  <c r="T1497" i="2" s="1"/>
  <c r="I1498" i="2"/>
  <c r="T1498" i="2" s="1"/>
  <c r="I1499" i="2"/>
  <c r="T1499" i="2" s="1"/>
  <c r="I1500" i="2"/>
  <c r="T1500" i="2" s="1"/>
  <c r="I1501" i="2"/>
  <c r="T1501" i="2" s="1"/>
  <c r="I1502" i="2"/>
  <c r="T1502" i="2" s="1"/>
  <c r="I1503" i="2"/>
  <c r="T1503" i="2" s="1"/>
  <c r="I1504" i="2"/>
  <c r="T1504" i="2" s="1"/>
  <c r="I1505" i="2"/>
  <c r="T1505" i="2" s="1"/>
  <c r="I1506" i="2"/>
  <c r="T1506" i="2" s="1"/>
  <c r="I1507" i="2"/>
  <c r="T1507" i="2" s="1"/>
  <c r="I1508" i="2"/>
  <c r="T1508" i="2" s="1"/>
  <c r="I1509" i="2"/>
  <c r="T1509" i="2" s="1"/>
  <c r="I1510" i="2"/>
  <c r="T1510" i="2" s="1"/>
  <c r="I1511" i="2"/>
  <c r="T1511" i="2" s="1"/>
  <c r="I1512" i="2"/>
  <c r="T1512" i="2" s="1"/>
  <c r="I1513" i="2"/>
  <c r="T1513" i="2" s="1"/>
  <c r="I1514" i="2"/>
  <c r="T1514" i="2" s="1"/>
  <c r="I1515" i="2"/>
  <c r="T1515" i="2" s="1"/>
  <c r="I1516" i="2"/>
  <c r="T1516" i="2" s="1"/>
  <c r="I1517" i="2"/>
  <c r="T1517" i="2" s="1"/>
  <c r="I1518" i="2"/>
  <c r="T1518" i="2" s="1"/>
  <c r="I1519" i="2"/>
  <c r="T1519" i="2" s="1"/>
  <c r="I1520" i="2"/>
  <c r="T1520" i="2" s="1"/>
  <c r="I1521" i="2"/>
  <c r="T1521" i="2" s="1"/>
  <c r="I1522" i="2"/>
  <c r="T1522" i="2" s="1"/>
  <c r="I1523" i="2"/>
  <c r="T1523" i="2" s="1"/>
  <c r="I1524" i="2"/>
  <c r="T1524" i="2" s="1"/>
  <c r="I1525" i="2"/>
  <c r="T1525" i="2" s="1"/>
  <c r="I1526" i="2"/>
  <c r="T1526" i="2" s="1"/>
  <c r="I1527" i="2"/>
  <c r="T1527" i="2" s="1"/>
  <c r="I1528" i="2"/>
  <c r="T1528" i="2" s="1"/>
  <c r="I1529" i="2"/>
  <c r="T1529" i="2" s="1"/>
  <c r="I1530" i="2"/>
  <c r="T1530" i="2" s="1"/>
  <c r="I1531" i="2"/>
  <c r="T1531" i="2" s="1"/>
  <c r="I1532" i="2"/>
  <c r="T1532" i="2" s="1"/>
  <c r="I1533" i="2"/>
  <c r="T1533" i="2" s="1"/>
  <c r="I1534" i="2"/>
  <c r="T1534" i="2" s="1"/>
  <c r="I1535" i="2"/>
  <c r="T1535" i="2" s="1"/>
  <c r="I1536" i="2"/>
  <c r="T1536" i="2" s="1"/>
  <c r="I1537" i="2"/>
  <c r="T1537" i="2" s="1"/>
  <c r="I1538" i="2"/>
  <c r="T1538" i="2" s="1"/>
  <c r="I1539" i="2"/>
  <c r="T1539" i="2" s="1"/>
  <c r="I1540" i="2"/>
  <c r="T1540" i="2" s="1"/>
  <c r="I1541" i="2"/>
  <c r="T1541" i="2" s="1"/>
  <c r="I1542" i="2"/>
  <c r="T1542" i="2" s="1"/>
  <c r="I1543" i="2"/>
  <c r="T1543" i="2" s="1"/>
  <c r="I1544" i="2"/>
  <c r="T1544" i="2" s="1"/>
  <c r="I1545" i="2"/>
  <c r="T1545" i="2" s="1"/>
  <c r="I1546" i="2"/>
  <c r="T1546" i="2" s="1"/>
  <c r="I1547" i="2"/>
  <c r="T1547" i="2" s="1"/>
  <c r="I1548" i="2"/>
  <c r="T1548" i="2" s="1"/>
  <c r="I1549" i="2"/>
  <c r="T1549" i="2" s="1"/>
  <c r="I1550" i="2"/>
  <c r="T1550" i="2" s="1"/>
  <c r="I1551" i="2"/>
  <c r="T1551" i="2" s="1"/>
  <c r="I1552" i="2"/>
  <c r="T1552" i="2" s="1"/>
  <c r="I1553" i="2"/>
  <c r="T1553" i="2" s="1"/>
  <c r="I1554" i="2"/>
  <c r="T1554" i="2" s="1"/>
  <c r="I1555" i="2"/>
  <c r="T1555" i="2" s="1"/>
  <c r="I1556" i="2"/>
  <c r="T1556" i="2" s="1"/>
  <c r="I1557" i="2"/>
  <c r="T1557" i="2" s="1"/>
  <c r="I1558" i="2"/>
  <c r="T1558" i="2" s="1"/>
  <c r="I1559" i="2"/>
  <c r="T1559" i="2" s="1"/>
  <c r="I1560" i="2"/>
  <c r="T1560" i="2" s="1"/>
  <c r="I1561" i="2"/>
  <c r="T1561" i="2" s="1"/>
  <c r="I1562" i="2"/>
  <c r="T1562" i="2" s="1"/>
  <c r="I1563" i="2"/>
  <c r="T1563" i="2" s="1"/>
  <c r="I1564" i="2"/>
  <c r="T1564" i="2" s="1"/>
  <c r="I1565" i="2"/>
  <c r="T1565" i="2" s="1"/>
  <c r="I1566" i="2"/>
  <c r="T1566" i="2" s="1"/>
  <c r="I1567" i="2"/>
  <c r="T1567" i="2" s="1"/>
  <c r="I1568" i="2"/>
  <c r="T1568" i="2" s="1"/>
  <c r="I1569" i="2"/>
  <c r="T1569" i="2" s="1"/>
  <c r="I1570" i="2"/>
  <c r="T1570" i="2" s="1"/>
  <c r="I1571" i="2"/>
  <c r="T1571" i="2" s="1"/>
  <c r="I1572" i="2"/>
  <c r="T1572" i="2" s="1"/>
  <c r="I1573" i="2"/>
  <c r="T1573" i="2" s="1"/>
  <c r="I1574" i="2"/>
  <c r="T1574" i="2" s="1"/>
  <c r="I1575" i="2"/>
  <c r="T1575" i="2" s="1"/>
  <c r="I1576" i="2"/>
  <c r="T1576" i="2" s="1"/>
  <c r="I1577" i="2"/>
  <c r="T1577" i="2" s="1"/>
  <c r="I1578" i="2"/>
  <c r="T1578" i="2" s="1"/>
  <c r="I1579" i="2"/>
  <c r="T1579" i="2" s="1"/>
  <c r="I1580" i="2"/>
  <c r="T1580" i="2" s="1"/>
  <c r="I1581" i="2"/>
  <c r="T1581" i="2" s="1"/>
  <c r="I1582" i="2"/>
  <c r="T1582" i="2" s="1"/>
  <c r="I1583" i="2"/>
  <c r="T1583" i="2" s="1"/>
  <c r="I1584" i="2"/>
  <c r="T1584" i="2" s="1"/>
  <c r="I1585" i="2"/>
  <c r="T1585" i="2" s="1"/>
  <c r="I1586" i="2"/>
  <c r="T1586" i="2" s="1"/>
  <c r="I1587" i="2"/>
  <c r="T1587" i="2" s="1"/>
  <c r="I1588" i="2"/>
  <c r="T1588" i="2" s="1"/>
  <c r="I1589" i="2"/>
  <c r="T1589" i="2" s="1"/>
  <c r="I1590" i="2"/>
  <c r="T1590" i="2" s="1"/>
  <c r="I1591" i="2"/>
  <c r="T1591" i="2" s="1"/>
  <c r="I1592" i="2"/>
  <c r="T1592" i="2" s="1"/>
  <c r="I1593" i="2"/>
  <c r="T1593" i="2" s="1"/>
  <c r="I1594" i="2"/>
  <c r="T1594" i="2" s="1"/>
  <c r="I1595" i="2"/>
  <c r="T1595" i="2" s="1"/>
  <c r="I1596" i="2"/>
  <c r="T1596" i="2" s="1"/>
  <c r="I1597" i="2"/>
  <c r="T1597" i="2" s="1"/>
  <c r="I1598" i="2"/>
  <c r="T1598" i="2" s="1"/>
  <c r="I1599" i="2"/>
  <c r="T1599" i="2" s="1"/>
  <c r="I1600" i="2"/>
  <c r="T1600" i="2" s="1"/>
  <c r="I1601" i="2"/>
  <c r="T1601" i="2" s="1"/>
  <c r="I1602" i="2"/>
  <c r="T1602" i="2" s="1"/>
  <c r="I1603" i="2"/>
  <c r="T1603" i="2" s="1"/>
  <c r="I1604" i="2"/>
  <c r="T1604" i="2" s="1"/>
  <c r="I1605" i="2"/>
  <c r="T1605" i="2" s="1"/>
  <c r="I1606" i="2"/>
  <c r="T1606" i="2" s="1"/>
  <c r="I1607" i="2"/>
  <c r="T1607" i="2" s="1"/>
  <c r="I1608" i="2"/>
  <c r="T1608" i="2" s="1"/>
  <c r="I1609" i="2"/>
  <c r="T1609" i="2" s="1"/>
  <c r="I1610" i="2"/>
  <c r="T1610" i="2" s="1"/>
  <c r="I1611" i="2"/>
  <c r="T1611" i="2" s="1"/>
  <c r="I1612" i="2"/>
  <c r="T1612" i="2" s="1"/>
  <c r="I1613" i="2"/>
  <c r="T1613" i="2" s="1"/>
  <c r="I1614" i="2"/>
  <c r="T1614" i="2" s="1"/>
  <c r="I1615" i="2"/>
  <c r="T1615" i="2" s="1"/>
  <c r="I1616" i="2"/>
  <c r="T1616" i="2" s="1"/>
  <c r="I1617" i="2"/>
  <c r="T1617" i="2" s="1"/>
  <c r="I1618" i="2"/>
  <c r="T1618" i="2" s="1"/>
  <c r="I1619" i="2"/>
  <c r="T1619" i="2" s="1"/>
  <c r="I1620" i="2"/>
  <c r="T1620" i="2" s="1"/>
  <c r="I1621" i="2"/>
  <c r="T1621" i="2" s="1"/>
  <c r="I1622" i="2"/>
  <c r="T1622" i="2" s="1"/>
  <c r="I1623" i="2"/>
  <c r="T1623" i="2" s="1"/>
  <c r="I1624" i="2"/>
  <c r="T1624" i="2" s="1"/>
  <c r="I1625" i="2"/>
  <c r="T1625" i="2" s="1"/>
  <c r="I1626" i="2"/>
  <c r="T1626" i="2" s="1"/>
  <c r="I1627" i="2"/>
  <c r="T1627" i="2" s="1"/>
  <c r="I1628" i="2"/>
  <c r="T1628" i="2" s="1"/>
  <c r="I1629" i="2"/>
  <c r="T1629" i="2" s="1"/>
  <c r="I1630" i="2"/>
  <c r="T1630" i="2" s="1"/>
  <c r="I1631" i="2"/>
  <c r="T1631" i="2" s="1"/>
  <c r="I1632" i="2"/>
  <c r="T1632" i="2" s="1"/>
  <c r="I1633" i="2"/>
  <c r="T1633" i="2" s="1"/>
  <c r="I1634" i="2"/>
  <c r="T1634" i="2" s="1"/>
  <c r="I1635" i="2"/>
  <c r="T1635" i="2" s="1"/>
  <c r="I1636" i="2"/>
  <c r="T1636" i="2" s="1"/>
  <c r="I1637" i="2"/>
  <c r="T1637" i="2" s="1"/>
  <c r="I1638" i="2"/>
  <c r="T1638" i="2" s="1"/>
  <c r="I1639" i="2"/>
  <c r="T1639" i="2" s="1"/>
  <c r="I1640" i="2"/>
  <c r="T1640" i="2" s="1"/>
  <c r="I1641" i="2"/>
  <c r="T1641" i="2" s="1"/>
  <c r="I1642" i="2"/>
  <c r="T1642" i="2" s="1"/>
  <c r="I1643" i="2"/>
  <c r="T1643" i="2" s="1"/>
  <c r="I1644" i="2"/>
  <c r="T1644" i="2" s="1"/>
  <c r="I1645" i="2"/>
  <c r="T1645" i="2" s="1"/>
  <c r="I1646" i="2"/>
  <c r="T1646" i="2" s="1"/>
  <c r="I1647" i="2"/>
  <c r="T1647" i="2" s="1"/>
  <c r="I1648" i="2"/>
  <c r="T1648" i="2" s="1"/>
  <c r="I1649" i="2"/>
  <c r="T1649" i="2" s="1"/>
  <c r="I1650" i="2"/>
  <c r="T1650" i="2" s="1"/>
  <c r="I1651" i="2"/>
  <c r="T1651" i="2" s="1"/>
  <c r="I1652" i="2"/>
  <c r="T1652" i="2" s="1"/>
  <c r="I1653" i="2"/>
  <c r="T1653" i="2" s="1"/>
  <c r="I1654" i="2"/>
  <c r="T1654" i="2" s="1"/>
  <c r="I1655" i="2"/>
  <c r="T1655" i="2" s="1"/>
  <c r="I1656" i="2"/>
  <c r="T1656" i="2" s="1"/>
  <c r="I1657" i="2"/>
  <c r="T1657" i="2" s="1"/>
  <c r="I1658" i="2"/>
  <c r="T1658" i="2" s="1"/>
  <c r="I1659" i="2"/>
  <c r="T1659" i="2" s="1"/>
  <c r="I1660" i="2"/>
  <c r="T1660" i="2" s="1"/>
  <c r="I1661" i="2"/>
  <c r="T1661" i="2" s="1"/>
  <c r="I1662" i="2"/>
  <c r="T1662" i="2" s="1"/>
  <c r="I1663" i="2"/>
  <c r="T1663" i="2" s="1"/>
  <c r="I1664" i="2"/>
  <c r="T1664" i="2" s="1"/>
  <c r="I1665" i="2"/>
  <c r="T1665" i="2" s="1"/>
  <c r="I1666" i="2"/>
  <c r="T1666" i="2" s="1"/>
  <c r="I1667" i="2"/>
  <c r="T1667" i="2" s="1"/>
  <c r="I1668" i="2"/>
  <c r="T1668" i="2" s="1"/>
  <c r="I1669" i="2"/>
  <c r="T1669" i="2" s="1"/>
  <c r="I1670" i="2"/>
  <c r="T1670" i="2" s="1"/>
  <c r="I1671" i="2"/>
  <c r="T1671" i="2" s="1"/>
  <c r="I1672" i="2"/>
  <c r="T1672" i="2" s="1"/>
  <c r="I1673" i="2"/>
  <c r="T1673" i="2" s="1"/>
  <c r="I1674" i="2"/>
  <c r="T1674" i="2" s="1"/>
  <c r="I1675" i="2"/>
  <c r="T1675" i="2" s="1"/>
  <c r="I1676" i="2"/>
  <c r="T1676" i="2" s="1"/>
  <c r="I1677" i="2"/>
  <c r="T1677" i="2" s="1"/>
  <c r="I1678" i="2"/>
  <c r="T1678" i="2" s="1"/>
  <c r="I1679" i="2"/>
  <c r="T1679" i="2" s="1"/>
  <c r="I1680" i="2"/>
  <c r="T1680" i="2" s="1"/>
  <c r="I1681" i="2"/>
  <c r="T1681" i="2" s="1"/>
  <c r="I1682" i="2"/>
  <c r="T1682" i="2" s="1"/>
  <c r="I1683" i="2"/>
  <c r="T1683" i="2" s="1"/>
  <c r="I1684" i="2"/>
  <c r="T1684" i="2" s="1"/>
  <c r="I1685" i="2"/>
  <c r="T1685" i="2" s="1"/>
  <c r="I1686" i="2"/>
  <c r="T1686" i="2" s="1"/>
  <c r="I1687" i="2"/>
  <c r="T1687" i="2" s="1"/>
  <c r="I1688" i="2"/>
  <c r="T1688" i="2" s="1"/>
  <c r="I1689" i="2"/>
  <c r="T1689" i="2" s="1"/>
  <c r="I1690" i="2"/>
  <c r="T1690" i="2" s="1"/>
  <c r="I1691" i="2"/>
  <c r="T1691" i="2" s="1"/>
  <c r="I1692" i="2"/>
  <c r="T1692" i="2" s="1"/>
  <c r="I1693" i="2"/>
  <c r="T1693" i="2" s="1"/>
  <c r="I1694" i="2"/>
  <c r="T1694" i="2" s="1"/>
  <c r="I1695" i="2"/>
  <c r="T1695" i="2" s="1"/>
  <c r="I1696" i="2"/>
  <c r="T1696" i="2" s="1"/>
  <c r="I1697" i="2"/>
  <c r="T1697" i="2" s="1"/>
  <c r="I1698" i="2"/>
  <c r="T1698" i="2" s="1"/>
  <c r="I1699" i="2"/>
  <c r="T1699" i="2" s="1"/>
  <c r="I1700" i="2"/>
  <c r="T1700" i="2" s="1"/>
  <c r="I1701" i="2"/>
  <c r="T1701" i="2" s="1"/>
  <c r="I1702" i="2"/>
  <c r="T1702" i="2" s="1"/>
  <c r="I1703" i="2"/>
  <c r="T1703" i="2" s="1"/>
  <c r="I1704" i="2"/>
  <c r="T1704" i="2" s="1"/>
  <c r="I1705" i="2"/>
  <c r="T1705" i="2" s="1"/>
  <c r="I1706" i="2"/>
  <c r="T1706" i="2" s="1"/>
  <c r="I1707" i="2"/>
  <c r="T1707" i="2" s="1"/>
  <c r="I1708" i="2"/>
  <c r="T1708" i="2" s="1"/>
  <c r="I1709" i="2"/>
  <c r="T1709" i="2" s="1"/>
  <c r="I1710" i="2"/>
  <c r="T1710" i="2" s="1"/>
  <c r="I1711" i="2"/>
  <c r="T1711" i="2" s="1"/>
  <c r="I1712" i="2"/>
  <c r="T1712" i="2" s="1"/>
  <c r="I1713" i="2"/>
  <c r="T1713" i="2" s="1"/>
  <c r="I1714" i="2"/>
  <c r="T1714" i="2" s="1"/>
  <c r="I1715" i="2"/>
  <c r="T1715" i="2" s="1"/>
  <c r="I1716" i="2"/>
  <c r="T1716" i="2" s="1"/>
  <c r="I1717" i="2"/>
  <c r="T1717" i="2" s="1"/>
  <c r="I1718" i="2"/>
  <c r="T1718" i="2" s="1"/>
  <c r="I1719" i="2"/>
  <c r="T1719" i="2" s="1"/>
  <c r="I1720" i="2"/>
  <c r="T1720" i="2" s="1"/>
  <c r="I1721" i="2"/>
  <c r="T1721" i="2" s="1"/>
  <c r="I1722" i="2"/>
  <c r="T1722" i="2" s="1"/>
  <c r="I1723" i="2"/>
  <c r="T1723" i="2" s="1"/>
  <c r="I1724" i="2"/>
  <c r="T1724" i="2" s="1"/>
  <c r="I1725" i="2"/>
  <c r="T1725" i="2" s="1"/>
  <c r="I1726" i="2"/>
  <c r="T1726" i="2" s="1"/>
  <c r="I1727" i="2"/>
  <c r="T1727" i="2" s="1"/>
  <c r="I1728" i="2"/>
  <c r="T1728" i="2" s="1"/>
  <c r="I1729" i="2"/>
  <c r="T1729" i="2" s="1"/>
  <c r="I1730" i="2"/>
  <c r="T1730" i="2" s="1"/>
  <c r="I1731" i="2"/>
  <c r="T1731" i="2" s="1"/>
  <c r="I1732" i="2"/>
  <c r="T1732" i="2" s="1"/>
  <c r="I1733" i="2"/>
  <c r="T1733" i="2" s="1"/>
  <c r="I1734" i="2"/>
  <c r="T1734" i="2" s="1"/>
  <c r="I1735" i="2"/>
  <c r="T1735" i="2" s="1"/>
  <c r="I1736" i="2"/>
  <c r="T1736" i="2" s="1"/>
  <c r="I1737" i="2"/>
  <c r="T1737" i="2" s="1"/>
  <c r="I1738" i="2"/>
  <c r="T1738" i="2" s="1"/>
  <c r="I1739" i="2"/>
  <c r="T1739" i="2" s="1"/>
  <c r="I1740" i="2"/>
  <c r="T1740" i="2" s="1"/>
  <c r="I1741" i="2"/>
  <c r="T1741" i="2" s="1"/>
  <c r="I1742" i="2"/>
  <c r="T1742" i="2" s="1"/>
  <c r="I1743" i="2"/>
  <c r="T1743" i="2" s="1"/>
  <c r="I1744" i="2"/>
  <c r="T1744" i="2" s="1"/>
  <c r="I1745" i="2"/>
  <c r="T1745" i="2" s="1"/>
  <c r="I1746" i="2"/>
  <c r="T1746" i="2" s="1"/>
  <c r="I1747" i="2"/>
  <c r="T1747" i="2" s="1"/>
  <c r="I1748" i="2"/>
  <c r="T1748" i="2" s="1"/>
  <c r="I1749" i="2"/>
  <c r="T1749" i="2" s="1"/>
  <c r="I1750" i="2"/>
  <c r="T1750" i="2" s="1"/>
  <c r="I1751" i="2"/>
  <c r="T1751" i="2" s="1"/>
  <c r="I1752" i="2"/>
  <c r="T1752" i="2" s="1"/>
  <c r="I1753" i="2"/>
  <c r="T1753" i="2" s="1"/>
  <c r="I1754" i="2"/>
  <c r="T1754" i="2" s="1"/>
  <c r="I1755" i="2"/>
  <c r="T1755" i="2" s="1"/>
  <c r="I1756" i="2"/>
  <c r="T1756" i="2" s="1"/>
  <c r="I1757" i="2"/>
  <c r="T1757" i="2" s="1"/>
  <c r="I1758" i="2"/>
  <c r="T1758" i="2" s="1"/>
  <c r="I1759" i="2"/>
  <c r="T1759" i="2" s="1"/>
  <c r="I1760" i="2"/>
  <c r="T1760" i="2" s="1"/>
  <c r="I1761" i="2"/>
  <c r="T1761" i="2" s="1"/>
  <c r="I1762" i="2"/>
  <c r="T1762" i="2" s="1"/>
  <c r="I1763" i="2"/>
  <c r="T1763" i="2" s="1"/>
  <c r="I1764" i="2"/>
  <c r="T1764" i="2" s="1"/>
  <c r="I1765" i="2"/>
  <c r="T1765" i="2" s="1"/>
  <c r="I1766" i="2"/>
  <c r="T1766" i="2" s="1"/>
  <c r="I1767" i="2"/>
  <c r="T1767" i="2" s="1"/>
  <c r="I1768" i="2"/>
  <c r="T1768" i="2" s="1"/>
  <c r="I1769" i="2"/>
  <c r="T1769" i="2" s="1"/>
  <c r="I1770" i="2"/>
  <c r="T1770" i="2" s="1"/>
  <c r="I1771" i="2"/>
  <c r="T1771" i="2" s="1"/>
  <c r="I1772" i="2"/>
  <c r="T1772" i="2" s="1"/>
  <c r="I1773" i="2"/>
  <c r="T1773" i="2" s="1"/>
  <c r="I1774" i="2"/>
  <c r="T1774" i="2" s="1"/>
  <c r="I1775" i="2"/>
  <c r="T1775" i="2" s="1"/>
  <c r="I1776" i="2"/>
  <c r="T1776" i="2" s="1"/>
  <c r="I1777" i="2"/>
  <c r="T1777" i="2" s="1"/>
  <c r="I1778" i="2"/>
  <c r="T1778" i="2" s="1"/>
  <c r="I1779" i="2"/>
  <c r="T1779" i="2" s="1"/>
  <c r="I1780" i="2"/>
  <c r="T1780" i="2" s="1"/>
  <c r="I1781" i="2"/>
  <c r="T1781" i="2" s="1"/>
  <c r="I1782" i="2"/>
  <c r="T1782" i="2" s="1"/>
  <c r="I1783" i="2"/>
  <c r="T1783" i="2" s="1"/>
  <c r="I1784" i="2"/>
  <c r="T1784" i="2" s="1"/>
  <c r="I1785" i="2"/>
  <c r="T1785" i="2" s="1"/>
  <c r="I1786" i="2"/>
  <c r="T1786" i="2" s="1"/>
  <c r="I1787" i="2"/>
  <c r="T1787" i="2" s="1"/>
  <c r="I1788" i="2"/>
  <c r="T1788" i="2" s="1"/>
  <c r="I1789" i="2"/>
  <c r="T1789" i="2" s="1"/>
  <c r="I1790" i="2"/>
  <c r="T1790" i="2" s="1"/>
  <c r="I1791" i="2"/>
  <c r="T1791" i="2" s="1"/>
  <c r="I1792" i="2"/>
  <c r="T1792" i="2" s="1"/>
  <c r="I1793" i="2"/>
  <c r="T1793" i="2" s="1"/>
  <c r="I1794" i="2"/>
  <c r="T1794" i="2" s="1"/>
  <c r="I1795" i="2"/>
  <c r="T1795" i="2" s="1"/>
  <c r="I1796" i="2"/>
  <c r="T1796" i="2" s="1"/>
  <c r="I1797" i="2"/>
  <c r="T1797" i="2" s="1"/>
  <c r="I1798" i="2"/>
  <c r="T1798" i="2" s="1"/>
  <c r="I1799" i="2"/>
  <c r="T1799" i="2" s="1"/>
  <c r="I1800" i="2"/>
  <c r="T1800" i="2" s="1"/>
  <c r="I1801" i="2"/>
  <c r="T1801" i="2" s="1"/>
  <c r="I1802" i="2"/>
  <c r="T1802" i="2" s="1"/>
  <c r="I1803" i="2"/>
  <c r="T1803" i="2" s="1"/>
  <c r="I1804" i="2"/>
  <c r="T1804" i="2" s="1"/>
  <c r="I1805" i="2"/>
  <c r="T1805" i="2" s="1"/>
  <c r="I1806" i="2"/>
  <c r="T1806" i="2" s="1"/>
  <c r="I1807" i="2"/>
  <c r="T1807" i="2" s="1"/>
  <c r="I1808" i="2"/>
  <c r="T1808" i="2" s="1"/>
  <c r="I1809" i="2"/>
  <c r="T1809" i="2" s="1"/>
  <c r="I1810" i="2"/>
  <c r="T1810" i="2" s="1"/>
  <c r="I1811" i="2"/>
  <c r="T1811" i="2" s="1"/>
  <c r="I1812" i="2"/>
  <c r="T1812" i="2" s="1"/>
  <c r="I1813" i="2"/>
  <c r="T1813" i="2" s="1"/>
  <c r="I1814" i="2"/>
  <c r="T1814" i="2" s="1"/>
  <c r="I1815" i="2"/>
  <c r="T1815" i="2" s="1"/>
  <c r="I1816" i="2"/>
  <c r="T1816" i="2" s="1"/>
  <c r="I1817" i="2"/>
  <c r="T1817" i="2" s="1"/>
  <c r="I1818" i="2"/>
  <c r="T1818" i="2" s="1"/>
  <c r="I1819" i="2"/>
  <c r="T1819" i="2" s="1"/>
  <c r="I1820" i="2"/>
  <c r="T1820" i="2" s="1"/>
  <c r="I1821" i="2"/>
  <c r="T1821" i="2" s="1"/>
  <c r="I1822" i="2"/>
  <c r="T1822" i="2" s="1"/>
  <c r="I1823" i="2"/>
  <c r="T1823" i="2" s="1"/>
  <c r="I1824" i="2"/>
  <c r="T1824" i="2" s="1"/>
  <c r="I1825" i="2"/>
  <c r="T1825" i="2" s="1"/>
  <c r="I1826" i="2"/>
  <c r="T1826" i="2" s="1"/>
  <c r="I1827" i="2"/>
  <c r="T1827" i="2" s="1"/>
  <c r="I1828" i="2"/>
  <c r="T1828" i="2" s="1"/>
  <c r="I1829" i="2"/>
  <c r="T1829" i="2" s="1"/>
  <c r="I1830" i="2"/>
  <c r="T1830" i="2" s="1"/>
  <c r="I1831" i="2"/>
  <c r="T1831" i="2" s="1"/>
  <c r="I1832" i="2"/>
  <c r="T1832" i="2" s="1"/>
  <c r="I1833" i="2"/>
  <c r="T1833" i="2" s="1"/>
  <c r="I1834" i="2"/>
  <c r="T1834" i="2" s="1"/>
  <c r="I1835" i="2"/>
  <c r="T1835" i="2" s="1"/>
  <c r="I1836" i="2"/>
  <c r="T1836" i="2" s="1"/>
  <c r="I1837" i="2"/>
  <c r="T1837" i="2" s="1"/>
  <c r="I1838" i="2"/>
  <c r="T1838" i="2" s="1"/>
  <c r="I1839" i="2"/>
  <c r="T1839" i="2" s="1"/>
  <c r="I1840" i="2"/>
  <c r="T1840" i="2" s="1"/>
  <c r="I1841" i="2"/>
  <c r="T1841" i="2" s="1"/>
  <c r="I1842" i="2"/>
  <c r="T1842" i="2" s="1"/>
  <c r="I1843" i="2"/>
  <c r="T1843" i="2" s="1"/>
  <c r="I1844" i="2"/>
  <c r="T1844" i="2" s="1"/>
  <c r="I1845" i="2"/>
  <c r="T1845" i="2" s="1"/>
  <c r="I1846" i="2"/>
  <c r="T1846" i="2" s="1"/>
  <c r="I1847" i="2"/>
  <c r="T1847" i="2" s="1"/>
  <c r="I1848" i="2"/>
  <c r="T1848" i="2" s="1"/>
  <c r="I1849" i="2"/>
  <c r="T1849" i="2" s="1"/>
  <c r="I1850" i="2"/>
  <c r="T1850" i="2" s="1"/>
  <c r="I1851" i="2"/>
  <c r="T1851" i="2" s="1"/>
  <c r="I1852" i="2"/>
  <c r="T1852" i="2" s="1"/>
  <c r="I1853" i="2"/>
  <c r="T1853" i="2" s="1"/>
  <c r="I1854" i="2"/>
  <c r="T1854" i="2" s="1"/>
  <c r="I1855" i="2"/>
  <c r="T1855" i="2" s="1"/>
  <c r="I1856" i="2"/>
  <c r="T1856" i="2" s="1"/>
  <c r="I1857" i="2"/>
  <c r="T1857" i="2" s="1"/>
  <c r="I1858" i="2"/>
  <c r="T1858" i="2" s="1"/>
  <c r="I1859" i="2"/>
  <c r="T1859" i="2" s="1"/>
  <c r="I1860" i="2"/>
  <c r="T1860" i="2" s="1"/>
  <c r="I1861" i="2"/>
  <c r="T1861" i="2" s="1"/>
  <c r="I1862" i="2"/>
  <c r="T1862" i="2" s="1"/>
  <c r="I1863" i="2"/>
  <c r="T1863" i="2" s="1"/>
  <c r="I1864" i="2"/>
  <c r="T1864" i="2" s="1"/>
  <c r="I1865" i="2"/>
  <c r="T1865" i="2" s="1"/>
  <c r="I1866" i="2"/>
  <c r="T1866" i="2" s="1"/>
  <c r="I1867" i="2"/>
  <c r="T1867" i="2" s="1"/>
  <c r="I1868" i="2"/>
  <c r="T1868" i="2" s="1"/>
  <c r="I1869" i="2"/>
  <c r="T1869" i="2" s="1"/>
  <c r="I1870" i="2"/>
  <c r="T1870" i="2" s="1"/>
  <c r="I1871" i="2"/>
  <c r="T1871" i="2" s="1"/>
  <c r="I1872" i="2"/>
  <c r="T1872" i="2" s="1"/>
  <c r="I1873" i="2"/>
  <c r="T1873" i="2" s="1"/>
  <c r="I1874" i="2"/>
  <c r="T1874" i="2" s="1"/>
  <c r="I1875" i="2"/>
  <c r="T1875" i="2" s="1"/>
  <c r="I1876" i="2"/>
  <c r="T1876" i="2" s="1"/>
  <c r="I1877" i="2"/>
  <c r="T1877" i="2" s="1"/>
  <c r="I1878" i="2"/>
  <c r="T1878" i="2" s="1"/>
  <c r="I1879" i="2"/>
  <c r="T1879" i="2" s="1"/>
  <c r="I1880" i="2"/>
  <c r="T1880" i="2" s="1"/>
  <c r="I1881" i="2"/>
  <c r="T1881" i="2" s="1"/>
  <c r="I1882" i="2"/>
  <c r="T1882" i="2" s="1"/>
  <c r="I1883" i="2"/>
  <c r="T1883" i="2" s="1"/>
  <c r="I1884" i="2"/>
  <c r="T1884" i="2" s="1"/>
  <c r="I1885" i="2"/>
  <c r="T1885" i="2" s="1"/>
  <c r="I1886" i="2"/>
  <c r="T1886" i="2" s="1"/>
  <c r="I1887" i="2"/>
  <c r="T1887" i="2" s="1"/>
  <c r="I1888" i="2"/>
  <c r="T1888" i="2" s="1"/>
  <c r="I1889" i="2"/>
  <c r="T1889" i="2" s="1"/>
  <c r="I1890" i="2"/>
  <c r="T1890" i="2" s="1"/>
  <c r="I1891" i="2"/>
  <c r="T1891" i="2" s="1"/>
  <c r="I1892" i="2"/>
  <c r="T1892" i="2" s="1"/>
  <c r="I1893" i="2"/>
  <c r="T1893" i="2" s="1"/>
  <c r="I1894" i="2"/>
  <c r="T1894" i="2" s="1"/>
  <c r="I1895" i="2"/>
  <c r="T1895" i="2" s="1"/>
  <c r="I1896" i="2"/>
  <c r="T1896" i="2" s="1"/>
  <c r="I1897" i="2"/>
  <c r="T1897" i="2" s="1"/>
  <c r="I1898" i="2"/>
  <c r="T1898" i="2" s="1"/>
  <c r="I1899" i="2"/>
  <c r="T1899" i="2" s="1"/>
  <c r="I1900" i="2"/>
  <c r="T1900" i="2" s="1"/>
  <c r="I1901" i="2"/>
  <c r="T1901" i="2" s="1"/>
  <c r="I1902" i="2"/>
  <c r="T1902" i="2" s="1"/>
  <c r="I1903" i="2"/>
  <c r="T1903" i="2" s="1"/>
  <c r="I1904" i="2"/>
  <c r="T1904" i="2" s="1"/>
  <c r="I1905" i="2"/>
  <c r="T1905" i="2" s="1"/>
  <c r="I1906" i="2"/>
  <c r="T1906" i="2" s="1"/>
  <c r="I1907" i="2"/>
  <c r="T1907" i="2" s="1"/>
  <c r="I1908" i="2"/>
  <c r="T1908" i="2" s="1"/>
  <c r="I1909" i="2"/>
  <c r="T1909" i="2" s="1"/>
  <c r="I1910" i="2"/>
  <c r="T1910" i="2" s="1"/>
  <c r="I1911" i="2"/>
  <c r="T1911" i="2" s="1"/>
  <c r="I1912" i="2"/>
  <c r="T1912" i="2" s="1"/>
  <c r="I1913" i="2"/>
  <c r="T1913" i="2" s="1"/>
  <c r="I1914" i="2"/>
  <c r="T1914" i="2" s="1"/>
  <c r="I1915" i="2"/>
  <c r="T1915" i="2" s="1"/>
  <c r="I1916" i="2"/>
  <c r="T1916" i="2" s="1"/>
  <c r="I1917" i="2"/>
  <c r="T1917" i="2" s="1"/>
  <c r="I1918" i="2"/>
  <c r="T1918" i="2" s="1"/>
  <c r="I1919" i="2"/>
  <c r="T1919" i="2" s="1"/>
  <c r="I1920" i="2"/>
  <c r="T1920" i="2" s="1"/>
  <c r="I1921" i="2"/>
  <c r="T1921" i="2" s="1"/>
  <c r="I1922" i="2"/>
  <c r="T1922" i="2" s="1"/>
  <c r="I1923" i="2"/>
  <c r="T1923" i="2" s="1"/>
  <c r="I1924" i="2"/>
  <c r="T1924" i="2" s="1"/>
  <c r="I1925" i="2"/>
  <c r="T1925" i="2" s="1"/>
  <c r="I1926" i="2"/>
  <c r="T1926" i="2" s="1"/>
  <c r="I1927" i="2"/>
  <c r="T1927" i="2" s="1"/>
  <c r="I1928" i="2"/>
  <c r="T1928" i="2" s="1"/>
  <c r="I1929" i="2"/>
  <c r="T1929" i="2" s="1"/>
  <c r="I1930" i="2"/>
  <c r="T1930" i="2" s="1"/>
  <c r="I1931" i="2"/>
  <c r="T1931" i="2" s="1"/>
  <c r="I1932" i="2"/>
  <c r="T1932" i="2" s="1"/>
  <c r="I1933" i="2"/>
  <c r="T1933" i="2" s="1"/>
  <c r="I1934" i="2"/>
  <c r="T1934" i="2" s="1"/>
  <c r="I1935" i="2"/>
  <c r="T1935" i="2" s="1"/>
  <c r="I1936" i="2"/>
  <c r="T1936" i="2" s="1"/>
  <c r="I1937" i="2"/>
  <c r="T1937" i="2" s="1"/>
  <c r="I1938" i="2"/>
  <c r="T1938" i="2" s="1"/>
  <c r="I1939" i="2"/>
  <c r="T1939" i="2" s="1"/>
  <c r="I1940" i="2"/>
  <c r="T1940" i="2" s="1"/>
  <c r="I1941" i="2"/>
  <c r="T1941" i="2" s="1"/>
  <c r="I1942" i="2"/>
  <c r="T1942" i="2" s="1"/>
  <c r="I1943" i="2"/>
  <c r="T1943" i="2" s="1"/>
  <c r="I1944" i="2"/>
  <c r="T1944" i="2" s="1"/>
  <c r="I1945" i="2"/>
  <c r="T1945" i="2" s="1"/>
  <c r="I1946" i="2"/>
  <c r="T1946" i="2" s="1"/>
  <c r="I1947" i="2"/>
  <c r="T1947" i="2" s="1"/>
  <c r="I1948" i="2"/>
  <c r="T1948" i="2" s="1"/>
  <c r="I1949" i="2"/>
  <c r="T1949" i="2" s="1"/>
  <c r="I1950" i="2"/>
  <c r="T1950" i="2" s="1"/>
  <c r="I1951" i="2"/>
  <c r="T1951" i="2" s="1"/>
  <c r="I1952" i="2"/>
  <c r="T1952" i="2" s="1"/>
  <c r="I1953" i="2"/>
  <c r="T1953" i="2" s="1"/>
  <c r="I1954" i="2"/>
  <c r="T1954" i="2" s="1"/>
  <c r="I1955" i="2"/>
  <c r="T1955" i="2" s="1"/>
  <c r="I1956" i="2"/>
  <c r="T1956" i="2" s="1"/>
  <c r="I1957" i="2"/>
  <c r="T1957" i="2" s="1"/>
  <c r="I1958" i="2"/>
  <c r="T1958" i="2" s="1"/>
  <c r="I1959" i="2"/>
  <c r="T1959" i="2" s="1"/>
  <c r="I1960" i="2"/>
  <c r="T1960" i="2" s="1"/>
  <c r="I1961" i="2"/>
  <c r="T1961" i="2" s="1"/>
  <c r="I1962" i="2"/>
  <c r="T1962" i="2" s="1"/>
  <c r="I1963" i="2"/>
  <c r="T1963" i="2" s="1"/>
  <c r="I1964" i="2"/>
  <c r="T1964" i="2" s="1"/>
  <c r="I1965" i="2"/>
  <c r="T1965" i="2" s="1"/>
  <c r="I1966" i="2"/>
  <c r="T1966" i="2" s="1"/>
  <c r="I1967" i="2"/>
  <c r="T1967" i="2" s="1"/>
  <c r="I1968" i="2"/>
  <c r="T1968" i="2" s="1"/>
  <c r="I1969" i="2"/>
  <c r="T1969" i="2" s="1"/>
  <c r="I1970" i="2"/>
  <c r="T1970" i="2" s="1"/>
  <c r="I1971" i="2"/>
  <c r="T1971" i="2" s="1"/>
  <c r="I1972" i="2"/>
  <c r="T1972" i="2" s="1"/>
  <c r="I1973" i="2"/>
  <c r="T1973" i="2" s="1"/>
  <c r="I1974" i="2"/>
  <c r="T1974" i="2" s="1"/>
  <c r="I1975" i="2"/>
  <c r="T1975" i="2" s="1"/>
  <c r="I1976" i="2"/>
  <c r="T1976" i="2" s="1"/>
  <c r="I1977" i="2"/>
  <c r="T1977" i="2" s="1"/>
  <c r="I1978" i="2"/>
  <c r="T1978" i="2" s="1"/>
  <c r="I1979" i="2"/>
  <c r="T1979" i="2" s="1"/>
  <c r="I1980" i="2"/>
  <c r="T1980" i="2" s="1"/>
  <c r="I1981" i="2"/>
  <c r="T1981" i="2" s="1"/>
  <c r="I1982" i="2"/>
  <c r="T1982" i="2" s="1"/>
  <c r="I1983" i="2"/>
  <c r="T1983" i="2" s="1"/>
  <c r="I1984" i="2"/>
  <c r="T1984" i="2" s="1"/>
  <c r="I1985" i="2"/>
  <c r="T1985" i="2" s="1"/>
  <c r="I1986" i="2"/>
  <c r="T1986" i="2" s="1"/>
  <c r="I1987" i="2"/>
  <c r="T1987" i="2" s="1"/>
  <c r="I1988" i="2"/>
  <c r="T1988" i="2" s="1"/>
  <c r="I1989" i="2"/>
  <c r="T1989" i="2" s="1"/>
  <c r="I1990" i="2"/>
  <c r="T1990" i="2" s="1"/>
  <c r="I1991" i="2"/>
  <c r="T1991" i="2" s="1"/>
  <c r="I1992" i="2"/>
  <c r="T1992" i="2" s="1"/>
  <c r="I1993" i="2"/>
  <c r="T1993" i="2" s="1"/>
  <c r="I1994" i="2"/>
  <c r="T1994" i="2" s="1"/>
  <c r="I1995" i="2"/>
  <c r="T1995" i="2" s="1"/>
  <c r="I1996" i="2"/>
  <c r="T1996" i="2" s="1"/>
  <c r="I1997" i="2"/>
  <c r="T1997" i="2" s="1"/>
  <c r="I1998" i="2"/>
  <c r="T1998" i="2" s="1"/>
  <c r="I1999" i="2"/>
  <c r="T1999" i="2" s="1"/>
  <c r="I2000" i="2"/>
  <c r="T2000" i="2" s="1"/>
  <c r="I2001" i="2"/>
  <c r="T2001" i="2" s="1"/>
  <c r="I2002" i="2"/>
  <c r="T2002" i="2" s="1"/>
  <c r="I2003" i="2"/>
  <c r="T2003" i="2" s="1"/>
  <c r="I2004" i="2"/>
  <c r="T2004" i="2" s="1"/>
  <c r="I2005" i="2"/>
  <c r="T2005" i="2" s="1"/>
  <c r="I2006" i="2"/>
  <c r="T2006" i="2" s="1"/>
  <c r="I2007" i="2"/>
  <c r="T2007" i="2" s="1"/>
  <c r="I2008" i="2"/>
  <c r="T2008" i="2" s="1"/>
  <c r="I2009" i="2"/>
  <c r="T2009" i="2" s="1"/>
  <c r="I2010" i="2"/>
  <c r="T2010" i="2" s="1"/>
  <c r="I2011" i="2"/>
  <c r="T2011" i="2" s="1"/>
  <c r="I2012" i="2"/>
  <c r="T2012" i="2" s="1"/>
  <c r="I2013" i="2"/>
  <c r="T2013" i="2" s="1"/>
  <c r="I2014" i="2"/>
  <c r="T2014" i="2" s="1"/>
  <c r="I2015" i="2"/>
  <c r="T2015" i="2" s="1"/>
  <c r="I2016" i="2"/>
  <c r="T2016" i="2" s="1"/>
  <c r="I2017" i="2"/>
  <c r="T2017" i="2" s="1"/>
  <c r="I2018" i="2"/>
  <c r="T2018" i="2" s="1"/>
  <c r="I2019" i="2"/>
  <c r="T2019" i="2" s="1"/>
  <c r="I2020" i="2"/>
  <c r="T2020" i="2" s="1"/>
  <c r="I2021" i="2"/>
  <c r="T2021" i="2" s="1"/>
  <c r="I2022" i="2"/>
  <c r="T2022" i="2" s="1"/>
  <c r="I2023" i="2"/>
  <c r="T2023" i="2" s="1"/>
  <c r="I2024" i="2"/>
  <c r="T2024" i="2" s="1"/>
  <c r="I2025" i="2"/>
  <c r="T2025" i="2" s="1"/>
  <c r="I2026" i="2"/>
  <c r="T2026" i="2" s="1"/>
  <c r="I2027" i="2"/>
  <c r="T2027" i="2" s="1"/>
  <c r="I2028" i="2"/>
  <c r="T2028" i="2" s="1"/>
  <c r="I2029" i="2"/>
  <c r="T2029" i="2" s="1"/>
  <c r="I2030" i="2"/>
  <c r="T2030" i="2" s="1"/>
  <c r="I2031" i="2"/>
  <c r="T2031" i="2" s="1"/>
  <c r="I2032" i="2"/>
  <c r="T2032" i="2" s="1"/>
  <c r="I2033" i="2"/>
  <c r="T2033" i="2" s="1"/>
  <c r="I2034" i="2"/>
  <c r="T2034" i="2" s="1"/>
  <c r="I2035" i="2"/>
  <c r="T2035" i="2" s="1"/>
  <c r="I2036" i="2"/>
  <c r="T2036" i="2" s="1"/>
  <c r="I2037" i="2"/>
  <c r="T2037" i="2" s="1"/>
  <c r="I2038" i="2"/>
  <c r="T2038" i="2" s="1"/>
  <c r="I2039" i="2"/>
  <c r="T2039" i="2" s="1"/>
  <c r="I2040" i="2"/>
  <c r="T2040" i="2" s="1"/>
  <c r="I2041" i="2"/>
  <c r="T2041" i="2" s="1"/>
  <c r="I2042" i="2"/>
  <c r="T2042" i="2" s="1"/>
  <c r="I2043" i="2"/>
  <c r="T2043" i="2" s="1"/>
  <c r="I2044" i="2"/>
  <c r="T2044" i="2" s="1"/>
  <c r="I2045" i="2"/>
  <c r="T2045" i="2" s="1"/>
  <c r="I2046" i="2"/>
  <c r="T2046" i="2" s="1"/>
  <c r="I2047" i="2"/>
  <c r="T2047" i="2" s="1"/>
  <c r="I2048" i="2"/>
  <c r="T2048" i="2" s="1"/>
  <c r="I2049" i="2"/>
  <c r="T2049" i="2" s="1"/>
  <c r="I2050" i="2"/>
  <c r="T2050" i="2" s="1"/>
  <c r="I2051" i="2"/>
  <c r="T2051" i="2" s="1"/>
  <c r="I2052" i="2"/>
  <c r="T2052" i="2" s="1"/>
  <c r="I2053" i="2"/>
  <c r="T2053" i="2" s="1"/>
  <c r="I2054" i="2"/>
  <c r="T2054" i="2" s="1"/>
  <c r="I2055" i="2"/>
  <c r="T2055" i="2" s="1"/>
  <c r="I2056" i="2"/>
  <c r="T2056" i="2" s="1"/>
  <c r="I2057" i="2"/>
  <c r="T2057" i="2" s="1"/>
  <c r="I2058" i="2"/>
  <c r="T2058" i="2" s="1"/>
  <c r="I2059" i="2"/>
  <c r="T2059" i="2" s="1"/>
  <c r="I2060" i="2"/>
  <c r="T2060" i="2" s="1"/>
  <c r="I2061" i="2"/>
  <c r="T2061" i="2" s="1"/>
  <c r="I2062" i="2"/>
  <c r="T2062" i="2" s="1"/>
  <c r="I2063" i="2"/>
  <c r="T2063" i="2" s="1"/>
  <c r="I2064" i="2"/>
  <c r="T2064" i="2" s="1"/>
  <c r="I2065" i="2"/>
  <c r="T2065" i="2" s="1"/>
  <c r="I2066" i="2"/>
  <c r="T2066" i="2" s="1"/>
  <c r="I2067" i="2"/>
  <c r="T2067" i="2" s="1"/>
  <c r="I2068" i="2"/>
  <c r="T2068" i="2" s="1"/>
  <c r="I2069" i="2"/>
  <c r="T2069" i="2" s="1"/>
  <c r="I2070" i="2"/>
  <c r="T2070" i="2" s="1"/>
  <c r="I2071" i="2"/>
  <c r="T2071" i="2" s="1"/>
  <c r="I2072" i="2"/>
  <c r="T2072" i="2" s="1"/>
  <c r="I2073" i="2"/>
  <c r="T2073" i="2" s="1"/>
  <c r="I2074" i="2"/>
  <c r="T2074" i="2" s="1"/>
  <c r="I2075" i="2"/>
  <c r="T2075" i="2" s="1"/>
  <c r="I2076" i="2"/>
  <c r="T2076" i="2" s="1"/>
  <c r="I2077" i="2"/>
  <c r="T2077" i="2" s="1"/>
  <c r="I2078" i="2"/>
  <c r="T2078" i="2" s="1"/>
  <c r="I2079" i="2"/>
  <c r="T2079" i="2" s="1"/>
  <c r="I2080" i="2"/>
  <c r="T2080" i="2" s="1"/>
  <c r="I2081" i="2"/>
  <c r="T2081" i="2" s="1"/>
  <c r="I2082" i="2"/>
  <c r="T2082" i="2" s="1"/>
  <c r="I2083" i="2"/>
  <c r="T2083" i="2" s="1"/>
  <c r="I2084" i="2"/>
  <c r="T2084" i="2" s="1"/>
  <c r="I2085" i="2"/>
  <c r="T2085" i="2" s="1"/>
  <c r="I2086" i="2"/>
  <c r="T2086" i="2" s="1"/>
  <c r="I2087" i="2"/>
  <c r="T2087" i="2" s="1"/>
  <c r="I2088" i="2"/>
  <c r="T2088" i="2" s="1"/>
  <c r="I2089" i="2"/>
  <c r="T2089" i="2" s="1"/>
  <c r="I2090" i="2"/>
  <c r="T2090" i="2" s="1"/>
  <c r="I2091" i="2"/>
  <c r="T2091" i="2" s="1"/>
  <c r="I2092" i="2"/>
  <c r="T2092" i="2" s="1"/>
  <c r="I2093" i="2"/>
  <c r="T2093" i="2" s="1"/>
  <c r="I2094" i="2"/>
  <c r="T2094" i="2" s="1"/>
  <c r="I2095" i="2"/>
  <c r="T2095" i="2" s="1"/>
  <c r="I2096" i="2"/>
  <c r="T2096" i="2" s="1"/>
  <c r="I2097" i="2"/>
  <c r="T2097" i="2" s="1"/>
  <c r="I2098" i="2"/>
  <c r="T2098" i="2" s="1"/>
  <c r="I2099" i="2"/>
  <c r="T2099" i="2" s="1"/>
  <c r="I2100" i="2"/>
  <c r="T2100" i="2" s="1"/>
  <c r="I2101" i="2"/>
  <c r="T2101" i="2" s="1"/>
  <c r="I2102" i="2"/>
  <c r="T2102" i="2" s="1"/>
  <c r="I2103" i="2"/>
  <c r="T2103" i="2" s="1"/>
  <c r="I2104" i="2"/>
  <c r="T2104" i="2" s="1"/>
  <c r="I2105" i="2"/>
  <c r="T2105" i="2" s="1"/>
  <c r="I2106" i="2"/>
  <c r="T2106" i="2" s="1"/>
  <c r="I2107" i="2"/>
  <c r="T2107" i="2" s="1"/>
  <c r="I2108" i="2"/>
  <c r="T2108" i="2" s="1"/>
  <c r="I2109" i="2"/>
  <c r="T2109" i="2" s="1"/>
  <c r="I2110" i="2"/>
  <c r="T2110" i="2" s="1"/>
  <c r="I2111" i="2"/>
  <c r="T2111" i="2" s="1"/>
  <c r="I2112" i="2"/>
  <c r="T2112" i="2" s="1"/>
  <c r="I2113" i="2"/>
  <c r="T2113" i="2" s="1"/>
  <c r="I2114" i="2"/>
  <c r="T2114" i="2" s="1"/>
  <c r="I2115" i="2"/>
  <c r="T2115" i="2" s="1"/>
  <c r="I2116" i="2"/>
  <c r="T2116" i="2" s="1"/>
  <c r="I2117" i="2"/>
  <c r="T2117" i="2" s="1"/>
  <c r="I2118" i="2"/>
  <c r="T2118" i="2" s="1"/>
  <c r="I2119" i="2"/>
  <c r="T2119" i="2" s="1"/>
  <c r="I2120" i="2"/>
  <c r="T2120" i="2" s="1"/>
  <c r="I2121" i="2"/>
  <c r="T2121" i="2" s="1"/>
  <c r="I2122" i="2"/>
  <c r="T2122" i="2" s="1"/>
  <c r="I2123" i="2"/>
  <c r="T2123" i="2" s="1"/>
  <c r="I2124" i="2"/>
  <c r="T2124" i="2" s="1"/>
  <c r="I2125" i="2"/>
  <c r="T2125" i="2" s="1"/>
  <c r="I2126" i="2"/>
  <c r="T2126" i="2" s="1"/>
  <c r="I2127" i="2"/>
  <c r="T2127" i="2" s="1"/>
  <c r="I2128" i="2"/>
  <c r="T2128" i="2" s="1"/>
  <c r="I2129" i="2"/>
  <c r="T2129" i="2" s="1"/>
  <c r="I2130" i="2"/>
  <c r="T2130" i="2" s="1"/>
  <c r="I2131" i="2"/>
  <c r="T2131" i="2" s="1"/>
  <c r="I2132" i="2"/>
  <c r="T2132" i="2" s="1"/>
  <c r="I2133" i="2"/>
  <c r="T2133" i="2" s="1"/>
  <c r="I2134" i="2"/>
  <c r="T2134" i="2" s="1"/>
  <c r="I2135" i="2"/>
  <c r="T2135" i="2" s="1"/>
  <c r="I2136" i="2"/>
  <c r="T2136" i="2" s="1"/>
  <c r="I2137" i="2"/>
  <c r="T2137" i="2" s="1"/>
  <c r="I2138" i="2"/>
  <c r="T2138" i="2" s="1"/>
  <c r="I2139" i="2"/>
  <c r="T2139" i="2" s="1"/>
  <c r="I2140" i="2"/>
  <c r="T2140" i="2" s="1"/>
  <c r="I2141" i="2"/>
  <c r="T2141" i="2" s="1"/>
  <c r="I2142" i="2"/>
  <c r="T2142" i="2" s="1"/>
  <c r="I2143" i="2"/>
  <c r="T2143" i="2" s="1"/>
  <c r="I2144" i="2"/>
  <c r="T2144" i="2" s="1"/>
  <c r="I2145" i="2"/>
  <c r="T2145" i="2" s="1"/>
  <c r="I2146" i="2"/>
  <c r="T2146" i="2" s="1"/>
  <c r="I2147" i="2"/>
  <c r="T2147" i="2" s="1"/>
  <c r="I2148" i="2"/>
  <c r="T2148" i="2" s="1"/>
  <c r="I2149" i="2"/>
  <c r="T2149" i="2" s="1"/>
  <c r="I2150" i="2"/>
  <c r="T2150" i="2" s="1"/>
  <c r="I2151" i="2"/>
  <c r="T2151" i="2" s="1"/>
  <c r="I2152" i="2"/>
  <c r="T2152" i="2" s="1"/>
  <c r="I2153" i="2"/>
  <c r="T2153" i="2" s="1"/>
  <c r="I2154" i="2"/>
  <c r="T2154" i="2" s="1"/>
  <c r="I2155" i="2"/>
  <c r="T2155" i="2" s="1"/>
  <c r="I2156" i="2"/>
  <c r="T2156" i="2" s="1"/>
  <c r="I2157" i="2"/>
  <c r="T2157" i="2" s="1"/>
  <c r="I2158" i="2"/>
  <c r="T2158" i="2" s="1"/>
  <c r="I2159" i="2"/>
  <c r="T2159" i="2" s="1"/>
  <c r="I2160" i="2"/>
  <c r="T2160" i="2" s="1"/>
  <c r="I2161" i="2"/>
  <c r="T2161" i="2" s="1"/>
  <c r="I2162" i="2"/>
  <c r="T2162" i="2" s="1"/>
  <c r="I2163" i="2"/>
  <c r="T2163" i="2" s="1"/>
  <c r="I2164" i="2"/>
  <c r="T2164" i="2" s="1"/>
  <c r="I2165" i="2"/>
  <c r="T2165" i="2" s="1"/>
  <c r="I2166" i="2"/>
  <c r="T2166" i="2" s="1"/>
  <c r="I2167" i="2"/>
  <c r="T2167" i="2" s="1"/>
  <c r="I2168" i="2"/>
  <c r="T2168" i="2" s="1"/>
  <c r="I2169" i="2"/>
  <c r="T2169" i="2" s="1"/>
  <c r="I2170" i="2"/>
  <c r="T2170" i="2" s="1"/>
  <c r="I2171" i="2"/>
  <c r="T2171" i="2" s="1"/>
  <c r="I2172" i="2"/>
  <c r="T2172" i="2" s="1"/>
  <c r="I2173" i="2"/>
  <c r="T2173" i="2" s="1"/>
  <c r="I2174" i="2"/>
  <c r="T2174" i="2" s="1"/>
  <c r="I2175" i="2"/>
  <c r="T2175" i="2" s="1"/>
  <c r="I2176" i="2"/>
  <c r="T2176" i="2" s="1"/>
  <c r="I2177" i="2"/>
  <c r="T2177" i="2" s="1"/>
  <c r="I2178" i="2"/>
  <c r="T2178" i="2" s="1"/>
  <c r="I2179" i="2"/>
  <c r="T2179" i="2" s="1"/>
  <c r="I2180" i="2"/>
  <c r="T2180" i="2" s="1"/>
  <c r="I2181" i="2"/>
  <c r="T2181" i="2" s="1"/>
  <c r="I2182" i="2"/>
  <c r="T2182" i="2" s="1"/>
  <c r="I2183" i="2"/>
  <c r="T2183" i="2" s="1"/>
  <c r="I2184" i="2"/>
  <c r="T2184" i="2" s="1"/>
  <c r="I2185" i="2"/>
  <c r="T2185" i="2" s="1"/>
  <c r="I2186" i="2"/>
  <c r="T2186" i="2" s="1"/>
  <c r="I2187" i="2"/>
  <c r="T2187" i="2" s="1"/>
  <c r="I2188" i="2"/>
  <c r="T2188" i="2" s="1"/>
  <c r="I2189" i="2"/>
  <c r="T2189" i="2" s="1"/>
  <c r="I2190" i="2"/>
  <c r="T2190" i="2" s="1"/>
  <c r="I2191" i="2"/>
  <c r="T2191" i="2" s="1"/>
  <c r="I2192" i="2"/>
  <c r="T2192" i="2" s="1"/>
  <c r="I2193" i="2"/>
  <c r="T2193" i="2" s="1"/>
  <c r="I2194" i="2"/>
  <c r="T2194" i="2" s="1"/>
  <c r="I2195" i="2"/>
  <c r="T2195" i="2" s="1"/>
  <c r="I2196" i="2"/>
  <c r="T2196" i="2" s="1"/>
  <c r="I2197" i="2"/>
  <c r="T2197" i="2" s="1"/>
  <c r="I2198" i="2"/>
  <c r="T2198" i="2" s="1"/>
  <c r="I2199" i="2"/>
  <c r="T2199" i="2" s="1"/>
  <c r="I2200" i="2"/>
  <c r="T2200" i="2" s="1"/>
  <c r="I2201" i="2"/>
  <c r="T2201" i="2" s="1"/>
  <c r="I2202" i="2"/>
  <c r="T2202" i="2" s="1"/>
  <c r="I2203" i="2"/>
  <c r="T2203" i="2" s="1"/>
  <c r="I2204" i="2"/>
  <c r="T2204" i="2" s="1"/>
  <c r="I2205" i="2"/>
  <c r="T2205" i="2" s="1"/>
  <c r="I2206" i="2"/>
  <c r="T2206" i="2" s="1"/>
  <c r="I2207" i="2"/>
  <c r="T2207" i="2" s="1"/>
  <c r="I2208" i="2"/>
  <c r="T2208" i="2" s="1"/>
  <c r="I2209" i="2"/>
  <c r="T2209" i="2" s="1"/>
  <c r="I2210" i="2"/>
  <c r="T2210" i="2" s="1"/>
  <c r="I2211" i="2"/>
  <c r="T2211" i="2" s="1"/>
  <c r="I2212" i="2"/>
  <c r="T2212" i="2" s="1"/>
  <c r="I2213" i="2"/>
  <c r="T2213" i="2" s="1"/>
  <c r="I2214" i="2"/>
  <c r="T2214" i="2" s="1"/>
  <c r="I2215" i="2"/>
  <c r="T2215" i="2" s="1"/>
  <c r="I2216" i="2"/>
  <c r="T2216" i="2" s="1"/>
  <c r="I2217" i="2"/>
  <c r="T2217" i="2" s="1"/>
  <c r="I2218" i="2"/>
  <c r="T2218" i="2" s="1"/>
  <c r="I2219" i="2"/>
  <c r="T2219" i="2" s="1"/>
  <c r="I2220" i="2"/>
  <c r="T2220" i="2" s="1"/>
  <c r="I2221" i="2"/>
  <c r="T2221" i="2" s="1"/>
  <c r="I2222" i="2"/>
  <c r="T2222" i="2" s="1"/>
  <c r="I2223" i="2"/>
  <c r="T2223" i="2" s="1"/>
  <c r="I2224" i="2"/>
  <c r="T2224" i="2" s="1"/>
  <c r="I2225" i="2"/>
  <c r="T2225" i="2" s="1"/>
  <c r="I2226" i="2"/>
  <c r="T2226" i="2" s="1"/>
  <c r="I2227" i="2"/>
  <c r="T2227" i="2" s="1"/>
  <c r="I2228" i="2"/>
  <c r="T2228" i="2" s="1"/>
  <c r="I2229" i="2"/>
  <c r="T2229" i="2" s="1"/>
  <c r="I2230" i="2"/>
  <c r="T2230" i="2" s="1"/>
  <c r="I2231" i="2"/>
  <c r="T2231" i="2" s="1"/>
  <c r="I2232" i="2"/>
  <c r="T2232" i="2" s="1"/>
  <c r="I2233" i="2"/>
  <c r="T2233" i="2" s="1"/>
  <c r="I2234" i="2"/>
  <c r="T2234" i="2" s="1"/>
  <c r="I2235" i="2"/>
  <c r="T2235" i="2" s="1"/>
  <c r="I2236" i="2"/>
  <c r="T2236" i="2" s="1"/>
  <c r="I2237" i="2"/>
  <c r="T2237" i="2" s="1"/>
  <c r="I2238" i="2"/>
  <c r="T2238" i="2" s="1"/>
  <c r="I2239" i="2"/>
  <c r="T2239" i="2" s="1"/>
  <c r="I2240" i="2"/>
  <c r="T2240" i="2" s="1"/>
  <c r="I2241" i="2"/>
  <c r="T2241" i="2" s="1"/>
  <c r="I2242" i="2"/>
  <c r="T2242" i="2" s="1"/>
  <c r="I2243" i="2"/>
  <c r="T2243" i="2" s="1"/>
  <c r="I2244" i="2"/>
  <c r="T2244" i="2" s="1"/>
  <c r="I2245" i="2"/>
  <c r="T2245" i="2" s="1"/>
  <c r="I2246" i="2"/>
  <c r="T2246" i="2" s="1"/>
  <c r="I2247" i="2"/>
  <c r="T2247" i="2" s="1"/>
  <c r="I2248" i="2"/>
  <c r="T2248" i="2" s="1"/>
  <c r="I2249" i="2"/>
  <c r="T2249" i="2" s="1"/>
  <c r="I2250" i="2"/>
  <c r="T2250" i="2" s="1"/>
  <c r="I2251" i="2"/>
  <c r="T2251" i="2" s="1"/>
  <c r="I2252" i="2"/>
  <c r="T2252" i="2" s="1"/>
  <c r="I2253" i="2"/>
  <c r="T2253" i="2" s="1"/>
  <c r="I2254" i="2"/>
  <c r="T2254" i="2" s="1"/>
  <c r="I2255" i="2"/>
  <c r="T2255" i="2" s="1"/>
  <c r="I2256" i="2"/>
  <c r="T2256" i="2" s="1"/>
  <c r="I2257" i="2"/>
  <c r="T2257" i="2" s="1"/>
  <c r="I2258" i="2"/>
  <c r="T2258" i="2" s="1"/>
  <c r="I2259" i="2"/>
  <c r="T2259" i="2" s="1"/>
  <c r="I2260" i="2"/>
  <c r="T2260" i="2" s="1"/>
  <c r="I2261" i="2"/>
  <c r="T2261" i="2" s="1"/>
  <c r="I2262" i="2"/>
  <c r="T2262" i="2" s="1"/>
  <c r="I2263" i="2"/>
  <c r="T2263" i="2" s="1"/>
  <c r="I2264" i="2"/>
  <c r="T2264" i="2" s="1"/>
  <c r="I2265" i="2"/>
  <c r="T2265" i="2" s="1"/>
  <c r="I2266" i="2"/>
  <c r="T2266" i="2" s="1"/>
</calcChain>
</file>

<file path=xl/sharedStrings.xml><?xml version="1.0" encoding="utf-8"?>
<sst xmlns="http://schemas.openxmlformats.org/spreadsheetml/2006/main" count="32095" uniqueCount="953">
  <si>
    <t>Conta/Cartão</t>
  </si>
  <si>
    <t>Centro de custo</t>
  </si>
  <si>
    <t>Tipo</t>
  </si>
  <si>
    <t>Vencimento</t>
  </si>
  <si>
    <t>Competencia</t>
  </si>
  <si>
    <t>Pagamento</t>
  </si>
  <si>
    <t>Categoria</t>
  </si>
  <si>
    <t>Descrição</t>
  </si>
  <si>
    <t>Valor recebido</t>
  </si>
  <si>
    <t>Valor pago</t>
  </si>
  <si>
    <t>Processo</t>
  </si>
  <si>
    <t>Partes</t>
  </si>
  <si>
    <t>CAIXA</t>
  </si>
  <si>
    <t>DESPESA</t>
  </si>
  <si>
    <t>01/10/2025</t>
  </si>
  <si>
    <t>10/2025</t>
  </si>
  <si>
    <t>TRANSFERÊNCIA ENTRE CONTAS</t>
  </si>
  <si>
    <t>TRANSFERÊNCIA PARA EFÍ - THIAGO URQUIZA ADVOGADOS</t>
  </si>
  <si>
    <t>EFÍ - THIAGO URQUIZA ADVOGADOS</t>
  </si>
  <si>
    <t>RECEITA</t>
  </si>
  <si>
    <t>TRANSFERÊNCIA DE CAIXA</t>
  </si>
  <si>
    <t>06/10/2025</t>
  </si>
  <si>
    <t>PAGAMENTO DE FATURA</t>
  </si>
  <si>
    <t>PAGAMENTO DE FATURA - INTER</t>
  </si>
  <si>
    <t>08/10/2025</t>
  </si>
  <si>
    <t>PAGAMENTO DE FATURA - NUBANK PK</t>
  </si>
  <si>
    <t>PAGAMENTO DE FATURA - SANTANDER</t>
  </si>
  <si>
    <t>BRADESCO</t>
  </si>
  <si>
    <t>15/10/2025</t>
  </si>
  <si>
    <t>16/10/2025</t>
  </si>
  <si>
    <t>PAGAMENTO DE FATURA - HIPERCARD</t>
  </si>
  <si>
    <t>17/10/2025</t>
  </si>
  <si>
    <t>TRANSFERÊNCIA DE BRADESCO</t>
  </si>
  <si>
    <t>TRANSFERÊNCIA PARA C6 BANK</t>
  </si>
  <si>
    <t>C6 BANK</t>
  </si>
  <si>
    <t>20/10/2025</t>
  </si>
  <si>
    <t>PAGAMENTO DE FATURA - CARREFOUR</t>
  </si>
  <si>
    <t>TRANSFERÊNCIA PARA CAIXA</t>
  </si>
  <si>
    <t>27/10/2025</t>
  </si>
  <si>
    <t>TRANSFERÊNCIA PARA BRADESCO</t>
  </si>
  <si>
    <t>TRANSFERÊNCIA DE EFÍ - THIAGO URQUIZA ADVOGADOS</t>
  </si>
  <si>
    <t>04/11/2025</t>
  </si>
  <si>
    <t>11/2025</t>
  </si>
  <si>
    <t>05/11/2025</t>
  </si>
  <si>
    <t>06/11/2025</t>
  </si>
  <si>
    <t>08/11/2025</t>
  </si>
  <si>
    <t>11/11/2025</t>
  </si>
  <si>
    <t>10/11/2025</t>
  </si>
  <si>
    <t>12/11/2025</t>
  </si>
  <si>
    <t>18/11/2025</t>
  </si>
  <si>
    <t>PAGAMENTO DE FATURA - EFÍ CNPJ - TU ADVOGADOS</t>
  </si>
  <si>
    <t>13/11/2025</t>
  </si>
  <si>
    <t>03/11/2025</t>
  </si>
  <si>
    <t>PAGAMENTO DE FATURA - CARTÃO EFÍ</t>
  </si>
  <si>
    <t>14/11/2025</t>
  </si>
  <si>
    <t>15/11/2025</t>
  </si>
  <si>
    <t>17/11/2025</t>
  </si>
  <si>
    <t>TRANSFERÊNCIA PARA COFRE</t>
  </si>
  <si>
    <t>COFRE</t>
  </si>
  <si>
    <t>19/11/2025</t>
  </si>
  <si>
    <t>20/11/2025</t>
  </si>
  <si>
    <t>22/11/2025</t>
  </si>
  <si>
    <t>24/11/2025</t>
  </si>
  <si>
    <t>01/12/2025</t>
  </si>
  <si>
    <t>12/2025</t>
  </si>
  <si>
    <t>03/12/2025</t>
  </si>
  <si>
    <t>04/12/2025</t>
  </si>
  <si>
    <t>06/12/2025</t>
  </si>
  <si>
    <t>08/12/2025</t>
  </si>
  <si>
    <t>10/12/2025</t>
  </si>
  <si>
    <t>TRANSFERÊNCIA PARA DINHEIRO</t>
  </si>
  <si>
    <t>DINHEIRO</t>
  </si>
  <si>
    <t>TRANSFERÊNCIA DE COFRE</t>
  </si>
  <si>
    <t>11/12/2025</t>
  </si>
  <si>
    <t>13/12/2025</t>
  </si>
  <si>
    <t>27/12/2025</t>
  </si>
  <si>
    <t>15/12/2025</t>
  </si>
  <si>
    <t>18/12/2025</t>
  </si>
  <si>
    <t>17/12/2025</t>
  </si>
  <si>
    <t>20/12/2025</t>
  </si>
  <si>
    <t>23/12/2025</t>
  </si>
  <si>
    <t>TRANSFERÊNCIA PARA INVESTIMENTOS</t>
  </si>
  <si>
    <t>INVESTIMENTOS</t>
  </si>
  <si>
    <t>06/01/2026</t>
  </si>
  <si>
    <t>01/2026</t>
  </si>
  <si>
    <t>08/01/2026</t>
  </si>
  <si>
    <t>13/01/2026</t>
  </si>
  <si>
    <t>07/01/2026</t>
  </si>
  <si>
    <t>14/01/2026</t>
  </si>
  <si>
    <t>15/01/2026</t>
  </si>
  <si>
    <t>19/01/2026</t>
  </si>
  <si>
    <t>20/01/2026</t>
  </si>
  <si>
    <t>22/01/2026</t>
  </si>
  <si>
    <t>26/01/2026</t>
  </si>
  <si>
    <t>29/01/2026</t>
  </si>
  <si>
    <t>GERAL</t>
  </si>
  <si>
    <t>30/09/2025</t>
  </si>
  <si>
    <t>09/2025</t>
  </si>
  <si>
    <t>1. HONORÁRIOS PARCELADOS</t>
  </si>
  <si>
    <t>1/9</t>
  </si>
  <si>
    <t>0004822-27.2024.4.05.8306</t>
  </si>
  <si>
    <t>JOAO RAIMUNDO DOS SANTOS</t>
  </si>
  <si>
    <t>PARCELA 02/06</t>
  </si>
  <si>
    <t>LUIS DA SILVA SANTOS</t>
  </si>
  <si>
    <t>1. HONORÁRIOS DE IMPLANTAÇÃO</t>
  </si>
  <si>
    <t>0029437-02.2024.4.05.8300</t>
  </si>
  <si>
    <t>LUIZ MANOEL DO NASCIMENTO</t>
  </si>
  <si>
    <t>1. HONORÁRIOS FINAIS</t>
  </si>
  <si>
    <t>0001095-47.2024.5.13.0031</t>
  </si>
  <si>
    <t>LUCAS LEONCIO DO NASCIMENTO</t>
  </si>
  <si>
    <t>DJB - BANCÁRIO</t>
  </si>
  <si>
    <t>1. HONORÁRIOS INICIAIS</t>
  </si>
  <si>
    <t>1/6</t>
  </si>
  <si>
    <t>ELIANETE LIRA CRUZ</t>
  </si>
  <si>
    <t>02/10/2025</t>
  </si>
  <si>
    <t>PARCELA 05</t>
  </si>
  <si>
    <t>0010960-37.2024.4.05.8200</t>
  </si>
  <si>
    <t>MARCOS ANTONIO DOS SANTOS</t>
  </si>
  <si>
    <t>0000124-40.2025.5.13.0027</t>
  </si>
  <si>
    <t>IARA PAIVA DA SILVA</t>
  </si>
  <si>
    <t>1/8</t>
  </si>
  <si>
    <t>IRACEMA VIRGINIO DA SILVA</t>
  </si>
  <si>
    <t>03/10/2025</t>
  </si>
  <si>
    <t>0001496-25.2025.4.05.8306</t>
  </si>
  <si>
    <t>FRANCISCO DOS SANTOS SILVA - CHIQUINHO</t>
  </si>
  <si>
    <t>DJP - AR</t>
  </si>
  <si>
    <t>04/10/2025</t>
  </si>
  <si>
    <t>29/10/2025</t>
  </si>
  <si>
    <t>1/2</t>
  </si>
  <si>
    <t>JOSE DA PAIXAO DA SILVA</t>
  </si>
  <si>
    <t>PARCELA 13</t>
  </si>
  <si>
    <t>JORGE DA SILVA MARINHO</t>
  </si>
  <si>
    <t>SEVERINO FRANCISCO DA SILVA - DIDA</t>
  </si>
  <si>
    <t>1/17</t>
  </si>
  <si>
    <t>NATANAEL GOMES DE SENA</t>
  </si>
  <si>
    <t>1/13</t>
  </si>
  <si>
    <t>JOSE CLEMENTINO DA SILVA - DEDA</t>
  </si>
  <si>
    <t>1/7</t>
  </si>
  <si>
    <t>0025084-59.2023.4.05.8200</t>
  </si>
  <si>
    <t>ANTONIO CELESTINO CABRAL - CHIQUETA</t>
  </si>
  <si>
    <t>0015244-22.2023.4.05.8201</t>
  </si>
  <si>
    <t>CARLOS ANTONIO DE BRITO</t>
  </si>
  <si>
    <t>07/10/2025</t>
  </si>
  <si>
    <t>13/10/2025</t>
  </si>
  <si>
    <t>0005948-08.2025.4.05.8200</t>
  </si>
  <si>
    <t>JOSE SEVERINO DA SILVA - DECA</t>
  </si>
  <si>
    <t>0003519-68.2025.4.05.8200</t>
  </si>
  <si>
    <t>JOSE CARLOS DA SILVA - 010.344.774-12</t>
  </si>
  <si>
    <t>09/10/2025</t>
  </si>
  <si>
    <t>0001046-19.2024.4.05.8306</t>
  </si>
  <si>
    <t>JOSE MARTINS FERREIRA FILHO - BOLICA</t>
  </si>
  <si>
    <t>1/5</t>
  </si>
  <si>
    <t>0801988-63.2025.8.15.2003</t>
  </si>
  <si>
    <t>PAULO ROBERTO FILGUEIRA MARTINS</t>
  </si>
  <si>
    <t>JOSE OSCAR GOMES DE OLIVEIRA</t>
  </si>
  <si>
    <t>JOSE BENTO DE SOUZA</t>
  </si>
  <si>
    <t>1. OUTRAS RECEITAS</t>
  </si>
  <si>
    <t>FRANCISCO SALES</t>
  </si>
  <si>
    <t>10/10/2025</t>
  </si>
  <si>
    <t>1/14</t>
  </si>
  <si>
    <t>0009311-03.2025.4.05.8200</t>
  </si>
  <si>
    <t>VALDIRENE ARAUJO DA SILVA</t>
  </si>
  <si>
    <t>1. APLICAÇÕES FINANCEIRAS</t>
  </si>
  <si>
    <t>RENTABILIDADE BRADESCO</t>
  </si>
  <si>
    <t>SEVERINO LAURINDO VIEIRA</t>
  </si>
  <si>
    <t>1/3</t>
  </si>
  <si>
    <t>JOSIMAR FELIX MATIAS - MATIAS</t>
  </si>
  <si>
    <t>14/10/2025</t>
  </si>
  <si>
    <t>0029645-92.2024.4.05.8200</t>
  </si>
  <si>
    <t>MANOEL REINALDO DA SILVA</t>
  </si>
  <si>
    <t>VALDECI MANOEL DO NASCIMENTO</t>
  </si>
  <si>
    <t>0005287-34.2022.4.05.8200</t>
  </si>
  <si>
    <t>LUIS BALBINO DO NASCIMENTO</t>
  </si>
  <si>
    <t>MAILTON PEDRO DA SILVA</t>
  </si>
  <si>
    <t>MARINILDA CASSIANO DE ASSIS</t>
  </si>
  <si>
    <t>SHM COMERCIO</t>
  </si>
  <si>
    <t>0000595-27.2023.5.13.0027</t>
  </si>
  <si>
    <t>RAFAEL BARBOSA DA SILVA</t>
  </si>
  <si>
    <t>1. RPVS</t>
  </si>
  <si>
    <t>0020654-64.2023.4.05.8200</t>
  </si>
  <si>
    <t>MARLEIDE MELO DE FARIAS</t>
  </si>
  <si>
    <t>1. HONORÁRIOS DE SUCUMBÊNCIA</t>
  </si>
  <si>
    <t>0011857-02.2023.4.05.8200</t>
  </si>
  <si>
    <t>JOSE ZITO DA SILVA SANTOS</t>
  </si>
  <si>
    <t>0001999-17.2023.4.05.8306</t>
  </si>
  <si>
    <t>UBIRATAN JOSE DA SILVA</t>
  </si>
  <si>
    <t>BODE E BRASA</t>
  </si>
  <si>
    <t>0000110-56.2025.5.13.0027</t>
  </si>
  <si>
    <t>LAYSA JOSEFA DA CONCEIÇÃO PEDRO</t>
  </si>
  <si>
    <t>JACIRA DOS SANTOS SEVERINO</t>
  </si>
  <si>
    <t>22/10/2025</t>
  </si>
  <si>
    <t>21/10/2025</t>
  </si>
  <si>
    <t>0000563-14.2025.8.17.2218</t>
  </si>
  <si>
    <t>IZAURA OLIVEIRA DA SILVA</t>
  </si>
  <si>
    <t>24/10/2025</t>
  </si>
  <si>
    <t>0013730-03.2024.4.05.8200</t>
  </si>
  <si>
    <t>ANTONIO MARIANO CAVALCANTI</t>
  </si>
  <si>
    <t>25/10/2025</t>
  </si>
  <si>
    <t>1/18</t>
  </si>
  <si>
    <t>CELIA REGINA DA SILVA DOS SANTOS</t>
  </si>
  <si>
    <t>DJP - BENEFÍCIOS</t>
  </si>
  <si>
    <t>28/10/2025</t>
  </si>
  <si>
    <t>MARCOS ANTONIO BEZERRA DA SILVA</t>
  </si>
  <si>
    <t>1/20</t>
  </si>
  <si>
    <t>5003956-86.2025.4.03.6322</t>
  </si>
  <si>
    <t>ARNULFO SILVA LINS</t>
  </si>
  <si>
    <t>1/12</t>
  </si>
  <si>
    <t>ANTÔNIO DANTAS DA SILVA</t>
  </si>
  <si>
    <t>30/10/2025</t>
  </si>
  <si>
    <t>0014738-15.2024.4.05.8200</t>
  </si>
  <si>
    <t>LIDIANE LEONCIO DO NASCIMENTO</t>
  </si>
  <si>
    <t>1. HONORÁRIO NÃO IDENTIFICADO</t>
  </si>
  <si>
    <t>DEPOSITO EM DINHEIRO</t>
  </si>
  <si>
    <t>2/9</t>
  </si>
  <si>
    <t>31/10/2025</t>
  </si>
  <si>
    <t>ASAAS</t>
  </si>
  <si>
    <t>02/11/2025</t>
  </si>
  <si>
    <t>1. APORTE DE SÓCIO</t>
  </si>
  <si>
    <t>ASSUNÇÃO TESTE</t>
  </si>
  <si>
    <t>2/8</t>
  </si>
  <si>
    <t>RENTABILIDADE</t>
  </si>
  <si>
    <t>2/6</t>
  </si>
  <si>
    <t>DJC - CÍVEL</t>
  </si>
  <si>
    <t>1/15 HONORARIOS INICIAIS</t>
  </si>
  <si>
    <t>0809864-05.2025.8.15.0731</t>
  </si>
  <si>
    <t>CLEITON RAVI PEREIRA HENRIQUE</t>
  </si>
  <si>
    <t>0020407-15.2025.4.05.8200</t>
  </si>
  <si>
    <t>MARIA LUCIA FELINA VIEIRA</t>
  </si>
  <si>
    <t>2/17</t>
  </si>
  <si>
    <t>2/13</t>
  </si>
  <si>
    <t>2/7</t>
  </si>
  <si>
    <t>07/11/2025</t>
  </si>
  <si>
    <t>2/5</t>
  </si>
  <si>
    <t>0014172-66.2024.4.05.8200</t>
  </si>
  <si>
    <t>RICARDO AUGUSTO DA SILVA - NINHO</t>
  </si>
  <si>
    <t>0008529-64.2023.4.05.8200</t>
  </si>
  <si>
    <t>SEVERINO FREITAS DE SENA</t>
  </si>
  <si>
    <t>2/14</t>
  </si>
  <si>
    <t>2/3</t>
  </si>
  <si>
    <t>FRANCISCO SALES - ALUGUEL</t>
  </si>
  <si>
    <t>0000398-03.2023.4.05.8200</t>
  </si>
  <si>
    <t>ANTONIO CARLOS DA COSTA - HULK</t>
  </si>
  <si>
    <t>0006870-20.2023.4.05.8200</t>
  </si>
  <si>
    <t>ERONILDO DA SILVA BERNARDO</t>
  </si>
  <si>
    <t>COBRANÇA 677749987</t>
  </si>
  <si>
    <t>DJT - TRABALHISTA</t>
  </si>
  <si>
    <t>VALOR ORIGINAL: R$ 6.240,79</t>
  </si>
  <si>
    <t>0004675-96.2022.4.05.8200</t>
  </si>
  <si>
    <t>ADMILSON CELESTINO CABRAL</t>
  </si>
  <si>
    <t>VALOR ORIGINAL: R$ 2.080,26</t>
  </si>
  <si>
    <t>VALOR ORIGINAL: R$ 8.403,33</t>
  </si>
  <si>
    <t>0026442-25.2024.4.05.8200</t>
  </si>
  <si>
    <t>WELLINGTON HIGINO DOS SANTOS - MAGO VIGIA</t>
  </si>
  <si>
    <t>21/11/2025</t>
  </si>
  <si>
    <t>0009313-70.2025.4.05.8200</t>
  </si>
  <si>
    <t>ERIVAN FRANCISCO DA SILVA</t>
  </si>
  <si>
    <t>25/11/2025</t>
  </si>
  <si>
    <t>26/11/2025</t>
  </si>
  <si>
    <t>2/2</t>
  </si>
  <si>
    <t>0009540-85.2024.4.05.8300</t>
  </si>
  <si>
    <t>ARNALDO CÂNDIDO DE SOUZA</t>
  </si>
  <si>
    <t>2/18</t>
  </si>
  <si>
    <t>0036108-50.2024.4.05.8200</t>
  </si>
  <si>
    <t>0004487-06.2022.4.05.8200</t>
  </si>
  <si>
    <t>VALDECI FERREIRA DA COSTA</t>
  </si>
  <si>
    <t>27/11/2025</t>
  </si>
  <si>
    <t>PAGAMENTO PARCIAL</t>
  </si>
  <si>
    <t>0013662-53.2024.4.05.8200</t>
  </si>
  <si>
    <t>LEONALDO FARIAS DA SILVA</t>
  </si>
  <si>
    <t>28/11/2025</t>
  </si>
  <si>
    <t>AIANNA MAYARA HENRIQUE DA SILVA</t>
  </si>
  <si>
    <t>0000064-72.2025.8.17.2980</t>
  </si>
  <si>
    <t>EDMILSON DIAS DA SILVA</t>
  </si>
  <si>
    <t>DEPÓSITO EM DINEIRO</t>
  </si>
  <si>
    <t>29/11/2025</t>
  </si>
  <si>
    <t>2/20</t>
  </si>
  <si>
    <t>2/12</t>
  </si>
  <si>
    <t>PARC 3</t>
  </si>
  <si>
    <t>30/11/2025</t>
  </si>
  <si>
    <t>0032501-63.2023.4.05.8200</t>
  </si>
  <si>
    <t>SEVERINO DIAS PESSOA</t>
  </si>
  <si>
    <t>3/9</t>
  </si>
  <si>
    <t>02/12/2025</t>
  </si>
  <si>
    <t>1/10</t>
  </si>
  <si>
    <t>JOAO SIMAO DA SILVA</t>
  </si>
  <si>
    <t>SEVERINO ARTUR DA SILVA</t>
  </si>
  <si>
    <t>3/8</t>
  </si>
  <si>
    <t>3/6</t>
  </si>
  <si>
    <t>PARC 4</t>
  </si>
  <si>
    <t>05/12/2025</t>
  </si>
  <si>
    <t>2/15 HONORARIOS INICIAIS</t>
  </si>
  <si>
    <t>COMPLEMENTO DA IMPLANTAÇÃO</t>
  </si>
  <si>
    <t>09/12/2025</t>
  </si>
  <si>
    <t>3/17</t>
  </si>
  <si>
    <t>3/13</t>
  </si>
  <si>
    <t>3/7</t>
  </si>
  <si>
    <t>07/12/2025</t>
  </si>
  <si>
    <t>3/5</t>
  </si>
  <si>
    <t>(R$ 1900; R$ 1900; R$ 100; R$ 100)</t>
  </si>
  <si>
    <t>0003634-96.2024.4.05.8306</t>
  </si>
  <si>
    <t>IVETE ALEXANDRE DE SANTANA</t>
  </si>
  <si>
    <t>05/01/2026</t>
  </si>
  <si>
    <t>3/3</t>
  </si>
  <si>
    <t>IMPLANTAÇÃO (DOIS DEPÓSITOS)</t>
  </si>
  <si>
    <t>0000668-56.2025.4.05.8200</t>
  </si>
  <si>
    <t>NARCISO ANDRADE DE OLIVEIRA</t>
  </si>
  <si>
    <t>0017099-68.2025.4.05.8200</t>
  </si>
  <si>
    <t>DJALMA VIEIRA DE LIMA - DJALMA VÉI</t>
  </si>
  <si>
    <t>RENTAB.INVEST FACILCRED</t>
  </si>
  <si>
    <t>12/12/2025</t>
  </si>
  <si>
    <t>DESTACAMENTO</t>
  </si>
  <si>
    <t>0004615-55.2024.4.05.8200</t>
  </si>
  <si>
    <t>ALINE FARIAS DOS SANTOS</t>
  </si>
  <si>
    <t>0800162-71.2026.8.15.2001</t>
  </si>
  <si>
    <t>JOSE EDSON CRISTOVAO DE CARVALHO JUNIOR</t>
  </si>
  <si>
    <t>0019017-44.2024.4.05.8200</t>
  </si>
  <si>
    <t>JOSE MARINHO DA SILVA</t>
  </si>
  <si>
    <t>16/12/2025</t>
  </si>
  <si>
    <t>PARCIAL DO 13º</t>
  </si>
  <si>
    <t>0000891-16.2024.4.05.8306</t>
  </si>
  <si>
    <t>BRENO TAVARES MENDES</t>
  </si>
  <si>
    <t>0005554-35.2024.4.05.8200</t>
  </si>
  <si>
    <t>ANTONIO ADELINO PEQUENO FILHO</t>
  </si>
  <si>
    <t>OUTUBRO, NOVEMBRO E DEZEMBRO</t>
  </si>
  <si>
    <t>DJF - FISCAL | TRIBUTÁRIO</t>
  </si>
  <si>
    <t>22/12/2025</t>
  </si>
  <si>
    <t>26/12/2025</t>
  </si>
  <si>
    <t>25/12/2025</t>
  </si>
  <si>
    <t>3/18</t>
  </si>
  <si>
    <t>0007856-03.2025.4.05.8200</t>
  </si>
  <si>
    <t>JOSE CARLOS AUGUSTO DA SILVA</t>
  </si>
  <si>
    <t>29/12/2025</t>
  </si>
  <si>
    <t>3/20</t>
  </si>
  <si>
    <t>3/12</t>
  </si>
  <si>
    <t>30/12/2025</t>
  </si>
  <si>
    <t>2/4 PARC 5</t>
  </si>
  <si>
    <t>0000794-16.2024.4.05.8306</t>
  </si>
  <si>
    <t>JOSE JOAQUIM CAVALCANTE</t>
  </si>
  <si>
    <t>01/01/2026</t>
  </si>
  <si>
    <t>02/01/2026</t>
  </si>
  <si>
    <t>LUZIMAR PEREIRA DA SILVA</t>
  </si>
  <si>
    <t>0001970-64.2023.4.05.8306</t>
  </si>
  <si>
    <t>ANTONIO JOSE DA SILVA - ANTÔNIO FRANCISCO</t>
  </si>
  <si>
    <t>03/01/2026</t>
  </si>
  <si>
    <t>4/8</t>
  </si>
  <si>
    <t>04/01/2026</t>
  </si>
  <si>
    <t>12/01/2026</t>
  </si>
  <si>
    <t>4/13</t>
  </si>
  <si>
    <t>09/01/2026</t>
  </si>
  <si>
    <t>0001427-90.2025.4.05.8306</t>
  </si>
  <si>
    <t>LUCIANO FERREIRA DA SILVA (684.711.494-00)</t>
  </si>
  <si>
    <t>10/01/2026</t>
  </si>
  <si>
    <t>16/01/2026</t>
  </si>
  <si>
    <t>0002493-13.2022.4.05.8306</t>
  </si>
  <si>
    <t>SEVERINO ANTONIO DA SILVA - QUEIXADA</t>
  </si>
  <si>
    <t>MARIA GORETTI DAL BOSCO</t>
  </si>
  <si>
    <t>21/01/2026</t>
  </si>
  <si>
    <t>23/01/2026</t>
  </si>
  <si>
    <t>27/01/2026</t>
  </si>
  <si>
    <t>28/01/2026</t>
  </si>
  <si>
    <t>30/01/2026</t>
  </si>
  <si>
    <t>06/02/2026</t>
  </si>
  <si>
    <t>5/13</t>
  </si>
  <si>
    <t>06/03/2026</t>
  </si>
  <si>
    <t>6/13</t>
  </si>
  <si>
    <t>06/04/2026</t>
  </si>
  <si>
    <t>7/13</t>
  </si>
  <si>
    <t>06/05/2026</t>
  </si>
  <si>
    <t>8/13</t>
  </si>
  <si>
    <t>06/06/2026</t>
  </si>
  <si>
    <t>9/13</t>
  </si>
  <si>
    <t>06/07/2026</t>
  </si>
  <si>
    <t>10/13</t>
  </si>
  <si>
    <t>06/08/2026</t>
  </si>
  <si>
    <t>11/13</t>
  </si>
  <si>
    <t>06/09/2026</t>
  </si>
  <si>
    <t>12/13</t>
  </si>
  <si>
    <t>06/10/2026</t>
  </si>
  <si>
    <t>13/13</t>
  </si>
  <si>
    <t>2. SALÁRIOS</t>
  </si>
  <si>
    <t>THIAGO URQUIZA - ( LANÇADO AQUI MAS FOI PAGO DIA 24/09/25)</t>
  </si>
  <si>
    <t>ALISSON DA SILVA SANTOS</t>
  </si>
  <si>
    <t>CARLA DE FREITAS SOUSA</t>
  </si>
  <si>
    <t>JOÃO VICTOR - ( RECEBEU VALE TRANSPORTE DIA 30/09: R$ 145,60 )</t>
  </si>
  <si>
    <t>EDIMAR PINHEIRO</t>
  </si>
  <si>
    <t>CARINA ROLIM - ( RECEBEU ADIANT. DE R$ 500,00 E PARTICIPAÇÃO DE R$ 500,00 DIA 30/09 )</t>
  </si>
  <si>
    <t>THAMIRIS SERPA</t>
  </si>
  <si>
    <t>ANA BEATRIZ</t>
  </si>
  <si>
    <t>VICTOR LUIS</t>
  </si>
  <si>
    <t>PATRICIA KARLA</t>
  </si>
  <si>
    <t>DIÁRIAS - LUZIMAR PEREIRA</t>
  </si>
  <si>
    <t>23/10/2025</t>
  </si>
  <si>
    <t>PATRICIA KARLA -  ADIANTAMENTO</t>
  </si>
  <si>
    <t>ALISSON DA SILVA SANTOS (DESC ADIANTAMENTO)</t>
  </si>
  <si>
    <t>ANA BEATRIZ PATRÍCIO DOS SANTOS CAMPOS</t>
  </si>
  <si>
    <t>VICTOR LUIS DE ARAUJO LIMEIRA</t>
  </si>
  <si>
    <t>HUGO GABRIHEL LIMA DE ANDRADE</t>
  </si>
  <si>
    <t>CARINA ROLIM LIMA LIMEIRA</t>
  </si>
  <si>
    <t>PATRICIA - COMPLEMENTO</t>
  </si>
  <si>
    <t>JOÃO VICTOR</t>
  </si>
  <si>
    <t>THIAGO URQUIZA</t>
  </si>
  <si>
    <t>16/11/2025</t>
  </si>
  <si>
    <t>ALISSON DOS SANTOS - HORA EXTRA</t>
  </si>
  <si>
    <t>JUDITH GOMES DA SILVA -  OUTUBRO + COSTURA</t>
  </si>
  <si>
    <t>2. 13º SALÁRIO</t>
  </si>
  <si>
    <t>1ª PARTE</t>
  </si>
  <si>
    <t>ANA BEATRIZ PATRICIO DOS SANTOS CAMPOS</t>
  </si>
  <si>
    <t>COMPLETO</t>
  </si>
  <si>
    <t>JUDITH GOMES DA SILVA</t>
  </si>
  <si>
    <t>JOÃO VICTOR URQUIZA NOBREGA BRITO</t>
  </si>
  <si>
    <t>THAMIRIS SERPA DE ALENCAR</t>
  </si>
  <si>
    <t>2. ADIANTAMENTOS</t>
  </si>
  <si>
    <t>LUZIMAR PEREIRA</t>
  </si>
  <si>
    <t>SALÁRIO + VT</t>
  </si>
  <si>
    <t>AJUDA DE CUSTO</t>
  </si>
  <si>
    <t>SALÁRIO + HE</t>
  </si>
  <si>
    <t>19/12/2025</t>
  </si>
  <si>
    <t>(2ª PARCELA)</t>
  </si>
  <si>
    <t>2. FÉRIAS</t>
  </si>
  <si>
    <t>1/3 DE FÉRIAS</t>
  </si>
  <si>
    <t>CARINA ROLIM LEITE LIMA</t>
  </si>
  <si>
    <t>31/12/2025</t>
  </si>
  <si>
    <t>SALÁRIO PARCIAL</t>
  </si>
  <si>
    <t>3. FGTS</t>
  </si>
  <si>
    <t>13°</t>
  </si>
  <si>
    <t>4. OUTROS IMPOSTOS</t>
  </si>
  <si>
    <t>ALOHAI 20/24</t>
  </si>
  <si>
    <t>ALOHAI 21/24</t>
  </si>
  <si>
    <t>4. IPTU</t>
  </si>
  <si>
    <t>IPTU / TCR</t>
  </si>
  <si>
    <t>4. INSS</t>
  </si>
  <si>
    <t>4. SIMPLES NACIONAL</t>
  </si>
  <si>
    <t>ALOHAI 22 DE 24</t>
  </si>
  <si>
    <t>ALOHAI 23 DE 24</t>
  </si>
  <si>
    <t>1/2 IPTU / TCR</t>
  </si>
  <si>
    <t>5. AQUISIÇÃO DE PATRIMÔNIO</t>
  </si>
  <si>
    <t>FERNANDO SILVESTRE DE SOUZA</t>
  </si>
  <si>
    <t>FERNANDO SILVESTRE DE SOUSA</t>
  </si>
  <si>
    <t>5. MANUTENÇÕES</t>
  </si>
  <si>
    <t>EDEN SILVA -  COMPUTADORES</t>
  </si>
  <si>
    <t>5. ENERGIA ELÉTRICA</t>
  </si>
  <si>
    <t>ENERGISA</t>
  </si>
  <si>
    <t>5. EMPRESTIMOS E FINANCIAMENTOS</t>
  </si>
  <si>
    <t>5. GELADEIRA LEGAL</t>
  </si>
  <si>
    <t>GELADEIRA LEGAL</t>
  </si>
  <si>
    <t>5. SISTEMAS</t>
  </si>
  <si>
    <t>4/9 SISTEMA FINANCEIRO</t>
  </si>
  <si>
    <t>LEGALMAIL</t>
  </si>
  <si>
    <t>COMPRA RPV - ELIEL ANTONIO</t>
  </si>
  <si>
    <t>5. CONSULTORIAS</t>
  </si>
  <si>
    <t>BERRY CONSULTORIA</t>
  </si>
  <si>
    <t>5. INTERNET</t>
  </si>
  <si>
    <t>CLARO</t>
  </si>
  <si>
    <t>CAPITAL DE GIRO</t>
  </si>
  <si>
    <t>ALMOÇO</t>
  </si>
  <si>
    <t>MICROONDAS</t>
  </si>
  <si>
    <t>ZAP</t>
  </si>
  <si>
    <t>18/10/2025</t>
  </si>
  <si>
    <t>5. CUSTO - FROTA</t>
  </si>
  <si>
    <t>JOAO FELICIANO</t>
  </si>
  <si>
    <t>GASOLINA ELIEL</t>
  </si>
  <si>
    <t>E-AUDITORIA</t>
  </si>
  <si>
    <t>GÁS DE COZINHA</t>
  </si>
  <si>
    <t>NOTEBOOK PATRICIA</t>
  </si>
  <si>
    <t>BRISANET</t>
  </si>
  <si>
    <t>OMNI</t>
  </si>
  <si>
    <t>ELIEL ANTONIO - GASOLINA</t>
  </si>
  <si>
    <t>REBOQUE STRADA</t>
  </si>
  <si>
    <t>ELIEL ANTONIO -  GASOLINA (24/10)</t>
  </si>
  <si>
    <t>5. MATERIAL DE EXPEDIENTE</t>
  </si>
  <si>
    <t>DESCARTÁVEIS</t>
  </si>
  <si>
    <t>MANUTENÇÃO STRADA</t>
  </si>
  <si>
    <t>EDUARDO FERREIRA BARBOSA</t>
  </si>
  <si>
    <t>ELETRÔNICOS - JOACI VARELO DA COSTA</t>
  </si>
  <si>
    <t>01/11/2025</t>
  </si>
  <si>
    <t>REBOQUE - MARCIO RICARDO</t>
  </si>
  <si>
    <t>TAPETE PARA AREA DE DESCOMPRESSAO</t>
  </si>
  <si>
    <t>5. CONTADOR</t>
  </si>
  <si>
    <t>ALISSON TRAJANO</t>
  </si>
  <si>
    <t>5/9 SISTEMA FINANCEIRO</t>
  </si>
  <si>
    <t>LUCAS</t>
  </si>
  <si>
    <t>VASSOURA</t>
  </si>
  <si>
    <t>JUDITH</t>
  </si>
  <si>
    <t>IMPRESSORAS</t>
  </si>
  <si>
    <t>BERRY</t>
  </si>
  <si>
    <t>REDE MENOR PREÇO</t>
  </si>
  <si>
    <t>5. CUSTO - PARCEIRO</t>
  </si>
  <si>
    <t>RECARGA DE CELULAR</t>
  </si>
  <si>
    <t>5. CUSTO - CAPTAÇÃO</t>
  </si>
  <si>
    <t>ADAPTA IA ( REEMBOLSAR PATRICIA )</t>
  </si>
  <si>
    <t>5. TELEFONIA</t>
  </si>
  <si>
    <t>CLARO - JURÍDICO</t>
  </si>
  <si>
    <t>GELADEIRA LEGAL (PIX PARA D JUDITH)</t>
  </si>
  <si>
    <t>GELADEIRA LEGAL (ALMOÇO COLETIVO - PIX PARA VICTOR)</t>
  </si>
  <si>
    <t>TELEFONE DO FINANCEIRO</t>
  </si>
  <si>
    <t>6/9 SISTEMA FINANCEIRO</t>
  </si>
  <si>
    <t>CLARO JURÍDICO</t>
  </si>
  <si>
    <t>PAPELARIA</t>
  </si>
  <si>
    <t>OP CAPITAL DE GIRO</t>
  </si>
  <si>
    <t>JOSE SEVERINO SALES DA SILVA - DINHO DE NAZARÉ</t>
  </si>
  <si>
    <t>TOUCHWORKS - IMPLEMENTAÇÃO</t>
  </si>
  <si>
    <t>AC - PRÉ INSTALAÇÃO</t>
  </si>
  <si>
    <t>GASOLINA</t>
  </si>
  <si>
    <t>CRÉDITO NO CELULAR</t>
  </si>
  <si>
    <t>5. ALUGUEL</t>
  </si>
  <si>
    <t>AGOSTO A DEZEMBRO</t>
  </si>
  <si>
    <t>08/2025</t>
  </si>
  <si>
    <t>ALUGUEL - AGOSTO A DEZEMBRO</t>
  </si>
  <si>
    <t>GELADEIRA LEGAL (15,21 E 0,07)</t>
  </si>
  <si>
    <t>MÓVEIS - JOSELITO JUNIOR</t>
  </si>
  <si>
    <t>21/12/2025</t>
  </si>
  <si>
    <t>ZAPPY</t>
  </si>
  <si>
    <t>24/12/2025</t>
  </si>
  <si>
    <t>CAPITAL GIRO PARC 014/042</t>
  </si>
  <si>
    <t>ALISSON TRAJANO - (13º E JANEIRO)</t>
  </si>
  <si>
    <t>17/01/2026</t>
  </si>
  <si>
    <t>EDEN DA SILVA - PC DE PATRÍCIA</t>
  </si>
  <si>
    <t>MARIA DAS GRACAS FORTUNATO CALIXTO - LINDA</t>
  </si>
  <si>
    <t>7/9 SISTEMA FINANCEIRO</t>
  </si>
  <si>
    <t>BOLO</t>
  </si>
  <si>
    <t>ATENDIMENTO</t>
  </si>
  <si>
    <t>RESMAS (VICTOR LUIS)</t>
  </si>
  <si>
    <t>SEMANAL DE GASOLINA</t>
  </si>
  <si>
    <t>ANA CRISTINA COSME DA SILVA</t>
  </si>
  <si>
    <t>INSTALAÇÃO E MANUTENÇÃO</t>
  </si>
  <si>
    <t>EDEN - FORMATAÇÃO DE PC</t>
  </si>
  <si>
    <t>WELDER FRAZAO DA SILVA TORRES</t>
  </si>
  <si>
    <t>THIAGO</t>
  </si>
  <si>
    <t>5. ASSINATURAS</t>
  </si>
  <si>
    <t>HOSTGATOR</t>
  </si>
  <si>
    <t>PICUI</t>
  </si>
  <si>
    <t>IMPOSTOGRAMA</t>
  </si>
  <si>
    <t>24/01/2026</t>
  </si>
  <si>
    <t>CELULAR FINANCEIRO</t>
  </si>
  <si>
    <t>31/01/2026</t>
  </si>
  <si>
    <t>6. CONFRATERNIZAÇÕES DO ESCRITÓRIO</t>
  </si>
  <si>
    <t>ANIVERSÁRIO DE DR. THIAGO -  BOLO DE ANIVERSÁRIO</t>
  </si>
  <si>
    <t>ANIVERSÁRIO DR. THIAGO -  REFRIGENTE 2L ( COCA ZERO - LATORRE )</t>
  </si>
  <si>
    <t>6. DIVERSOS</t>
  </si>
  <si>
    <t>GASOLINA PARA ELIEL</t>
  </si>
  <si>
    <t>6. AÇÕES SOCIAIS</t>
  </si>
  <si>
    <t>AÇÃO DIA DAS CRIANÇAS - SACOLINHAS E REFRIGERANTE ( PIX PARA FRANCIELE CALIXTO DA SILVA )</t>
  </si>
  <si>
    <t>6. ADIANTAMENTO PARA PARCEIRO</t>
  </si>
  <si>
    <t>DINHO - JOSE SEVERINO SALES DA SILVA</t>
  </si>
  <si>
    <t>6. MATERIAIS DE LIMPEZA E ALIMENTAÇÃO</t>
  </si>
  <si>
    <t>ALMOÇO PATRÍCIA</t>
  </si>
  <si>
    <t>6. MÃO DE OBRA</t>
  </si>
  <si>
    <t>LEANDRO JOAO BATISTA DOS SANTOS</t>
  </si>
  <si>
    <t>ELIEL - R$ 500,00 | LEANDRO R$ 600,00</t>
  </si>
  <si>
    <t>LINDA - MARIA DAS GRAÇAS FORTUNATO CALIXTO</t>
  </si>
  <si>
    <t>ALMOÇO THIAGO</t>
  </si>
  <si>
    <t>6. CUSTO - PROCESSO</t>
  </si>
  <si>
    <t>DILIGENCIA - DOCUMENTO</t>
  </si>
  <si>
    <t>0003695-20.2025.4.05.8306</t>
  </si>
  <si>
    <t>JOSE MANOEL XAVIER FILHO - CABOCLO</t>
  </si>
  <si>
    <t>COMPRAS DIA DAS CRIANÇAS ( CACHORRO QUENTE )</t>
  </si>
  <si>
    <t>A DEFINIR - LEANDRO JOAO BATISTA ( GASOLINA )</t>
  </si>
  <si>
    <t>6. DESPESAS DE CARTÓRIO</t>
  </si>
  <si>
    <t>REEMBOLSO THIAGO</t>
  </si>
  <si>
    <t>COMPRAS - AÇÃO DIA DAS CRIANÇAS</t>
  </si>
  <si>
    <t>A DEFINIR - ELIEL ANTONIO - GASOLINA</t>
  </si>
  <si>
    <t>6. CUSTO - RECEBIMENTO</t>
  </si>
  <si>
    <t>MAMANGUAPE 30/09 - VICTOR LIMEIRA</t>
  </si>
  <si>
    <t>DIA DAS CRIANÇAS - BOLO</t>
  </si>
  <si>
    <t>ELIEL ANTONIO ( WILMA )</t>
  </si>
  <si>
    <t>LEANDRO JOAO BATISTA</t>
  </si>
  <si>
    <t>11/10/2025</t>
  </si>
  <si>
    <t>DIA DAS CRIANÇAS - COMPLEMENTO COMPRAS</t>
  </si>
  <si>
    <t>ELIEL ANTONIO</t>
  </si>
  <si>
    <t>LEANDRO JOÃO BATISTA</t>
  </si>
  <si>
    <t>6. MATERIAIS DE CONSTRUÇÃO</t>
  </si>
  <si>
    <t>MATEC</t>
  </si>
  <si>
    <t>DIEGO AIRES AMORENO</t>
  </si>
  <si>
    <t>CUSTO CTPS</t>
  </si>
  <si>
    <t>0044370-52.2025.4.05.8200</t>
  </si>
  <si>
    <t>ANTONIO JOSE DA SILVA - CORAGEM</t>
  </si>
  <si>
    <t>CARTÃO DÉBITO - BRADESCO</t>
  </si>
  <si>
    <t>ELIEL ANTONIO - PIX PARA WILMA</t>
  </si>
  <si>
    <t>REEMBOLSO INSS</t>
  </si>
  <si>
    <t>COMPRAS</t>
  </si>
  <si>
    <t>6. PARTICIPAÇÃO - PARCEIRO</t>
  </si>
  <si>
    <t>ARTHUR PONCIANO PEREIRA</t>
  </si>
  <si>
    <t>ANTONIO MORAIS DE FRANCA - TINÉ</t>
  </si>
  <si>
    <t>DIEGO AIRES MORENO</t>
  </si>
  <si>
    <t>ELIEL ANTONIO DA SILVA</t>
  </si>
  <si>
    <t>JOSE ROBERTO FLORENCIO</t>
  </si>
  <si>
    <t>19/10/2025</t>
  </si>
  <si>
    <t>FARMÁRCIA</t>
  </si>
  <si>
    <t>CRISTINA - ANA CRISTINA COSME</t>
  </si>
  <si>
    <t>COMPRAS ALISSON</t>
  </si>
  <si>
    <t>26/10/2025</t>
  </si>
  <si>
    <t>JÓ - JOSENILDA PONCIANO</t>
  </si>
  <si>
    <t>NILSON BATISTA - LIMPEZA CALÇADA</t>
  </si>
  <si>
    <t>6. SAÍDA NÃO RECORRENTE</t>
  </si>
  <si>
    <t>EMPRESTIMO DE THIAGO PARA ELIETE NASCIMENTO DE OLIVEIRA</t>
  </si>
  <si>
    <t>6. PARTICIPAÇÃO - ADVOGADO</t>
  </si>
  <si>
    <t>EDIMAR PINHEIRO DE SOUSA</t>
  </si>
  <si>
    <t>6. PPP</t>
  </si>
  <si>
    <t>MARCOS AURÉLIO OLIVEIRA DE MELO FILHO</t>
  </si>
  <si>
    <t>VALDECI MARCULINO DO NASCIMENTO JUNIOR</t>
  </si>
  <si>
    <t>6. ALARMES E SEGURANÇA</t>
  </si>
  <si>
    <t>FALCÃO</t>
  </si>
  <si>
    <t>REINALDO SANTANA CABRAL</t>
  </si>
  <si>
    <t>GASOLINA ENVIADA PARA JÓ</t>
  </si>
  <si>
    <t>IVANILDO PONCIANO SIMAO</t>
  </si>
  <si>
    <t>1/10 GELADEIRA LUZIMAR</t>
  </si>
  <si>
    <t>CARINA ROLIM</t>
  </si>
  <si>
    <t>GUIA DE CUSTAS</t>
  </si>
  <si>
    <t>PAGAMENTO REALIZADO POR DRA PATRICIA</t>
  </si>
  <si>
    <t>FRANCIELE CALIXTO</t>
  </si>
  <si>
    <t>PEÇA PARA VASO SANITARIO</t>
  </si>
  <si>
    <t>09/11/2025</t>
  </si>
  <si>
    <t>LEANDRO JOAO BATISTA DA SILVA</t>
  </si>
  <si>
    <t>PARCERIA</t>
  </si>
  <si>
    <t>MARCIA MAIA CORREIA</t>
  </si>
  <si>
    <t>JOABSON DE ARAUJO</t>
  </si>
  <si>
    <t>NETO CASA E CONSTRUÇÃO</t>
  </si>
  <si>
    <t>ELIEL ANTONIO DA SILVA - GASOLINA</t>
  </si>
  <si>
    <t>6. SERVIÇOS</t>
  </si>
  <si>
    <t>NOTAS FISCAIS</t>
  </si>
  <si>
    <t>VALDECI MARCULINO</t>
  </si>
  <si>
    <t>ANIVERSÁRIO ALISSON</t>
  </si>
  <si>
    <t>JOSENILDA PONCIANO  - REFERENTE A JOAO SIMAO</t>
  </si>
  <si>
    <t>JOAO PAULO MONTEIRO DA SILVA</t>
  </si>
  <si>
    <t>MANOEL MONTEIRO DE SOUZA IRMAO</t>
  </si>
  <si>
    <t>6. PGTO PARCIAL DE FATURA DE CARTÃO</t>
  </si>
  <si>
    <t>CARTÃO EFI</t>
  </si>
  <si>
    <t>CARTÃO EFÍ</t>
  </si>
  <si>
    <t>EDIMAR</t>
  </si>
  <si>
    <t>2/10 GELADEIRA LUZIMAR</t>
  </si>
  <si>
    <t>MARCOS AURÉLIO</t>
  </si>
  <si>
    <t>ARTUR CANDIDO TAVARES DA SILVA</t>
  </si>
  <si>
    <t>REEMBOLSO PARA ALISSON</t>
  </si>
  <si>
    <t>6. EQUIPAMENTOS ELETRÔNICOS</t>
  </si>
  <si>
    <t>COMPRA - AR CONDICIONADO</t>
  </si>
  <si>
    <t>FATURA EFI</t>
  </si>
  <si>
    <t>11/4202</t>
  </si>
  <si>
    <t>INSS</t>
  </si>
  <si>
    <t>GESSO</t>
  </si>
  <si>
    <t>PARTICIPAÇÃO PARCIAL NOVEMBRO</t>
  </si>
  <si>
    <t>ISAÍAS ANDRÉS TRONCOSO</t>
  </si>
  <si>
    <t>NOVEMBRO</t>
  </si>
  <si>
    <t>PINTOR</t>
  </si>
  <si>
    <t>PEDREIRO</t>
  </si>
  <si>
    <t>RETIRADA DE ENTULHO</t>
  </si>
  <si>
    <t>PARCEIRA JÓ (DEZEMBRO)</t>
  </si>
  <si>
    <t>MANOEL ALEXANDRE DA SILVA</t>
  </si>
  <si>
    <t>14/12/2025</t>
  </si>
  <si>
    <t>(2 DE R$50,00)</t>
  </si>
  <si>
    <t>HORA EXTRA</t>
  </si>
  <si>
    <t>28/12/2025</t>
  </si>
  <si>
    <t>6. COMBUSTÍVEL</t>
  </si>
  <si>
    <t>GASOLINA - STRADA</t>
  </si>
  <si>
    <t>ANIVERSÁRIO JOÃO VICTOR</t>
  </si>
  <si>
    <t>ANIVERSÁRIO DE JOÃO VICTOR</t>
  </si>
  <si>
    <t>LIMPEZA DO TAPETE (PIX CARINA)</t>
  </si>
  <si>
    <t>ADIANTAMENTO</t>
  </si>
  <si>
    <t>ARMANDO PEDRO DOS SANTOS</t>
  </si>
  <si>
    <t>3/10 GELADEIRA LUZIMAR</t>
  </si>
  <si>
    <t>FERREIRA COSTA</t>
  </si>
  <si>
    <t>RECEBIMENTO EM MÃOS DE VALDIRENE</t>
  </si>
  <si>
    <t>ADIANTAMENTO DE ANIVERSÁRIO - RECEBEU DO PRIMO</t>
  </si>
  <si>
    <t>JOSENILDA PONCIANO SIMAO</t>
  </si>
  <si>
    <t>VIDROS E MO (DIMAS)</t>
  </si>
  <si>
    <t>MARCONDES</t>
  </si>
  <si>
    <t>12/2026</t>
  </si>
  <si>
    <t>TROCA DE QUADRO ELETRICO</t>
  </si>
  <si>
    <t>SILVESTRE</t>
  </si>
  <si>
    <t>11/01/2026</t>
  </si>
  <si>
    <t>JOSERALDO GONCALVES AVELINO</t>
  </si>
  <si>
    <t>LUIZ HENRIQUE DA SILVA</t>
  </si>
  <si>
    <t>MARCOS SANTOS DO CARMO</t>
  </si>
  <si>
    <t>JASILA</t>
  </si>
  <si>
    <t>DÉBITO CARTÃO BRADESCO</t>
  </si>
  <si>
    <t>PANELA | PRATO | TAÇA</t>
  </si>
  <si>
    <t>LUCIANA DA SILVA SOUZA - CONFIRMAR CATEGORIA</t>
  </si>
  <si>
    <t>18/01/2026</t>
  </si>
  <si>
    <t>LUCIANO SILVA DE ALBU</t>
  </si>
  <si>
    <t>EDVALDO GABRIEL DOS SANTOS - CIDADE ALERTA</t>
  </si>
  <si>
    <t>ILUMINAÇÃO</t>
  </si>
  <si>
    <t>OUT | NOV | DEZ</t>
  </si>
  <si>
    <t>SEVERINO RAMOS BEZERRA</t>
  </si>
  <si>
    <t>IGOR GUSTAVO LOPES</t>
  </si>
  <si>
    <t>CURSO ALISSON - DEVOLUÇÃO DE THIAGO PARA ALISSON</t>
  </si>
  <si>
    <t>CARTÃO BRADESCO</t>
  </si>
  <si>
    <t>CENTER LED</t>
  </si>
  <si>
    <t>LUZINALDO CUNHA LIRA</t>
  </si>
  <si>
    <t>FABIO DO SINDICATO</t>
  </si>
  <si>
    <t>DEZ</t>
  </si>
  <si>
    <t>ZÉ LUIZ  - LUIZ HENRIQUE DA SILVA</t>
  </si>
  <si>
    <t>PAGAMENTO DE FATURA CARREFOUR</t>
  </si>
  <si>
    <t>15/02/2026</t>
  </si>
  <si>
    <t>DINHO</t>
  </si>
  <si>
    <t>7. TAXAS BANCÁRIAS</t>
  </si>
  <si>
    <t>CESTA PJ</t>
  </si>
  <si>
    <t>EFÍ</t>
  </si>
  <si>
    <t>EFI</t>
  </si>
  <si>
    <t>TAXA PIX TESTE</t>
  </si>
  <si>
    <t>(TAXA DO ASAAS) 1/15 HONORARIOS INICIAIS</t>
  </si>
  <si>
    <t>TARFIFA ASAAS</t>
  </si>
  <si>
    <t>MENSALIDADE CESTA SERVIÇO</t>
  </si>
  <si>
    <t>TAXA DE BOLETO</t>
  </si>
  <si>
    <t>TARIFA PIX</t>
  </si>
  <si>
    <t xml:space="preserve">(TAXA DO ASAAS) </t>
  </si>
  <si>
    <t>ENCARGOS LIMITE DE CREDITO</t>
  </si>
  <si>
    <t>(TAXA DO ASAAS) 2/15 HONORARIOS INICIAIS</t>
  </si>
  <si>
    <t>0806332-87.2025.8.15.2003</t>
  </si>
  <si>
    <t>SEGURO CONTA</t>
  </si>
  <si>
    <t>CESTA SERVIÇO</t>
  </si>
  <si>
    <t>1/18 TARIFA EFÍ</t>
  </si>
  <si>
    <t>TARIFA EFI</t>
  </si>
  <si>
    <t>1/3 TARIFA EFÍ</t>
  </si>
  <si>
    <t>TARIFA EFÍ</t>
  </si>
  <si>
    <t>(TAXA DO ASAAS) 3/15 HONORARIOS INICIAIS</t>
  </si>
  <si>
    <t>1/2 TARIFA EFÍ</t>
  </si>
  <si>
    <t>1/15 TARIFA EFI</t>
  </si>
  <si>
    <t>(TAXA DO ASAAS) 1/10</t>
  </si>
  <si>
    <t>8. PATROCINIO</t>
  </si>
  <si>
    <t>DINHO - MAMANGUAPE</t>
  </si>
  <si>
    <t>8. MARKETING JURÍDICO E PUBLICIDADE</t>
  </si>
  <si>
    <t>GD BONÉS</t>
  </si>
  <si>
    <t>SACOS PARA WISKY (50%- VICTORIA INDUSTRIA E COMERCIO)</t>
  </si>
  <si>
    <t>ADESIVOS GARRAFAS</t>
  </si>
  <si>
    <t>ADESIVOS</t>
  </si>
  <si>
    <t>CHAVEIROS (CROCHET)</t>
  </si>
  <si>
    <t>CHAVEIROS</t>
  </si>
  <si>
    <t>BRINDES - CASA METAL</t>
  </si>
  <si>
    <t>BRINDES - CHIC BIJUTERIAS</t>
  </si>
  <si>
    <t>BRINDES</t>
  </si>
  <si>
    <t>BRINDE</t>
  </si>
  <si>
    <t>9. DISTRIBUIÇÃO DE LUCROS</t>
  </si>
  <si>
    <t>MARCOS URQUIZA HERCULANO</t>
  </si>
  <si>
    <t>0. DEVOLUÇÃO DE EXCEDENTE</t>
  </si>
  <si>
    <t>DEVOLUÇÃO DE EXCEDENTE DE PAGAMENTO</t>
  </si>
  <si>
    <t>DEVOLUÇÃO DE EXCEDENTE</t>
  </si>
  <si>
    <t>6. MATERIAIS DO ESCRITÓRIO</t>
  </si>
  <si>
    <t>CARTÃO INTER</t>
  </si>
  <si>
    <t>CARTÃO SANTANDER</t>
  </si>
  <si>
    <t>6. MÓVEIS</t>
  </si>
  <si>
    <t>4. IOF</t>
  </si>
  <si>
    <t xml:space="preserve">5. GELADEIRA </t>
  </si>
  <si>
    <t>CARTÃO NUBANK</t>
  </si>
  <si>
    <t>CARTÃO HIPERCARD</t>
  </si>
  <si>
    <t>CARTÃO CARREFOUR</t>
  </si>
  <si>
    <t xml:space="preserve">CARTÃO EFÍ </t>
  </si>
  <si>
    <t xml:space="preserve">CARTÃO INTER </t>
  </si>
  <si>
    <t>5. COMBUSTÍVEL - ESCRITÓRIO</t>
  </si>
  <si>
    <t>1. PGTO PARCIAL DE CARTAO ANTECIPADO</t>
  </si>
  <si>
    <t>CAIXA ECONÔMICA</t>
  </si>
  <si>
    <t>PAGAMENTO DE FATURA - CARTÃO DE CRÉDITO BRADESCO</t>
  </si>
  <si>
    <t>02/2026</t>
  </si>
  <si>
    <t>09/02/2026</t>
  </si>
  <si>
    <t>08/02/2026</t>
  </si>
  <si>
    <t>13/02/2026</t>
  </si>
  <si>
    <t>04/02/2026</t>
  </si>
  <si>
    <t>18/02/2026</t>
  </si>
  <si>
    <t>20/02/2026</t>
  </si>
  <si>
    <t>24/02/2026</t>
  </si>
  <si>
    <t>26/02/2026</t>
  </si>
  <si>
    <t>3/14</t>
  </si>
  <si>
    <t>2/10</t>
  </si>
  <si>
    <t>0014313-85.2024.4.05.8200</t>
  </si>
  <si>
    <t>REEMBOLSO</t>
  </si>
  <si>
    <t>DESTACAMENTO - CEF</t>
  </si>
  <si>
    <t>0003938-16.2024.4.05.8300</t>
  </si>
  <si>
    <t>JOSE ANTONIO DA SILVA</t>
  </si>
  <si>
    <t>DESTACAMENTO - CEF (PGTO PARCIAL)</t>
  </si>
  <si>
    <t>0000839-20.2024.4.05.8306</t>
  </si>
  <si>
    <t>COSMO JOSÉ DE SOUZA</t>
  </si>
  <si>
    <t>4/6</t>
  </si>
  <si>
    <t>3/15 HONORARIOS INICIAIS</t>
  </si>
  <si>
    <t>DESTACAMENTO - BB</t>
  </si>
  <si>
    <t>0020559-97.2024.4.05.8200</t>
  </si>
  <si>
    <t>FRANCISCO MARREIRO</t>
  </si>
  <si>
    <t>0015333-82.2022.4.05.8200</t>
  </si>
  <si>
    <t>ERIVALDO FELIX DA SILVA</t>
  </si>
  <si>
    <t>4/17 (GILMA MARIA ALVINO)</t>
  </si>
  <si>
    <t>0007087-97.2022.4.05.8200</t>
  </si>
  <si>
    <t>NATANAEL ELEUTERIO DA LUZ</t>
  </si>
  <si>
    <t>4/5</t>
  </si>
  <si>
    <t>4/9</t>
  </si>
  <si>
    <t>01/2025</t>
  </si>
  <si>
    <t>0013661-68.2024.4.05.8200</t>
  </si>
  <si>
    <t>JOSENILDO ANTONIO DA SILVA - NILDO</t>
  </si>
  <si>
    <t>0010833-02.2024.4.05.8200</t>
  </si>
  <si>
    <t>EDMILSON DE SALES SILVA</t>
  </si>
  <si>
    <t>0027454-74.2024.4.05.8200</t>
  </si>
  <si>
    <t>ANTONIO MARQUES FILHO</t>
  </si>
  <si>
    <t>0006360-07.2023.4.05.8200</t>
  </si>
  <si>
    <t>JOSE PEDRO DA SILVA</t>
  </si>
  <si>
    <t>SUBLOCAÇÃO</t>
  </si>
  <si>
    <t>FRANCISCO SALES XAVIER DE LIMA</t>
  </si>
  <si>
    <t>0001566-76.2024.4.05.8306</t>
  </si>
  <si>
    <t>MELQUE FELIX DO NASCIMENTO</t>
  </si>
  <si>
    <t>0001290-09.2023.4.05.8200</t>
  </si>
  <si>
    <t>EDVALDO JOAO FRUTUOZO</t>
  </si>
  <si>
    <t>4/14</t>
  </si>
  <si>
    <t>ESTORNO</t>
  </si>
  <si>
    <t>3/8 - BODE E BRASA</t>
  </si>
  <si>
    <t>REGINALDO BARBOSA DOS SANTOS</t>
  </si>
  <si>
    <t>0020967-88.2024.4.05.8200</t>
  </si>
  <si>
    <t>MANUEL FRANCISCO DE ARAUJO</t>
  </si>
  <si>
    <t>COMPLEMENTO</t>
  </si>
  <si>
    <t>25/01/2026</t>
  </si>
  <si>
    <t>4/18</t>
  </si>
  <si>
    <t>0002114-38.2023.4.05.8306</t>
  </si>
  <si>
    <t>JOAO ANTONIO DA SILVA - JAPUNGU</t>
  </si>
  <si>
    <t>JORGE LUIZ DE AMORIM</t>
  </si>
  <si>
    <t>4/20</t>
  </si>
  <si>
    <t>4/12</t>
  </si>
  <si>
    <t>02/02/2026</t>
  </si>
  <si>
    <t>3/4</t>
  </si>
  <si>
    <t>5/8</t>
  </si>
  <si>
    <t>DJA - SERVIDORES PÚBLICOS</t>
  </si>
  <si>
    <t>02/2025</t>
  </si>
  <si>
    <t>0516908-05.2021.4.05.8200</t>
  </si>
  <si>
    <t>EDUARDO ESPINOLA DE BRITO</t>
  </si>
  <si>
    <t>03/02/2026</t>
  </si>
  <si>
    <t>5/6</t>
  </si>
  <si>
    <t>0002287-28.2024.4.05.8306</t>
  </si>
  <si>
    <t>MANOEL FELIX DO NASCIMENTO</t>
  </si>
  <si>
    <t>05/02/2026</t>
  </si>
  <si>
    <t>4/15 HONORARIOS INICIAIS</t>
  </si>
  <si>
    <t>5/17</t>
  </si>
  <si>
    <t>0001411-03.2024.4.05.8200</t>
  </si>
  <si>
    <t>BENEDITO SEVERINO DA SILVA - BENEU</t>
  </si>
  <si>
    <t>1/4 PARCELAMENTO DO SALDO REMANESCENTE DO CONTRATO DE HONORÁRIOS ADVOCATÍCIOS.</t>
  </si>
  <si>
    <t>JOSE APARECIDO CORREA</t>
  </si>
  <si>
    <t>0003566-42.2025.4.05.8200</t>
  </si>
  <si>
    <t>MARCOS SEBASTIAO FELICIANO - LUCAS</t>
  </si>
  <si>
    <t>07/02/2026</t>
  </si>
  <si>
    <t>5/5</t>
  </si>
  <si>
    <t>5/9</t>
  </si>
  <si>
    <t>2/4 PARCELAMENTO DO SALDO REMANESCENTE DO CONTRATO DE HONORÁRIOS ADVOCATÍCIOS.</t>
  </si>
  <si>
    <t>10/02/2026</t>
  </si>
  <si>
    <t>11/02/2026</t>
  </si>
  <si>
    <t>VERIFICAR CATEGORIA</t>
  </si>
  <si>
    <t>0005591-62.2024.4.05.8200</t>
  </si>
  <si>
    <t>RAMÁLIO ESTEVO DA SILVA</t>
  </si>
  <si>
    <t>12/02/2026</t>
  </si>
  <si>
    <t>0001468-28.2023.4.05.8306</t>
  </si>
  <si>
    <t>JOSEFA MARIA DO NASCIMENTO</t>
  </si>
  <si>
    <t>3/10</t>
  </si>
  <si>
    <t>16/02/2026</t>
  </si>
  <si>
    <t>0037408-38.2024.4.05.8300</t>
  </si>
  <si>
    <t>EDINALDO MANOEL DA SILVA</t>
  </si>
  <si>
    <t>19/02/2026</t>
  </si>
  <si>
    <t>22/02/2026</t>
  </si>
  <si>
    <t>23/02/2026</t>
  </si>
  <si>
    <t>JOAO BATISTA DOS ANJOS SILVA</t>
  </si>
  <si>
    <t>25/02/2026</t>
  </si>
  <si>
    <t>5/18</t>
  </si>
  <si>
    <t>DEVOLUÇÃO DE PIX</t>
  </si>
  <si>
    <t>COMPLEMENTAÇÃO DO CONTRATO (VALOR REFERENTE AOS MONTANTES AOS QUAIS O CLIENTE ABRIU MÃO).</t>
  </si>
  <si>
    <t>FRANCISCA LUCIA DE AGUIAR</t>
  </si>
  <si>
    <t>27/02/2026</t>
  </si>
  <si>
    <t>28/02/2026</t>
  </si>
  <si>
    <t>5/12</t>
  </si>
  <si>
    <t>4/10</t>
  </si>
  <si>
    <t>03/03/2026</t>
  </si>
  <si>
    <t>6/8</t>
  </si>
  <si>
    <t>27/03/2026</t>
  </si>
  <si>
    <t>03/2026</t>
  </si>
  <si>
    <t>MEIO EXPEDIENTE</t>
  </si>
  <si>
    <t>2. VALE TRANSPORTE</t>
  </si>
  <si>
    <t>CALCULAR</t>
  </si>
  <si>
    <t>2. PRÓ-LABORE</t>
  </si>
  <si>
    <t>PATRICIA KARLA URQUIZA</t>
  </si>
  <si>
    <t>2. AJUDA DE CUSTO ADVOGADO</t>
  </si>
  <si>
    <t>2. HORAS EXTRAS</t>
  </si>
  <si>
    <t>DEZEMBRO</t>
  </si>
  <si>
    <t>VT + 2 DIAS FÉRIAS</t>
  </si>
  <si>
    <t>JANEIRO</t>
  </si>
  <si>
    <t>HE COM DESCONTO 210</t>
  </si>
  <si>
    <t>24/01 E 31/01</t>
  </si>
  <si>
    <t>14/02/2026</t>
  </si>
  <si>
    <t>ADVBOX</t>
  </si>
  <si>
    <t>01/02/2026</t>
  </si>
  <si>
    <t>LATORRE</t>
  </si>
  <si>
    <t>5. AQUISIÇÃO DE PATRIMÔNIO (R$1.200 +)</t>
  </si>
  <si>
    <t>MÓVEIS JOSELITO</t>
  </si>
  <si>
    <t>5. CONSÓRCIO</t>
  </si>
  <si>
    <t>VIAJEM 08/02</t>
  </si>
  <si>
    <t>PARCEIRO TEL</t>
  </si>
  <si>
    <t>IRMÃO MAURICIO</t>
  </si>
  <si>
    <t>SHOPEE</t>
  </si>
  <si>
    <t>8/9 SISTEMA FINANCEIRO</t>
  </si>
  <si>
    <t>PIX PARA MARIA JOSÉ CALIXTO</t>
  </si>
  <si>
    <t>EDNALDO CALIXTO DA SILVA - CABARÉ</t>
  </si>
  <si>
    <t>MARKETPLACE</t>
  </si>
  <si>
    <t>MANUTENÇÃO DE COMPUTADORES</t>
  </si>
  <si>
    <t>IMPLANTAÇÃO MIDIA CHAT</t>
  </si>
  <si>
    <t>EDEN DA SILVA RODRIGUES</t>
  </si>
  <si>
    <t>IPVA E CONSERTO MOTO - DINHO</t>
  </si>
  <si>
    <t>6. ADIANTAMENTO DE PARTICIPAÇÃO</t>
  </si>
  <si>
    <t>4/10 GELADEIRA LUZIMAR</t>
  </si>
  <si>
    <t>PIX PARA FRANCIELE CALIXTO</t>
  </si>
  <si>
    <t>REEMBOLSO UBER - CARINA</t>
  </si>
  <si>
    <t>JOAO FELICIANO DA SILVA FILHO</t>
  </si>
  <si>
    <t>TINTAS</t>
  </si>
  <si>
    <t>IZABELLI</t>
  </si>
  <si>
    <t>6. DEVOLUÇÃO APORTE DO SÓCIO</t>
  </si>
  <si>
    <t>ALMOÇO JOÃO</t>
  </si>
  <si>
    <t>UBER</t>
  </si>
  <si>
    <t>LUCIANO SILVA DE ALBUQUERQUE</t>
  </si>
  <si>
    <t>CARAJAS</t>
  </si>
  <si>
    <t>REEBOLSO DE UBER PARA AUDIENCIA</t>
  </si>
  <si>
    <t>MATERIAL ELETRICO</t>
  </si>
  <si>
    <t>EMPRESTIMO</t>
  </si>
  <si>
    <t>0000882-19.2025.5.13.0027</t>
  </si>
  <si>
    <t>ELISON FERNANDES DE FREITAS - NUNO</t>
  </si>
  <si>
    <t>17/02/2026</t>
  </si>
  <si>
    <t>AJUDA PARA GÁS DE SEU SALES</t>
  </si>
  <si>
    <t>PIX PARA MARIA DO SOCORRO</t>
  </si>
  <si>
    <t>GILVAN FELIX</t>
  </si>
  <si>
    <t>IGOR LOPES</t>
  </si>
  <si>
    <t>JOSÉ LUIZ DA SILVA - ZÉ LUIZ</t>
  </si>
  <si>
    <t>TORNEIRA</t>
  </si>
  <si>
    <t>21/02/2026</t>
  </si>
  <si>
    <t>6. INVESTIMENTO - RPV</t>
  </si>
  <si>
    <t>ANDERSON ALVES SILVA</t>
  </si>
  <si>
    <t>PADRÃO</t>
  </si>
  <si>
    <t>2/3 TARIFA EFÍ</t>
  </si>
  <si>
    <t>7. TAXAS DE CARTÕES E BOLETOS</t>
  </si>
  <si>
    <t>(TAXA DO ASAAS) 4/15 HONORARIOS INICIAIS</t>
  </si>
  <si>
    <t>(TAXA DO ASAAS) 2/4 PARCELAMENTO DO SALDO REMANESCENTE DO CONTRATO DE HONORÁRIOS ADVOCATÍCIOS.</t>
  </si>
  <si>
    <t>2/2 TARIFA EFÍ</t>
  </si>
  <si>
    <t>2/15 TARIFA EFI</t>
  </si>
  <si>
    <t>7. JUROS BANCÁRIOS</t>
  </si>
  <si>
    <t>(TAXA DO ASAAS) 2/10</t>
  </si>
  <si>
    <t>PATROCINIO MARACATU - JADILSON PEREIRA</t>
  </si>
  <si>
    <t>BONES PERSONALIZADOS</t>
  </si>
  <si>
    <t>MARIA ASSUNÇÃO</t>
  </si>
  <si>
    <t>5. AQUISIÇÃO DE PATRIMÖNIO (R$1.200 +)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</si>
  <si>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</si>
  <si>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</si>
  <si>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</si>
  <si>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</si>
  <si>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</si>
  <si>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</si>
  <si>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</si>
  <si>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</si>
  <si>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</si>
  <si>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</si>
  <si>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</si>
  <si>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</si>
  <si>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Coluna72</t>
  </si>
  <si>
    <t>Data de emissão</t>
  </si>
  <si>
    <t>Movimentação</t>
  </si>
  <si>
    <t>Histórico</t>
  </si>
  <si>
    <t>Classificação</t>
  </si>
  <si>
    <t>Valor</t>
  </si>
  <si>
    <t>Data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</si>
</sst>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rgb="FF000000"/>
      <name val="Arial"/>
    </font>
    <font>
      <b/>
      <sz val="10"/>
      <color rgb="FF000000"/>
      <name val="Arial"/>
    </font>
    <font>
      <sz val="8"/>
      <name val="Arial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0" fontId="3" fillId="0" borderId="0" xfId="0" applyFont="1"/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4" fillId="0" borderId="0" xfId="0" applyFont="1"/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amis\Downloads\CATEGORIAS%20-%20ADV%20x%20BERRY%20(1).xlsx" TargetMode="External"/><Relationship Id="rId1" Type="http://schemas.openxmlformats.org/officeDocument/2006/relationships/externalLinkPath" Target="file:///C:\Users\thamis\Downloads\CATEGORIAS%20-%20ADV%20x%20BERRY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CATEGORIAS - ADV x BERRY (1)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50B15-2545-421A-B3EE-77CC1CA88088}" name="Tabela1" displayName="Tabela1" ref="A2:H1407" totalsRowShown="0" headerRowDxfId="1">
  <autoFilter ref="A2:H1407" xr:uid="{53D50B15-2545-421A-B3EE-77CC1CA88088}"/>
  <tableColumns count="8">
    <tableColumn id="1" xr3:uid="{844CD718-6446-405C-9BB3-6A703842A68C}" name="Conta/Cartão"/>
    <tableColumn id="2" xr3:uid="{3209128B-2802-46D3-9444-42BA4DCC37A0}" name="Centro de custo"/>
    <tableColumn id="3" xr3:uid="{968E928C-3805-40DD-8B46-0410AE5B2F03}" name="Tipo"/>
    <tableColumn id="4" xr3:uid="{54EBF1E9-45D3-4BDE-A371-D1FB64138677}" name="Vencimento"/>
    <tableColumn id="5" xr3:uid="{66C6C519-336E-4B7F-905C-A1AE5F686CBE}" name="Competencia"/>
    <tableColumn id="6" xr3:uid="{D8B7E6A9-788F-4126-8407-9C3E9FD57168}" name="Pagamento"/>
    <tableColumn id="7" xr3:uid="{6BD80636-7565-4AB8-857E-E344B92F898B}" name="Categoria"/>
    <tableColumn id="8" xr3:uid="{6F532676-82F9-4A15-92B8-0D49EB856701}" name="Descrição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B0382-44C9-46DE-8359-75B67C5C53A2}" name="Tabela2" displayName="Tabela2" ref="B3:N2266" totalsRowShown="0">
  <autoFilter ref="B3:N2266" xr:uid="{87EB0382-44C9-46DE-8359-75B67C5C53A2}">
    <filterColumn colId="6">
      <filters>
        <filter val="1. APLICAÇÕES FINANCEIRAS"/>
        <filter val="1. APORTE DE SÓCIO"/>
        <filter val="1. HONORÁRIO NÃO IDENTIFICADO"/>
        <filter val="1. HONORÁRIOS DE IMPLANTAÇÃO"/>
        <filter val="1. HONORÁRIOS DE SUCUMBÊNCIA"/>
        <filter val="1. HONORÁRIOS FINAIS"/>
        <filter val="1. HONORÁRIOS INICIAIS"/>
        <filter val="1. HONORÁRIOS PARCELADOS"/>
        <filter val="1. OUTRAS RECEITAS"/>
        <filter val="2. 13º SALÁRIO"/>
        <filter val="2. ADIANTAMENTOS"/>
        <filter val="2. AJUDA DE CUSTO ADVOGADO"/>
        <filter val="2. FÉRIAS"/>
        <filter val="2. HORAS EXTRAS"/>
        <filter val="2. PRÓ-LABORE"/>
        <filter val="2. SALÁRIOS"/>
        <filter val="2. VALE TRANSPORTE"/>
        <filter val="3. FGTS"/>
        <filter val="4. INSS"/>
        <filter val="4. IOF"/>
        <filter val="4. IPTU"/>
        <filter val="4. OUTROS IMPOSTOS"/>
        <filter val="4. SIMPLES NACIONAL"/>
        <filter val="5. ALUGUEL"/>
        <filter val="5. AQUISIÇÃO DE PATRIMÔNIO"/>
        <filter val="5. AQUISIÇÃO DE PATRIMÖNIO (R$1.200 +)"/>
        <filter val="5. ASSINATURAS"/>
        <filter val="5. COMBUSTÍVEL - ESCRITÓRIO"/>
        <filter val="5. CONSÓRCIO"/>
        <filter val="5. CONSULTORIAS"/>
        <filter val="5. CONTADOR"/>
        <filter val="5. CUSTO - CAPTAÇÃO"/>
        <filter val="5. CUSTO - FROTA"/>
        <filter val="5. CUSTO - PARCEIRO"/>
        <filter val="5. EMPRESTIMOS E FINANCIAMENTOS"/>
        <filter val="5. ENERGIA ELÉTRICA"/>
        <filter val="5. GELADEIRA LEGAL"/>
        <filter val="5. INTERNET"/>
        <filter val="5. MANUTENÇÕES"/>
        <filter val="5. MATERIAL DE EXPEDIENTE"/>
        <filter val="5. SISTEMAS"/>
        <filter val="5. TELEFONIA"/>
        <filter val="6. AÇÕES SOCIAIS"/>
        <filter val="6. ADIANTAMENTO PARA PARCEIRO"/>
        <filter val="6. ALARMES E SEGURANÇA"/>
        <filter val="6. COMBUSTÍVEL"/>
        <filter val="6. CONFRATERNIZAÇÕES DO ESCRITÓRIO"/>
        <filter val="6. CUSTO - PROCESSO"/>
        <filter val="6. CUSTO - RECEBIMENTO"/>
        <filter val="6. DESPESAS DE CARTÓRIO"/>
        <filter val="6. DEVOLUÇÃO APORTE DO SÓCIO"/>
        <filter val="6. DIVERSOS"/>
        <filter val="6. INVESTIMENTO - RPV"/>
        <filter val="6. MÃO DE OBRA"/>
        <filter val="6. MATERIAIS DE CONSTRUÇÃO"/>
        <filter val="6. PARTICIPAÇÃO - ADVOGADO"/>
        <filter val="6. PARTICIPAÇÃO - PARCEIRO"/>
        <filter val="6. PPP"/>
        <filter val="6. SAÍDA NÃO RECORRENTE"/>
        <filter val="6. SERVIÇOS"/>
        <filter val="7. JUROS BANCÁRIOS"/>
        <filter val="7. TAXAS BANCÁRIAS"/>
        <filter val="7. TAXAS DE CARTÕES E BOLETOS"/>
        <filter val="8. MARKETING JURÍDICO E PUBLICIDADE"/>
        <filter val="8. PATROCINIO"/>
        <filter val="9. DISTRIBUIÇÃO DE LUCROS"/>
      </filters>
    </filterColumn>
  </autoFilter>
  <tableColumns count="13">
    <tableColumn id="1" xr3:uid="{862D88AF-6BF9-4712-9297-B3AE2177C2CC}" name="Coluna1"/>
    <tableColumn id="2" xr3:uid="{B78D7E09-B528-48BB-9062-17BB497FA409}" name="Coluna2"/>
    <tableColumn id="3" xr3:uid="{9647A9A0-E95A-4946-BF83-4D57FCEBECBD}" name="Coluna3"/>
    <tableColumn id="4" xr3:uid="{843788FF-77E4-4C0C-85C8-B8CE7CF1B52D}" name="Coluna4" dataDxfId="4"/>
    <tableColumn id="5" xr3:uid="{2ED5524A-9DEE-49F0-B658-CE17590A24E1}" name="Coluna5"/>
    <tableColumn id="6" xr3:uid="{AB111264-845A-44AB-84A5-7B7AC446B9FD}" name="Coluna6" dataDxfId="3"/>
    <tableColumn id="7" xr3:uid="{4C80F76E-52C4-4A0D-B926-0CE69E600134}" name="Coluna7"/>
    <tableColumn id="14" xr3:uid="{9AFD987F-96D6-42EA-8180-97FA8B375FC2}" name="Coluna72" dataDxfId="2">
      <calculatedColumnFormula>VLOOKUP(Tabela2[[#This Row],[Coluna7]],[1]!Tabela1[#All],2,0)</calculatedColumnFormula>
    </tableColumn>
    <tableColumn id="8" xr3:uid="{A055A6E7-D09C-446B-97E1-821B818DE12A}" name="Coluna8"/>
    <tableColumn id="9" xr3:uid="{1A7EB083-2B0A-48DC-9AC6-BCA87D3B6947}" name="Coluna9"/>
    <tableColumn id="10" xr3:uid="{915CC089-4525-4D4F-B2DE-3BF8184EDBB9}" name="Coluna10"/>
    <tableColumn id="11" xr3:uid="{E70D4F14-B985-4FB0-8094-E80634A96861}" name="Coluna11"/>
    <tableColumn id="12" xr3:uid="{2F4E0C35-9C3D-4ACD-8D6A-31C6573FC3B1}" name="Coluna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85"/>
  <sheetViews>
    <sheetView zoomScale="85" zoomScaleNormal="85" workbookViewId="0">
      <selection activeCell="A3" sqref="A3:L1885"/>
    </sheetView>
  </sheetViews>
  <sheetFormatPr defaultRowHeight="14.25" x14ac:dyDescent="0.2"/>
  <cols>
    <col min="1" max="1" width="34.5" customWidth="1"/>
    <col min="2" max="2" width="28.25" bestFit="1" customWidth="1"/>
    <col min="3" max="3" width="9.875" bestFit="1" customWidth="1"/>
    <col min="4" max="6" width="13.75" bestFit="1" customWidth="1"/>
    <col min="7" max="7" width="39.75" bestFit="1" customWidth="1"/>
    <col min="8" max="8" width="93.5" style="3" bestFit="1" customWidth="1"/>
    <col min="9" max="9" width="17.25" style="4" bestFit="1" customWidth="1"/>
    <col min="10" max="10" width="13.125" style="4" bestFit="1" customWidth="1"/>
    <col min="11" max="11" width="32.625" bestFit="1" customWidth="1"/>
    <col min="12" max="12" width="58.875" bestFit="1" customWidth="1"/>
  </cols>
  <sheetData>
    <row r="1" spans="1:12" x14ac:dyDescent="0.2">
      <c r="A1" s="1"/>
      <c r="B1" s="1"/>
    </row>
    <row r="2" spans="1:12" ht="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</v>
      </c>
      <c r="I2" s="5" t="s">
        <v>8</v>
      </c>
      <c r="J2" s="5" t="s">
        <v>9</v>
      </c>
      <c r="K2" s="1" t="s">
        <v>10</v>
      </c>
      <c r="L2" s="1" t="s">
        <v>11</v>
      </c>
    </row>
    <row r="3" spans="1:12" x14ac:dyDescent="0.2">
      <c r="A3" t="s">
        <v>18</v>
      </c>
      <c r="B3" t="s">
        <v>95</v>
      </c>
      <c r="C3" t="s">
        <v>13</v>
      </c>
      <c r="D3" s="2">
        <v>45937</v>
      </c>
      <c r="E3" t="s">
        <v>15</v>
      </c>
      <c r="F3" t="s">
        <v>21</v>
      </c>
      <c r="G3" s="3" t="s">
        <v>633</v>
      </c>
      <c r="H3" s="3" t="s">
        <v>736</v>
      </c>
      <c r="I3" s="5"/>
      <c r="J3" s="6">
        <v>34.99</v>
      </c>
      <c r="K3" s="1"/>
      <c r="L3" s="1"/>
    </row>
    <row r="4" spans="1:12" x14ac:dyDescent="0.2">
      <c r="A4" t="s">
        <v>18</v>
      </c>
      <c r="B4" t="s">
        <v>95</v>
      </c>
      <c r="C4" t="s">
        <v>13</v>
      </c>
      <c r="D4" s="2">
        <v>45937</v>
      </c>
      <c r="E4" t="s">
        <v>15</v>
      </c>
      <c r="F4" t="s">
        <v>21</v>
      </c>
      <c r="G4" s="3" t="s">
        <v>633</v>
      </c>
      <c r="H4" s="3" t="s">
        <v>736</v>
      </c>
      <c r="I4" s="5"/>
      <c r="J4" s="6">
        <v>112.87</v>
      </c>
      <c r="K4" s="1"/>
      <c r="L4" s="1"/>
    </row>
    <row r="5" spans="1:12" x14ac:dyDescent="0.2">
      <c r="A5" t="s">
        <v>18</v>
      </c>
      <c r="B5" t="s">
        <v>95</v>
      </c>
      <c r="C5" t="s">
        <v>13</v>
      </c>
      <c r="D5" s="2">
        <v>45937</v>
      </c>
      <c r="E5" t="s">
        <v>15</v>
      </c>
      <c r="F5" t="s">
        <v>21</v>
      </c>
      <c r="G5" s="3" t="s">
        <v>633</v>
      </c>
      <c r="H5" s="3" t="s">
        <v>736</v>
      </c>
      <c r="I5" s="5"/>
      <c r="J5" s="6">
        <v>149.9</v>
      </c>
      <c r="K5" s="1"/>
      <c r="L5" s="1"/>
    </row>
    <row r="6" spans="1:12" x14ac:dyDescent="0.2">
      <c r="A6" t="s">
        <v>18</v>
      </c>
      <c r="B6" t="s">
        <v>95</v>
      </c>
      <c r="C6" t="s">
        <v>13</v>
      </c>
      <c r="D6" s="2">
        <v>45937</v>
      </c>
      <c r="E6" t="s">
        <v>15</v>
      </c>
      <c r="F6" t="s">
        <v>21</v>
      </c>
      <c r="G6" s="3" t="s">
        <v>735</v>
      </c>
      <c r="H6" s="3" t="s">
        <v>736</v>
      </c>
      <c r="I6" s="5"/>
      <c r="J6" s="6">
        <v>43.12</v>
      </c>
      <c r="K6" s="1"/>
      <c r="L6" s="1"/>
    </row>
    <row r="7" spans="1:12" x14ac:dyDescent="0.2">
      <c r="A7" t="s">
        <v>18</v>
      </c>
      <c r="B7" t="s">
        <v>95</v>
      </c>
      <c r="C7" t="s">
        <v>13</v>
      </c>
      <c r="D7" s="2">
        <v>45938</v>
      </c>
      <c r="E7" t="s">
        <v>15</v>
      </c>
      <c r="F7" s="2">
        <v>45938</v>
      </c>
      <c r="G7" s="3" t="s">
        <v>458</v>
      </c>
      <c r="H7" s="3" t="s">
        <v>737</v>
      </c>
      <c r="I7" s="5"/>
      <c r="J7" s="6">
        <v>110</v>
      </c>
      <c r="K7" s="1"/>
      <c r="L7" s="1"/>
    </row>
    <row r="8" spans="1:12" x14ac:dyDescent="0.2">
      <c r="A8" t="s">
        <v>18</v>
      </c>
      <c r="B8" t="s">
        <v>95</v>
      </c>
      <c r="C8" t="s">
        <v>13</v>
      </c>
      <c r="D8" s="2">
        <v>45938</v>
      </c>
      <c r="E8" t="s">
        <v>15</v>
      </c>
      <c r="F8" s="2">
        <v>45938</v>
      </c>
      <c r="G8" s="3" t="s">
        <v>538</v>
      </c>
      <c r="H8" s="3" t="s">
        <v>737</v>
      </c>
      <c r="I8" s="5"/>
      <c r="J8" s="6">
        <v>34.97</v>
      </c>
      <c r="K8" s="1"/>
      <c r="L8" s="1"/>
    </row>
    <row r="9" spans="1:12" x14ac:dyDescent="0.2">
      <c r="A9" t="s">
        <v>18</v>
      </c>
      <c r="B9" t="s">
        <v>95</v>
      </c>
      <c r="C9" t="s">
        <v>13</v>
      </c>
      <c r="D9" s="2">
        <v>45938</v>
      </c>
      <c r="E9" t="s">
        <v>15</v>
      </c>
      <c r="F9" s="2">
        <v>45938</v>
      </c>
      <c r="G9" s="3" t="s">
        <v>488</v>
      </c>
      <c r="H9" s="3" t="s">
        <v>737</v>
      </c>
      <c r="I9" s="5"/>
      <c r="J9" s="6">
        <v>87.83</v>
      </c>
      <c r="K9" s="1"/>
      <c r="L9" s="1"/>
    </row>
    <row r="10" spans="1:12" x14ac:dyDescent="0.2">
      <c r="A10" t="s">
        <v>18</v>
      </c>
      <c r="B10" t="s">
        <v>95</v>
      </c>
      <c r="C10" t="s">
        <v>13</v>
      </c>
      <c r="D10" s="2">
        <v>45938</v>
      </c>
      <c r="E10" t="s">
        <v>15</v>
      </c>
      <c r="F10" s="2">
        <v>45938</v>
      </c>
      <c r="G10" s="3" t="s">
        <v>528</v>
      </c>
      <c r="H10" s="3" t="s">
        <v>737</v>
      </c>
      <c r="I10" s="5"/>
      <c r="J10" s="6">
        <v>80.91</v>
      </c>
      <c r="K10" s="1"/>
      <c r="L10" s="1"/>
    </row>
    <row r="11" spans="1:12" x14ac:dyDescent="0.2">
      <c r="A11" t="s">
        <v>18</v>
      </c>
      <c r="B11" t="s">
        <v>95</v>
      </c>
      <c r="C11" t="s">
        <v>13</v>
      </c>
      <c r="D11" s="2">
        <v>45938</v>
      </c>
      <c r="E11" t="s">
        <v>15</v>
      </c>
      <c r="F11" s="2">
        <v>45938</v>
      </c>
      <c r="G11" s="3" t="s">
        <v>458</v>
      </c>
      <c r="H11" s="3" t="s">
        <v>737</v>
      </c>
      <c r="I11" s="5"/>
      <c r="J11" s="6">
        <v>263.01</v>
      </c>
      <c r="K11" s="1"/>
      <c r="L11" s="1"/>
    </row>
    <row r="12" spans="1:12" x14ac:dyDescent="0.2">
      <c r="A12" t="s">
        <v>18</v>
      </c>
      <c r="B12" t="s">
        <v>95</v>
      </c>
      <c r="C12" t="s">
        <v>13</v>
      </c>
      <c r="D12" s="2">
        <v>45938</v>
      </c>
      <c r="E12" t="s">
        <v>15</v>
      </c>
      <c r="F12" s="2">
        <v>45938</v>
      </c>
      <c r="G12" s="3" t="s">
        <v>528</v>
      </c>
      <c r="H12" s="3" t="s">
        <v>737</v>
      </c>
      <c r="I12" s="5"/>
      <c r="J12" s="6">
        <v>125</v>
      </c>
      <c r="K12" s="1"/>
      <c r="L12" s="1"/>
    </row>
    <row r="13" spans="1:12" x14ac:dyDescent="0.2">
      <c r="A13" t="s">
        <v>18</v>
      </c>
      <c r="B13" t="s">
        <v>95</v>
      </c>
      <c r="C13" t="s">
        <v>13</v>
      </c>
      <c r="D13" s="2">
        <v>45938</v>
      </c>
      <c r="E13" t="s">
        <v>15</v>
      </c>
      <c r="F13" s="2">
        <v>45938</v>
      </c>
      <c r="G13" s="3" t="s">
        <v>570</v>
      </c>
      <c r="H13" s="3" t="s">
        <v>737</v>
      </c>
      <c r="I13" s="5"/>
      <c r="J13" s="6">
        <v>54.31</v>
      </c>
      <c r="K13" s="1"/>
      <c r="L13" s="1"/>
    </row>
    <row r="14" spans="1:12" x14ac:dyDescent="0.2">
      <c r="A14" t="s">
        <v>18</v>
      </c>
      <c r="B14" t="s">
        <v>95</v>
      </c>
      <c r="C14" t="s">
        <v>13</v>
      </c>
      <c r="D14" s="2">
        <v>45938</v>
      </c>
      <c r="E14" t="s">
        <v>15</v>
      </c>
      <c r="F14" s="2">
        <v>45938</v>
      </c>
      <c r="G14" s="3" t="s">
        <v>458</v>
      </c>
      <c r="H14" s="3" t="s">
        <v>737</v>
      </c>
      <c r="I14" s="5"/>
      <c r="J14" s="6">
        <v>329.06</v>
      </c>
      <c r="K14" s="1"/>
      <c r="L14" s="1"/>
    </row>
    <row r="15" spans="1:12" x14ac:dyDescent="0.2">
      <c r="A15" t="s">
        <v>18</v>
      </c>
      <c r="B15" t="s">
        <v>95</v>
      </c>
      <c r="C15" t="s">
        <v>13</v>
      </c>
      <c r="D15" s="2">
        <v>45938</v>
      </c>
      <c r="E15" t="s">
        <v>15</v>
      </c>
      <c r="F15" s="2">
        <v>45938</v>
      </c>
      <c r="G15" s="3" t="s">
        <v>738</v>
      </c>
      <c r="H15" s="3" t="s">
        <v>737</v>
      </c>
      <c r="I15" s="5"/>
      <c r="J15" s="6">
        <v>66.400000000000006</v>
      </c>
      <c r="K15" s="1"/>
      <c r="L15" s="1"/>
    </row>
    <row r="16" spans="1:12" x14ac:dyDescent="0.2">
      <c r="A16" t="s">
        <v>18</v>
      </c>
      <c r="B16" t="s">
        <v>95</v>
      </c>
      <c r="C16" t="s">
        <v>13</v>
      </c>
      <c r="D16" s="2">
        <v>45938</v>
      </c>
      <c r="E16" t="s">
        <v>15</v>
      </c>
      <c r="F16" s="2">
        <v>45938</v>
      </c>
      <c r="G16" s="3" t="s">
        <v>458</v>
      </c>
      <c r="H16" s="3" t="s">
        <v>737</v>
      </c>
      <c r="I16" s="5"/>
      <c r="J16" s="6">
        <v>738.7</v>
      </c>
      <c r="K16" s="1"/>
      <c r="L16" s="1"/>
    </row>
    <row r="17" spans="1:12" x14ac:dyDescent="0.2">
      <c r="A17" t="s">
        <v>18</v>
      </c>
      <c r="B17" t="s">
        <v>95</v>
      </c>
      <c r="C17" t="s">
        <v>13</v>
      </c>
      <c r="D17" s="2">
        <v>45938</v>
      </c>
      <c r="E17" t="s">
        <v>15</v>
      </c>
      <c r="F17" s="2">
        <v>45938</v>
      </c>
      <c r="G17" s="3" t="s">
        <v>458</v>
      </c>
      <c r="H17" s="3" t="s">
        <v>737</v>
      </c>
      <c r="I17" s="5"/>
      <c r="J17" s="6">
        <v>107.75</v>
      </c>
      <c r="K17" s="1"/>
      <c r="L17" s="1"/>
    </row>
    <row r="18" spans="1:12" x14ac:dyDescent="0.2">
      <c r="A18" t="s">
        <v>18</v>
      </c>
      <c r="B18" t="s">
        <v>95</v>
      </c>
      <c r="C18" t="s">
        <v>13</v>
      </c>
      <c r="D18" s="2">
        <v>45938</v>
      </c>
      <c r="E18" t="s">
        <v>15</v>
      </c>
      <c r="F18" s="2">
        <v>45938</v>
      </c>
      <c r="G18" s="3" t="s">
        <v>538</v>
      </c>
      <c r="H18" s="3" t="s">
        <v>737</v>
      </c>
      <c r="I18" s="5"/>
      <c r="J18" s="6">
        <v>27.35</v>
      </c>
      <c r="K18" s="1"/>
      <c r="L18" s="1"/>
    </row>
    <row r="19" spans="1:12" x14ac:dyDescent="0.2">
      <c r="A19" t="s">
        <v>18</v>
      </c>
      <c r="B19" t="s">
        <v>95</v>
      </c>
      <c r="C19" t="s">
        <v>13</v>
      </c>
      <c r="D19" s="2">
        <v>45938</v>
      </c>
      <c r="E19" t="s">
        <v>15</v>
      </c>
      <c r="F19" s="2">
        <v>45938</v>
      </c>
      <c r="G19" s="3" t="s">
        <v>538</v>
      </c>
      <c r="H19" s="3" t="s">
        <v>737</v>
      </c>
      <c r="I19" s="5"/>
      <c r="J19" s="6">
        <v>36.159999999999997</v>
      </c>
      <c r="K19" s="1"/>
      <c r="L19" s="1"/>
    </row>
    <row r="20" spans="1:12" x14ac:dyDescent="0.2">
      <c r="A20" t="s">
        <v>18</v>
      </c>
      <c r="B20" t="s">
        <v>95</v>
      </c>
      <c r="C20" t="s">
        <v>13</v>
      </c>
      <c r="D20" s="2">
        <v>45938</v>
      </c>
      <c r="E20" t="s">
        <v>15</v>
      </c>
      <c r="F20" s="2">
        <v>45938</v>
      </c>
      <c r="G20" s="3" t="s">
        <v>488</v>
      </c>
      <c r="H20" s="3" t="s">
        <v>737</v>
      </c>
      <c r="I20" s="5"/>
      <c r="J20" s="6">
        <v>159.69</v>
      </c>
      <c r="K20" s="1"/>
      <c r="L20" s="1"/>
    </row>
    <row r="21" spans="1:12" x14ac:dyDescent="0.2">
      <c r="A21" t="s">
        <v>18</v>
      </c>
      <c r="B21" t="s">
        <v>95</v>
      </c>
      <c r="C21" t="s">
        <v>13</v>
      </c>
      <c r="D21" s="2">
        <v>45938</v>
      </c>
      <c r="E21" t="s">
        <v>15</v>
      </c>
      <c r="F21" s="2">
        <v>45938</v>
      </c>
      <c r="G21" s="3" t="s">
        <v>538</v>
      </c>
      <c r="H21" s="3" t="s">
        <v>737</v>
      </c>
      <c r="I21" s="5"/>
      <c r="J21" s="6">
        <v>24.34</v>
      </c>
      <c r="K21" s="1"/>
      <c r="L21" s="1"/>
    </row>
    <row r="22" spans="1:12" x14ac:dyDescent="0.2">
      <c r="A22" t="s">
        <v>18</v>
      </c>
      <c r="B22" t="s">
        <v>95</v>
      </c>
      <c r="C22" t="s">
        <v>13</v>
      </c>
      <c r="D22" s="2">
        <v>45938</v>
      </c>
      <c r="E22" t="s">
        <v>15</v>
      </c>
      <c r="F22" s="2">
        <v>45938</v>
      </c>
      <c r="G22" s="3" t="s">
        <v>633</v>
      </c>
      <c r="H22" s="3" t="s">
        <v>737</v>
      </c>
      <c r="I22" s="5"/>
      <c r="J22" s="6">
        <v>39.99</v>
      </c>
      <c r="K22" s="1"/>
      <c r="L22" s="1"/>
    </row>
    <row r="23" spans="1:12" x14ac:dyDescent="0.2">
      <c r="A23" t="s">
        <v>18</v>
      </c>
      <c r="B23" t="s">
        <v>95</v>
      </c>
      <c r="C23" t="s">
        <v>13</v>
      </c>
      <c r="D23" s="2">
        <v>45938</v>
      </c>
      <c r="E23" t="s">
        <v>15</v>
      </c>
      <c r="F23" s="2">
        <v>45938</v>
      </c>
      <c r="G23" s="3" t="s">
        <v>458</v>
      </c>
      <c r="H23" s="3" t="s">
        <v>737</v>
      </c>
      <c r="I23" s="5"/>
      <c r="J23" s="6">
        <v>295.74</v>
      </c>
      <c r="K23" s="1"/>
      <c r="L23" s="1"/>
    </row>
    <row r="24" spans="1:12" x14ac:dyDescent="0.2">
      <c r="A24" t="s">
        <v>18</v>
      </c>
      <c r="B24" t="s">
        <v>95</v>
      </c>
      <c r="C24" t="s">
        <v>13</v>
      </c>
      <c r="D24" s="2">
        <v>45938</v>
      </c>
      <c r="E24" t="s">
        <v>15</v>
      </c>
      <c r="F24" s="2">
        <v>45938</v>
      </c>
      <c r="G24" s="3" t="s">
        <v>538</v>
      </c>
      <c r="H24" s="3" t="s">
        <v>737</v>
      </c>
      <c r="I24" s="5"/>
      <c r="J24" s="6">
        <v>64.78</v>
      </c>
      <c r="K24" s="1"/>
      <c r="L24" s="1"/>
    </row>
    <row r="25" spans="1:12" x14ac:dyDescent="0.2">
      <c r="A25" t="s">
        <v>18</v>
      </c>
      <c r="B25" t="s">
        <v>95</v>
      </c>
      <c r="C25" t="s">
        <v>13</v>
      </c>
      <c r="D25" s="2">
        <v>45938</v>
      </c>
      <c r="E25" t="s">
        <v>15</v>
      </c>
      <c r="F25" s="2">
        <v>45938</v>
      </c>
      <c r="G25" s="3" t="s">
        <v>633</v>
      </c>
      <c r="H25" s="3" t="s">
        <v>737</v>
      </c>
      <c r="I25" s="5"/>
      <c r="J25" s="6">
        <v>40.28</v>
      </c>
      <c r="K25" s="1"/>
      <c r="L25" s="1"/>
    </row>
    <row r="26" spans="1:12" x14ac:dyDescent="0.2">
      <c r="A26" t="s">
        <v>18</v>
      </c>
      <c r="B26" t="s">
        <v>95</v>
      </c>
      <c r="C26" t="s">
        <v>13</v>
      </c>
      <c r="D26" s="2">
        <v>45938</v>
      </c>
      <c r="E26" t="s">
        <v>15</v>
      </c>
      <c r="F26" s="2">
        <v>45938</v>
      </c>
      <c r="G26" s="3" t="s">
        <v>458</v>
      </c>
      <c r="H26" s="3" t="s">
        <v>737</v>
      </c>
      <c r="I26" s="5"/>
      <c r="J26" s="6">
        <v>200</v>
      </c>
      <c r="K26" s="1"/>
      <c r="L26" s="1"/>
    </row>
    <row r="27" spans="1:12" x14ac:dyDescent="0.2">
      <c r="A27" t="s">
        <v>18</v>
      </c>
      <c r="B27" t="s">
        <v>95</v>
      </c>
      <c r="C27" t="s">
        <v>13</v>
      </c>
      <c r="D27" s="2">
        <v>45938</v>
      </c>
      <c r="E27" t="s">
        <v>15</v>
      </c>
      <c r="F27" s="2">
        <v>45938</v>
      </c>
      <c r="G27" s="3" t="s">
        <v>528</v>
      </c>
      <c r="H27" s="3" t="s">
        <v>737</v>
      </c>
      <c r="I27" s="5"/>
      <c r="J27" s="6">
        <v>114.4</v>
      </c>
      <c r="K27" s="1"/>
      <c r="L27" s="1"/>
    </row>
    <row r="28" spans="1:12" x14ac:dyDescent="0.2">
      <c r="A28" t="s">
        <v>18</v>
      </c>
      <c r="B28" t="s">
        <v>95</v>
      </c>
      <c r="C28" t="s">
        <v>13</v>
      </c>
      <c r="D28" s="2">
        <v>45938</v>
      </c>
      <c r="E28" t="s">
        <v>15</v>
      </c>
      <c r="F28" s="2">
        <v>45938</v>
      </c>
      <c r="G28" s="3" t="s">
        <v>693</v>
      </c>
      <c r="H28" s="3" t="s">
        <v>737</v>
      </c>
      <c r="I28" s="5"/>
      <c r="J28" s="6">
        <v>39</v>
      </c>
      <c r="K28" s="1"/>
      <c r="L28" s="1"/>
    </row>
    <row r="29" spans="1:12" x14ac:dyDescent="0.2">
      <c r="A29" t="s">
        <v>18</v>
      </c>
      <c r="B29" t="s">
        <v>95</v>
      </c>
      <c r="C29" t="s">
        <v>13</v>
      </c>
      <c r="D29" s="2">
        <v>45938</v>
      </c>
      <c r="E29" t="s">
        <v>15</v>
      </c>
      <c r="F29" s="2">
        <v>45938</v>
      </c>
      <c r="G29" s="3" t="s">
        <v>538</v>
      </c>
      <c r="H29" s="3" t="s">
        <v>737</v>
      </c>
      <c r="I29" s="5"/>
      <c r="J29" s="6">
        <v>54.24</v>
      </c>
      <c r="K29" s="1"/>
      <c r="L29" s="1"/>
    </row>
    <row r="30" spans="1:12" x14ac:dyDescent="0.2">
      <c r="A30" t="s">
        <v>18</v>
      </c>
      <c r="B30" t="s">
        <v>95</v>
      </c>
      <c r="C30" t="s">
        <v>13</v>
      </c>
      <c r="D30" s="2">
        <v>45938</v>
      </c>
      <c r="E30" t="s">
        <v>15</v>
      </c>
      <c r="F30" s="2">
        <v>45938</v>
      </c>
      <c r="G30" s="3" t="s">
        <v>633</v>
      </c>
      <c r="H30" s="3" t="s">
        <v>737</v>
      </c>
      <c r="I30" s="5"/>
      <c r="J30" s="6">
        <v>33.65</v>
      </c>
      <c r="K30" s="1"/>
      <c r="L30" s="1"/>
    </row>
    <row r="31" spans="1:12" x14ac:dyDescent="0.2">
      <c r="A31" t="s">
        <v>18</v>
      </c>
      <c r="B31" t="s">
        <v>95</v>
      </c>
      <c r="C31" t="s">
        <v>13</v>
      </c>
      <c r="D31" s="2">
        <v>45938</v>
      </c>
      <c r="E31" t="s">
        <v>15</v>
      </c>
      <c r="F31" s="2">
        <v>45938</v>
      </c>
      <c r="G31" s="3" t="s">
        <v>735</v>
      </c>
      <c r="H31" s="3" t="s">
        <v>737</v>
      </c>
      <c r="I31" s="5"/>
      <c r="J31" s="6">
        <v>53.7</v>
      </c>
      <c r="K31" s="1"/>
      <c r="L31" s="1"/>
    </row>
    <row r="32" spans="1:12" x14ac:dyDescent="0.2">
      <c r="A32" t="s">
        <v>18</v>
      </c>
      <c r="B32" t="s">
        <v>95</v>
      </c>
      <c r="C32" t="s">
        <v>13</v>
      </c>
      <c r="D32" s="2">
        <v>45938</v>
      </c>
      <c r="E32" t="s">
        <v>15</v>
      </c>
      <c r="F32" s="2">
        <v>45938</v>
      </c>
      <c r="G32" s="3" t="s">
        <v>538</v>
      </c>
      <c r="H32" s="3" t="s">
        <v>737</v>
      </c>
      <c r="I32" s="5"/>
      <c r="J32" s="6">
        <v>24.5</v>
      </c>
      <c r="K32" s="1"/>
      <c r="L32" s="1"/>
    </row>
    <row r="33" spans="1:12" x14ac:dyDescent="0.2">
      <c r="A33" t="s">
        <v>18</v>
      </c>
      <c r="B33" t="s">
        <v>95</v>
      </c>
      <c r="C33" t="s">
        <v>13</v>
      </c>
      <c r="D33" s="2">
        <v>45938</v>
      </c>
      <c r="E33" t="s">
        <v>15</v>
      </c>
      <c r="F33" s="2">
        <v>45938</v>
      </c>
      <c r="G33" s="3" t="s">
        <v>538</v>
      </c>
      <c r="H33" s="3" t="s">
        <v>737</v>
      </c>
      <c r="I33" s="5"/>
      <c r="J33" s="6">
        <v>178.58</v>
      </c>
      <c r="K33" s="1"/>
      <c r="L33" s="1"/>
    </row>
    <row r="34" spans="1:12" x14ac:dyDescent="0.2">
      <c r="A34" t="s">
        <v>18</v>
      </c>
      <c r="B34" t="s">
        <v>95</v>
      </c>
      <c r="C34" t="s">
        <v>13</v>
      </c>
      <c r="D34" s="2">
        <v>45938</v>
      </c>
      <c r="E34" t="s">
        <v>15</v>
      </c>
      <c r="F34" s="2">
        <v>45938</v>
      </c>
      <c r="G34" s="3" t="s">
        <v>739</v>
      </c>
      <c r="H34" s="3" t="s">
        <v>737</v>
      </c>
      <c r="I34" s="5"/>
      <c r="J34" s="6">
        <v>4</v>
      </c>
      <c r="K34" s="1"/>
      <c r="L34" s="1"/>
    </row>
    <row r="35" spans="1:12" x14ac:dyDescent="0.2">
      <c r="A35" t="s">
        <v>18</v>
      </c>
      <c r="B35" t="s">
        <v>95</v>
      </c>
      <c r="C35" t="s">
        <v>13</v>
      </c>
      <c r="D35" s="2">
        <v>45938</v>
      </c>
      <c r="E35" t="s">
        <v>15</v>
      </c>
      <c r="F35" s="2">
        <v>45938</v>
      </c>
      <c r="G35" s="3" t="s">
        <v>438</v>
      </c>
      <c r="H35" s="3" t="s">
        <v>737</v>
      </c>
      <c r="I35" s="5"/>
      <c r="J35" s="6">
        <v>68.09</v>
      </c>
      <c r="K35" s="1"/>
      <c r="L35" s="1"/>
    </row>
    <row r="36" spans="1:12" x14ac:dyDescent="0.2">
      <c r="A36" t="s">
        <v>18</v>
      </c>
      <c r="B36" t="s">
        <v>95</v>
      </c>
      <c r="C36" t="s">
        <v>13</v>
      </c>
      <c r="D36" s="2">
        <v>45938</v>
      </c>
      <c r="E36" t="s">
        <v>15</v>
      </c>
      <c r="F36" s="2">
        <v>45938</v>
      </c>
      <c r="G36" s="3" t="s">
        <v>735</v>
      </c>
      <c r="H36" s="3" t="s">
        <v>737</v>
      </c>
      <c r="I36" s="5"/>
      <c r="J36" s="6">
        <v>91.67</v>
      </c>
      <c r="K36" s="1"/>
      <c r="L36" s="1"/>
    </row>
    <row r="37" spans="1:12" x14ac:dyDescent="0.2">
      <c r="A37" t="s">
        <v>18</v>
      </c>
      <c r="B37" t="s">
        <v>95</v>
      </c>
      <c r="C37" t="s">
        <v>13</v>
      </c>
      <c r="D37" s="2">
        <v>45938</v>
      </c>
      <c r="E37" t="s">
        <v>15</v>
      </c>
      <c r="F37" s="2">
        <v>45938</v>
      </c>
      <c r="G37" s="3" t="s">
        <v>570</v>
      </c>
      <c r="H37" s="3" t="s">
        <v>737</v>
      </c>
      <c r="I37" s="5"/>
      <c r="J37" s="6">
        <v>94.9</v>
      </c>
      <c r="K37" s="1"/>
      <c r="L37" s="1"/>
    </row>
    <row r="38" spans="1:12" x14ac:dyDescent="0.2">
      <c r="A38" t="s">
        <v>18</v>
      </c>
      <c r="B38" t="s">
        <v>95</v>
      </c>
      <c r="C38" t="s">
        <v>13</v>
      </c>
      <c r="D38" s="2">
        <v>45938</v>
      </c>
      <c r="E38" t="s">
        <v>15</v>
      </c>
      <c r="F38" s="2">
        <v>45938</v>
      </c>
      <c r="G38" s="3" t="s">
        <v>570</v>
      </c>
      <c r="H38" s="3" t="s">
        <v>737</v>
      </c>
      <c r="I38" s="5"/>
      <c r="J38" s="6">
        <v>127.85</v>
      </c>
      <c r="K38" s="1"/>
      <c r="L38" s="1"/>
    </row>
    <row r="39" spans="1:12" x14ac:dyDescent="0.2">
      <c r="A39" t="s">
        <v>18</v>
      </c>
      <c r="B39" t="s">
        <v>95</v>
      </c>
      <c r="C39" t="s">
        <v>13</v>
      </c>
      <c r="D39" s="2">
        <v>45938</v>
      </c>
      <c r="E39" t="s">
        <v>15</v>
      </c>
      <c r="F39" s="2">
        <v>45938</v>
      </c>
      <c r="G39" s="3" t="s">
        <v>740</v>
      </c>
      <c r="H39" s="3" t="s">
        <v>741</v>
      </c>
      <c r="I39" s="5"/>
      <c r="J39" s="6">
        <v>78.349999999999994</v>
      </c>
      <c r="K39" s="1"/>
      <c r="L39" s="1"/>
    </row>
    <row r="40" spans="1:12" x14ac:dyDescent="0.2">
      <c r="A40" t="s">
        <v>18</v>
      </c>
      <c r="B40" t="s">
        <v>95</v>
      </c>
      <c r="C40" t="s">
        <v>13</v>
      </c>
      <c r="D40" s="2">
        <v>45938</v>
      </c>
      <c r="E40" t="s">
        <v>15</v>
      </c>
      <c r="F40" s="2">
        <v>45938</v>
      </c>
      <c r="G40" s="3" t="s">
        <v>538</v>
      </c>
      <c r="H40" s="3" t="s">
        <v>741</v>
      </c>
      <c r="I40" s="5"/>
      <c r="J40" s="6">
        <v>1431.65</v>
      </c>
      <c r="K40" s="1"/>
      <c r="L40" s="1"/>
    </row>
    <row r="41" spans="1:12" x14ac:dyDescent="0.2">
      <c r="A41" t="s">
        <v>27</v>
      </c>
      <c r="B41" t="s">
        <v>95</v>
      </c>
      <c r="C41" t="s">
        <v>13</v>
      </c>
      <c r="D41" s="2">
        <v>45939</v>
      </c>
      <c r="E41" t="s">
        <v>15</v>
      </c>
      <c r="F41" s="2">
        <v>45939</v>
      </c>
      <c r="G41" s="3" t="s">
        <v>538</v>
      </c>
      <c r="H41" s="3" t="s">
        <v>742</v>
      </c>
      <c r="I41" s="5"/>
      <c r="J41" s="6">
        <v>15.86</v>
      </c>
      <c r="K41" s="1"/>
      <c r="L41" s="1"/>
    </row>
    <row r="42" spans="1:12" x14ac:dyDescent="0.2">
      <c r="A42" t="s">
        <v>27</v>
      </c>
      <c r="B42" t="s">
        <v>95</v>
      </c>
      <c r="C42" t="s">
        <v>13</v>
      </c>
      <c r="D42" s="2">
        <v>45939</v>
      </c>
      <c r="E42" t="s">
        <v>15</v>
      </c>
      <c r="F42" s="2">
        <v>45939</v>
      </c>
      <c r="G42" s="3" t="s">
        <v>693</v>
      </c>
      <c r="H42" s="3" t="s">
        <v>743</v>
      </c>
      <c r="I42" s="5"/>
      <c r="J42" s="6">
        <v>16.989999999999998</v>
      </c>
      <c r="K42" s="1"/>
      <c r="L42" s="1"/>
    </row>
    <row r="43" spans="1:12" x14ac:dyDescent="0.2">
      <c r="A43" t="s">
        <v>27</v>
      </c>
      <c r="B43" t="s">
        <v>95</v>
      </c>
      <c r="C43" t="s">
        <v>13</v>
      </c>
      <c r="D43" s="2">
        <v>45939</v>
      </c>
      <c r="E43" t="s">
        <v>15</v>
      </c>
      <c r="F43" s="2">
        <v>45939</v>
      </c>
      <c r="G43" s="3" t="s">
        <v>445</v>
      </c>
      <c r="H43" s="3" t="s">
        <v>743</v>
      </c>
      <c r="I43" s="5"/>
      <c r="J43" s="6">
        <v>58</v>
      </c>
      <c r="K43" s="1"/>
      <c r="L43" s="1"/>
    </row>
    <row r="44" spans="1:12" x14ac:dyDescent="0.2">
      <c r="A44" t="s">
        <v>27</v>
      </c>
      <c r="B44" t="s">
        <v>95</v>
      </c>
      <c r="C44" t="s">
        <v>13</v>
      </c>
      <c r="D44" s="2">
        <v>45939</v>
      </c>
      <c r="E44" t="s">
        <v>15</v>
      </c>
      <c r="F44" s="2">
        <v>45939</v>
      </c>
      <c r="G44" s="3" t="s">
        <v>633</v>
      </c>
      <c r="H44" s="3" t="s">
        <v>743</v>
      </c>
      <c r="I44" s="5"/>
      <c r="J44" s="6">
        <v>221.08</v>
      </c>
      <c r="K44" s="1"/>
      <c r="L44" s="1"/>
    </row>
    <row r="45" spans="1:12" x14ac:dyDescent="0.2">
      <c r="A45" t="s">
        <v>27</v>
      </c>
      <c r="B45" t="s">
        <v>95</v>
      </c>
      <c r="C45" t="s">
        <v>13</v>
      </c>
      <c r="D45" s="2">
        <v>45939</v>
      </c>
      <c r="E45" t="s">
        <v>15</v>
      </c>
      <c r="F45" s="2">
        <v>45939</v>
      </c>
      <c r="G45" s="3" t="s">
        <v>538</v>
      </c>
      <c r="H45" s="3" t="s">
        <v>743</v>
      </c>
      <c r="I45" s="5"/>
      <c r="J45" s="6">
        <v>153.08000000000001</v>
      </c>
      <c r="K45" s="1"/>
      <c r="L45" s="1"/>
    </row>
    <row r="46" spans="1:12" x14ac:dyDescent="0.2">
      <c r="A46" t="s">
        <v>27</v>
      </c>
      <c r="B46" t="s">
        <v>95</v>
      </c>
      <c r="C46" t="s">
        <v>13</v>
      </c>
      <c r="D46" s="2">
        <v>45939</v>
      </c>
      <c r="E46" t="s">
        <v>15</v>
      </c>
      <c r="F46" s="2">
        <v>45939</v>
      </c>
      <c r="G46" s="3" t="s">
        <v>538</v>
      </c>
      <c r="H46" s="3" t="s">
        <v>743</v>
      </c>
      <c r="I46" s="5"/>
      <c r="J46" s="6">
        <v>248.6</v>
      </c>
      <c r="K46" s="1"/>
      <c r="L46" s="1"/>
    </row>
    <row r="47" spans="1:12" x14ac:dyDescent="0.2">
      <c r="A47" t="s">
        <v>18</v>
      </c>
      <c r="B47" t="s">
        <v>95</v>
      </c>
      <c r="C47" t="s">
        <v>13</v>
      </c>
      <c r="D47" s="2">
        <v>45964</v>
      </c>
      <c r="E47" t="s">
        <v>42</v>
      </c>
      <c r="F47" s="2">
        <v>45964</v>
      </c>
      <c r="G47" s="3" t="s">
        <v>445</v>
      </c>
      <c r="H47" s="3" t="s">
        <v>744</v>
      </c>
      <c r="I47" s="5"/>
      <c r="J47" s="6">
        <v>587.4</v>
      </c>
      <c r="K47" s="1"/>
      <c r="L47" s="1"/>
    </row>
    <row r="48" spans="1:12" x14ac:dyDescent="0.2">
      <c r="A48" t="s">
        <v>18</v>
      </c>
      <c r="B48" t="s">
        <v>95</v>
      </c>
      <c r="C48" t="s">
        <v>13</v>
      </c>
      <c r="D48" s="2">
        <v>45964</v>
      </c>
      <c r="E48" t="s">
        <v>42</v>
      </c>
      <c r="F48" s="2">
        <v>45964</v>
      </c>
      <c r="G48" s="3" t="s">
        <v>443</v>
      </c>
      <c r="H48" s="3" t="s">
        <v>744</v>
      </c>
      <c r="I48" s="5"/>
      <c r="J48" s="6">
        <v>82.15</v>
      </c>
      <c r="K48" s="1"/>
      <c r="L48" s="1"/>
    </row>
    <row r="49" spans="1:12" x14ac:dyDescent="0.2">
      <c r="A49" t="s">
        <v>18</v>
      </c>
      <c r="B49" t="s">
        <v>95</v>
      </c>
      <c r="C49" t="s">
        <v>13</v>
      </c>
      <c r="D49" s="2">
        <v>45964</v>
      </c>
      <c r="E49" t="s">
        <v>42</v>
      </c>
      <c r="F49" s="2">
        <v>45964</v>
      </c>
      <c r="G49" s="3" t="s">
        <v>443</v>
      </c>
      <c r="H49" s="3" t="s">
        <v>744</v>
      </c>
      <c r="I49" s="5"/>
      <c r="J49" s="6">
        <v>57.98</v>
      </c>
      <c r="K49" s="1"/>
      <c r="L49" s="1"/>
    </row>
    <row r="50" spans="1:12" x14ac:dyDescent="0.2">
      <c r="A50" t="s">
        <v>18</v>
      </c>
      <c r="B50" t="s">
        <v>95</v>
      </c>
      <c r="C50" t="s">
        <v>13</v>
      </c>
      <c r="D50" s="2">
        <v>45964</v>
      </c>
      <c r="E50" t="s">
        <v>42</v>
      </c>
      <c r="F50" s="2">
        <v>45964</v>
      </c>
      <c r="G50" s="3" t="s">
        <v>443</v>
      </c>
      <c r="H50" s="3" t="s">
        <v>744</v>
      </c>
      <c r="I50" s="5"/>
      <c r="J50" s="6">
        <v>123.46</v>
      </c>
      <c r="K50" s="1"/>
      <c r="L50" s="1"/>
    </row>
    <row r="51" spans="1:12" x14ac:dyDescent="0.2">
      <c r="A51" t="s">
        <v>18</v>
      </c>
      <c r="B51" t="s">
        <v>95</v>
      </c>
      <c r="C51" t="s">
        <v>13</v>
      </c>
      <c r="D51" s="2">
        <v>45964</v>
      </c>
      <c r="E51" t="s">
        <v>42</v>
      </c>
      <c r="F51" s="2">
        <v>45964</v>
      </c>
      <c r="G51" s="3" t="s">
        <v>570</v>
      </c>
      <c r="H51" s="3" t="s">
        <v>744</v>
      </c>
      <c r="I51" s="5"/>
      <c r="J51" s="6">
        <v>8.15</v>
      </c>
      <c r="K51" s="1"/>
      <c r="L51" s="1"/>
    </row>
    <row r="52" spans="1:12" x14ac:dyDescent="0.2">
      <c r="A52" t="s">
        <v>18</v>
      </c>
      <c r="B52" t="s">
        <v>95</v>
      </c>
      <c r="C52" t="s">
        <v>13</v>
      </c>
      <c r="D52" s="2">
        <v>45964</v>
      </c>
      <c r="E52" t="s">
        <v>42</v>
      </c>
      <c r="F52" s="2">
        <v>45964</v>
      </c>
      <c r="G52" s="3" t="s">
        <v>570</v>
      </c>
      <c r="H52" s="3" t="s">
        <v>744</v>
      </c>
      <c r="I52" s="5"/>
      <c r="J52" s="6">
        <v>64</v>
      </c>
      <c r="K52" s="1"/>
      <c r="L52" s="1"/>
    </row>
    <row r="53" spans="1:12" x14ac:dyDescent="0.2">
      <c r="A53" t="s">
        <v>18</v>
      </c>
      <c r="B53" t="s">
        <v>95</v>
      </c>
      <c r="C53" t="s">
        <v>13</v>
      </c>
      <c r="D53" s="2">
        <v>45964</v>
      </c>
      <c r="E53" t="s">
        <v>42</v>
      </c>
      <c r="F53" s="2">
        <v>45964</v>
      </c>
      <c r="G53" s="3" t="s">
        <v>443</v>
      </c>
      <c r="H53" s="3" t="s">
        <v>744</v>
      </c>
      <c r="I53" s="5"/>
      <c r="J53" s="6">
        <v>19.46</v>
      </c>
      <c r="K53" s="1"/>
      <c r="L53" s="1"/>
    </row>
    <row r="54" spans="1:12" x14ac:dyDescent="0.2">
      <c r="A54" t="s">
        <v>18</v>
      </c>
      <c r="B54" t="s">
        <v>95</v>
      </c>
      <c r="C54" t="s">
        <v>13</v>
      </c>
      <c r="D54" s="2">
        <v>45964</v>
      </c>
      <c r="E54" t="s">
        <v>42</v>
      </c>
      <c r="F54" s="2">
        <v>45964</v>
      </c>
      <c r="G54" s="3" t="s">
        <v>570</v>
      </c>
      <c r="H54" s="3" t="s">
        <v>744</v>
      </c>
      <c r="I54" s="5"/>
      <c r="J54" s="6">
        <v>55</v>
      </c>
      <c r="K54" s="1"/>
      <c r="L54" s="1"/>
    </row>
    <row r="55" spans="1:12" x14ac:dyDescent="0.2">
      <c r="A55" t="s">
        <v>18</v>
      </c>
      <c r="B55" t="s">
        <v>95</v>
      </c>
      <c r="C55" t="s">
        <v>13</v>
      </c>
      <c r="D55" s="2">
        <v>45964</v>
      </c>
      <c r="E55" t="s">
        <v>42</v>
      </c>
      <c r="F55" s="2">
        <v>45964</v>
      </c>
      <c r="G55" s="3" t="s">
        <v>570</v>
      </c>
      <c r="H55" s="3" t="s">
        <v>744</v>
      </c>
      <c r="I55" s="5"/>
      <c r="J55" s="6">
        <v>37</v>
      </c>
      <c r="K55" s="1"/>
      <c r="L55" s="1"/>
    </row>
    <row r="56" spans="1:12" x14ac:dyDescent="0.2">
      <c r="A56" t="s">
        <v>18</v>
      </c>
      <c r="B56" t="s">
        <v>95</v>
      </c>
      <c r="C56" t="s">
        <v>13</v>
      </c>
      <c r="D56" s="2">
        <v>45964</v>
      </c>
      <c r="E56" t="s">
        <v>42</v>
      </c>
      <c r="F56" s="2">
        <v>45964</v>
      </c>
      <c r="G56" s="3" t="s">
        <v>443</v>
      </c>
      <c r="H56" s="3" t="s">
        <v>744</v>
      </c>
      <c r="I56" s="5"/>
      <c r="J56" s="6">
        <v>35.229999999999997</v>
      </c>
      <c r="K56" s="1"/>
      <c r="L56" s="1"/>
    </row>
    <row r="57" spans="1:12" x14ac:dyDescent="0.2">
      <c r="A57" t="s">
        <v>18</v>
      </c>
      <c r="B57" t="s">
        <v>95</v>
      </c>
      <c r="C57" t="s">
        <v>13</v>
      </c>
      <c r="D57" s="2">
        <v>45964</v>
      </c>
      <c r="E57" t="s">
        <v>42</v>
      </c>
      <c r="F57" s="2">
        <v>45964</v>
      </c>
      <c r="G57" s="3" t="s">
        <v>544</v>
      </c>
      <c r="H57" s="3" t="s">
        <v>744</v>
      </c>
      <c r="I57" s="5"/>
      <c r="J57" s="6">
        <v>45.22</v>
      </c>
      <c r="K57" s="1"/>
      <c r="L57" s="1"/>
    </row>
    <row r="58" spans="1:12" x14ac:dyDescent="0.2">
      <c r="A58" t="s">
        <v>18</v>
      </c>
      <c r="B58" t="s">
        <v>95</v>
      </c>
      <c r="C58" t="s">
        <v>13</v>
      </c>
      <c r="D58" s="2">
        <v>45964</v>
      </c>
      <c r="E58" t="s">
        <v>42</v>
      </c>
      <c r="F58" s="2">
        <v>45964</v>
      </c>
      <c r="G58" s="3" t="s">
        <v>443</v>
      </c>
      <c r="H58" s="3" t="s">
        <v>744</v>
      </c>
      <c r="I58" s="5"/>
      <c r="J58" s="6">
        <v>51.96</v>
      </c>
      <c r="K58" s="1"/>
      <c r="L58" s="1"/>
    </row>
    <row r="59" spans="1:12" x14ac:dyDescent="0.2">
      <c r="A59" t="s">
        <v>18</v>
      </c>
      <c r="B59" t="s">
        <v>95</v>
      </c>
      <c r="C59" t="s">
        <v>13</v>
      </c>
      <c r="D59" s="2">
        <v>45964</v>
      </c>
      <c r="E59" t="s">
        <v>42</v>
      </c>
      <c r="F59" s="2">
        <v>45964</v>
      </c>
      <c r="G59" s="3" t="s">
        <v>538</v>
      </c>
      <c r="H59" s="3" t="s">
        <v>744</v>
      </c>
      <c r="I59" s="5"/>
      <c r="J59" s="6">
        <v>19.440000000000001</v>
      </c>
      <c r="K59" s="1"/>
      <c r="L59" s="1"/>
    </row>
    <row r="60" spans="1:12" x14ac:dyDescent="0.2">
      <c r="A60" t="s">
        <v>18</v>
      </c>
      <c r="B60" t="s">
        <v>95</v>
      </c>
      <c r="C60" t="s">
        <v>13</v>
      </c>
      <c r="D60" s="2">
        <v>45964</v>
      </c>
      <c r="E60" t="s">
        <v>42</v>
      </c>
      <c r="F60" s="2">
        <v>45964</v>
      </c>
      <c r="G60" s="3" t="s">
        <v>443</v>
      </c>
      <c r="H60" s="3" t="s">
        <v>744</v>
      </c>
      <c r="I60" s="5"/>
      <c r="J60" s="6">
        <v>47.91</v>
      </c>
      <c r="K60" s="1"/>
      <c r="L60" s="1"/>
    </row>
    <row r="61" spans="1:12" x14ac:dyDescent="0.2">
      <c r="A61" t="s">
        <v>18</v>
      </c>
      <c r="B61" t="s">
        <v>95</v>
      </c>
      <c r="C61" t="s">
        <v>13</v>
      </c>
      <c r="D61" s="2">
        <v>45964</v>
      </c>
      <c r="E61" t="s">
        <v>42</v>
      </c>
      <c r="F61" s="2">
        <v>45964</v>
      </c>
      <c r="G61" s="3" t="s">
        <v>443</v>
      </c>
      <c r="H61" s="3" t="s">
        <v>744</v>
      </c>
      <c r="I61" s="5"/>
      <c r="J61" s="6">
        <v>17.96</v>
      </c>
      <c r="K61" s="1"/>
      <c r="L61" s="1"/>
    </row>
    <row r="62" spans="1:12" x14ac:dyDescent="0.2">
      <c r="A62" t="s">
        <v>18</v>
      </c>
      <c r="B62" t="s">
        <v>95</v>
      </c>
      <c r="C62" t="s">
        <v>13</v>
      </c>
      <c r="D62" s="2">
        <v>45964</v>
      </c>
      <c r="E62" t="s">
        <v>42</v>
      </c>
      <c r="F62" s="2">
        <v>45964</v>
      </c>
      <c r="G62" s="3" t="s">
        <v>544</v>
      </c>
      <c r="H62" s="3" t="s">
        <v>744</v>
      </c>
      <c r="I62" s="5"/>
      <c r="J62" s="6">
        <v>16.12</v>
      </c>
      <c r="K62" s="1"/>
      <c r="L62" s="1"/>
    </row>
    <row r="63" spans="1:12" x14ac:dyDescent="0.2">
      <c r="A63" t="s">
        <v>18</v>
      </c>
      <c r="B63" t="s">
        <v>95</v>
      </c>
      <c r="C63" t="s">
        <v>13</v>
      </c>
      <c r="D63" s="2">
        <v>45964</v>
      </c>
      <c r="E63" t="s">
        <v>42</v>
      </c>
      <c r="F63" s="2">
        <v>45964</v>
      </c>
      <c r="G63" s="3" t="s">
        <v>443</v>
      </c>
      <c r="H63" s="3" t="s">
        <v>744</v>
      </c>
      <c r="I63" s="5"/>
      <c r="J63" s="6">
        <v>16.489999999999998</v>
      </c>
      <c r="K63" s="1"/>
      <c r="L63" s="1"/>
    </row>
    <row r="64" spans="1:12" x14ac:dyDescent="0.2">
      <c r="A64" t="s">
        <v>18</v>
      </c>
      <c r="B64" t="s">
        <v>95</v>
      </c>
      <c r="C64" t="s">
        <v>13</v>
      </c>
      <c r="D64" s="2">
        <v>45964</v>
      </c>
      <c r="E64" t="s">
        <v>42</v>
      </c>
      <c r="F64" s="2">
        <v>45964</v>
      </c>
      <c r="G64" s="3" t="s">
        <v>570</v>
      </c>
      <c r="H64" s="3" t="s">
        <v>744</v>
      </c>
      <c r="I64" s="5"/>
      <c r="J64" s="6">
        <v>82.5</v>
      </c>
      <c r="K64" s="1"/>
      <c r="L64" s="1"/>
    </row>
    <row r="65" spans="1:12" x14ac:dyDescent="0.2">
      <c r="A65" t="s">
        <v>18</v>
      </c>
      <c r="B65" t="s">
        <v>95</v>
      </c>
      <c r="C65" t="s">
        <v>13</v>
      </c>
      <c r="D65" s="2">
        <v>45964</v>
      </c>
      <c r="E65" t="s">
        <v>42</v>
      </c>
      <c r="F65" s="2">
        <v>45964</v>
      </c>
      <c r="G65" s="3" t="s">
        <v>443</v>
      </c>
      <c r="H65" s="3" t="s">
        <v>744</v>
      </c>
      <c r="I65" s="5"/>
      <c r="J65" s="6">
        <v>23.27</v>
      </c>
      <c r="K65" s="1"/>
      <c r="L65" s="1"/>
    </row>
    <row r="66" spans="1:12" x14ac:dyDescent="0.2">
      <c r="A66" t="s">
        <v>18</v>
      </c>
      <c r="B66" t="s">
        <v>95</v>
      </c>
      <c r="C66" t="s">
        <v>13</v>
      </c>
      <c r="D66" s="2">
        <v>45964</v>
      </c>
      <c r="E66" t="s">
        <v>42</v>
      </c>
      <c r="F66" s="2">
        <v>45964</v>
      </c>
      <c r="G66" s="3" t="s">
        <v>443</v>
      </c>
      <c r="H66" s="3" t="s">
        <v>744</v>
      </c>
      <c r="I66" s="5"/>
      <c r="J66" s="6">
        <v>64.709999999999994</v>
      </c>
      <c r="K66" s="1"/>
      <c r="L66" s="1"/>
    </row>
    <row r="67" spans="1:12" x14ac:dyDescent="0.2">
      <c r="A67" t="s">
        <v>18</v>
      </c>
      <c r="B67" t="s">
        <v>95</v>
      </c>
      <c r="C67" t="s">
        <v>13</v>
      </c>
      <c r="D67" s="2">
        <v>45964</v>
      </c>
      <c r="E67" t="s">
        <v>42</v>
      </c>
      <c r="F67" s="2">
        <v>45964</v>
      </c>
      <c r="G67" s="3" t="s">
        <v>443</v>
      </c>
      <c r="H67" s="3" t="s">
        <v>744</v>
      </c>
      <c r="I67" s="5"/>
      <c r="J67" s="6">
        <v>17.98</v>
      </c>
      <c r="K67" s="1"/>
      <c r="L67" s="1"/>
    </row>
    <row r="68" spans="1:12" x14ac:dyDescent="0.2">
      <c r="A68" t="s">
        <v>18</v>
      </c>
      <c r="B68" t="s">
        <v>95</v>
      </c>
      <c r="C68" t="s">
        <v>13</v>
      </c>
      <c r="D68" s="2">
        <v>45964</v>
      </c>
      <c r="E68" t="s">
        <v>42</v>
      </c>
      <c r="F68" s="2">
        <v>45964</v>
      </c>
      <c r="G68" s="3" t="s">
        <v>735</v>
      </c>
      <c r="H68" s="3" t="s">
        <v>745</v>
      </c>
      <c r="I68" s="5"/>
      <c r="J68" s="6">
        <v>43.12</v>
      </c>
      <c r="K68" s="1"/>
      <c r="L68" s="1"/>
    </row>
    <row r="69" spans="1:12" x14ac:dyDescent="0.2">
      <c r="A69" t="s">
        <v>18</v>
      </c>
      <c r="B69" t="s">
        <v>95</v>
      </c>
      <c r="C69" t="s">
        <v>13</v>
      </c>
      <c r="D69" s="2">
        <v>45964</v>
      </c>
      <c r="E69" t="s">
        <v>42</v>
      </c>
      <c r="F69" s="2">
        <v>45964</v>
      </c>
      <c r="G69" s="3" t="s">
        <v>633</v>
      </c>
      <c r="H69" s="3" t="s">
        <v>745</v>
      </c>
      <c r="I69" s="5"/>
      <c r="J69" s="6">
        <v>34.99</v>
      </c>
      <c r="K69" s="1"/>
      <c r="L69" s="1"/>
    </row>
    <row r="70" spans="1:12" x14ac:dyDescent="0.2">
      <c r="A70" t="s">
        <v>18</v>
      </c>
      <c r="B70" t="s">
        <v>95</v>
      </c>
      <c r="C70" t="s">
        <v>13</v>
      </c>
      <c r="D70" s="2">
        <v>45964</v>
      </c>
      <c r="E70" t="s">
        <v>42</v>
      </c>
      <c r="F70" s="2">
        <v>45964</v>
      </c>
      <c r="G70" s="3" t="s">
        <v>633</v>
      </c>
      <c r="H70" s="3" t="s">
        <v>745</v>
      </c>
      <c r="I70" s="5"/>
      <c r="J70" s="6">
        <v>112.87</v>
      </c>
      <c r="K70" s="1"/>
      <c r="L70" s="1"/>
    </row>
    <row r="71" spans="1:12" x14ac:dyDescent="0.2">
      <c r="A71" t="s">
        <v>18</v>
      </c>
      <c r="B71" t="s">
        <v>95</v>
      </c>
      <c r="C71" t="s">
        <v>13</v>
      </c>
      <c r="D71" s="2">
        <v>45964</v>
      </c>
      <c r="E71" t="s">
        <v>42</v>
      </c>
      <c r="F71" s="2">
        <v>45964</v>
      </c>
      <c r="G71" s="3" t="s">
        <v>538</v>
      </c>
      <c r="H71" s="3" t="s">
        <v>745</v>
      </c>
      <c r="I71" s="5"/>
      <c r="J71" s="6">
        <v>10</v>
      </c>
      <c r="K71" s="1"/>
      <c r="L71" s="1"/>
    </row>
    <row r="72" spans="1:12" x14ac:dyDescent="0.2">
      <c r="A72" t="s">
        <v>18</v>
      </c>
      <c r="B72" t="s">
        <v>95</v>
      </c>
      <c r="C72" t="s">
        <v>13</v>
      </c>
      <c r="D72" s="2">
        <v>45964</v>
      </c>
      <c r="E72" t="s">
        <v>42</v>
      </c>
      <c r="F72" s="2">
        <v>45964</v>
      </c>
      <c r="G72" s="3" t="s">
        <v>633</v>
      </c>
      <c r="H72" s="3" t="s">
        <v>745</v>
      </c>
      <c r="I72" s="5"/>
      <c r="J72" s="6">
        <v>149.9</v>
      </c>
      <c r="K72" s="1"/>
      <c r="L72" s="1"/>
    </row>
    <row r="73" spans="1:12" x14ac:dyDescent="0.2">
      <c r="A73" s="3" t="s">
        <v>12</v>
      </c>
      <c r="B73" t="s">
        <v>95</v>
      </c>
      <c r="C73" t="s">
        <v>13</v>
      </c>
      <c r="D73" s="2">
        <v>45971</v>
      </c>
      <c r="E73" t="s">
        <v>42</v>
      </c>
      <c r="F73" s="2">
        <v>45971</v>
      </c>
      <c r="G73" s="3" t="s">
        <v>693</v>
      </c>
      <c r="H73" s="3" t="s">
        <v>737</v>
      </c>
      <c r="I73" s="5"/>
      <c r="J73" s="6">
        <v>39</v>
      </c>
      <c r="K73" s="1"/>
      <c r="L73" s="1"/>
    </row>
    <row r="74" spans="1:12" x14ac:dyDescent="0.2">
      <c r="A74" s="3" t="s">
        <v>12</v>
      </c>
      <c r="B74" t="s">
        <v>95</v>
      </c>
      <c r="C74" t="s">
        <v>13</v>
      </c>
      <c r="D74" s="2">
        <v>45971</v>
      </c>
      <c r="E74" t="s">
        <v>42</v>
      </c>
      <c r="F74" s="2">
        <v>45971</v>
      </c>
      <c r="G74" s="3" t="s">
        <v>570</v>
      </c>
      <c r="H74" s="3" t="s">
        <v>737</v>
      </c>
      <c r="I74" s="5"/>
      <c r="J74" s="6">
        <v>271.45</v>
      </c>
      <c r="K74" s="1"/>
      <c r="L74" s="1"/>
    </row>
    <row r="75" spans="1:12" x14ac:dyDescent="0.2">
      <c r="A75" s="3" t="s">
        <v>12</v>
      </c>
      <c r="B75" t="s">
        <v>95</v>
      </c>
      <c r="C75" t="s">
        <v>13</v>
      </c>
      <c r="D75" s="2">
        <v>45971</v>
      </c>
      <c r="E75" t="s">
        <v>42</v>
      </c>
      <c r="F75" s="2">
        <v>45971</v>
      </c>
      <c r="G75" s="3" t="s">
        <v>633</v>
      </c>
      <c r="H75" s="3" t="s">
        <v>737</v>
      </c>
      <c r="I75" s="5"/>
      <c r="J75" s="6">
        <v>40.28</v>
      </c>
      <c r="K75" s="1"/>
      <c r="L75" s="1"/>
    </row>
    <row r="76" spans="1:12" x14ac:dyDescent="0.2">
      <c r="A76" s="3" t="s">
        <v>12</v>
      </c>
      <c r="B76" t="s">
        <v>95</v>
      </c>
      <c r="C76" t="s">
        <v>13</v>
      </c>
      <c r="D76" s="2">
        <v>45971</v>
      </c>
      <c r="E76" t="s">
        <v>42</v>
      </c>
      <c r="F76" s="2">
        <v>45971</v>
      </c>
      <c r="G76" s="3" t="s">
        <v>438</v>
      </c>
      <c r="H76" s="3" t="s">
        <v>737</v>
      </c>
      <c r="I76" s="5"/>
      <c r="J76" s="6">
        <v>68.09</v>
      </c>
      <c r="K76" s="1"/>
      <c r="L76" s="1"/>
    </row>
    <row r="77" spans="1:12" x14ac:dyDescent="0.2">
      <c r="A77" s="3" t="s">
        <v>12</v>
      </c>
      <c r="B77" t="s">
        <v>95</v>
      </c>
      <c r="C77" t="s">
        <v>13</v>
      </c>
      <c r="D77" s="2">
        <v>45971</v>
      </c>
      <c r="E77" t="s">
        <v>42</v>
      </c>
      <c r="F77" s="2">
        <v>45971</v>
      </c>
      <c r="G77" s="3" t="s">
        <v>738</v>
      </c>
      <c r="H77" s="3" t="s">
        <v>737</v>
      </c>
      <c r="I77" s="5"/>
      <c r="J77" s="6">
        <v>66.400000000000006</v>
      </c>
      <c r="K77" s="1"/>
      <c r="L77" s="1"/>
    </row>
    <row r="78" spans="1:12" x14ac:dyDescent="0.2">
      <c r="A78" s="3" t="s">
        <v>12</v>
      </c>
      <c r="B78" t="s">
        <v>95</v>
      </c>
      <c r="C78" t="s">
        <v>13</v>
      </c>
      <c r="D78" s="2">
        <v>45971</v>
      </c>
      <c r="E78" t="s">
        <v>42</v>
      </c>
      <c r="F78" s="2">
        <v>45971</v>
      </c>
      <c r="G78" s="3" t="s">
        <v>633</v>
      </c>
      <c r="H78" s="3" t="s">
        <v>737</v>
      </c>
      <c r="I78" s="5"/>
      <c r="J78" s="6">
        <v>33.630000000000003</v>
      </c>
      <c r="K78" s="1"/>
      <c r="L78" s="1"/>
    </row>
    <row r="79" spans="1:12" x14ac:dyDescent="0.2">
      <c r="A79" s="3" t="s">
        <v>12</v>
      </c>
      <c r="B79" t="s">
        <v>95</v>
      </c>
      <c r="C79" t="s">
        <v>13</v>
      </c>
      <c r="D79" s="2">
        <v>45971</v>
      </c>
      <c r="E79" t="s">
        <v>42</v>
      </c>
      <c r="F79" s="2">
        <v>45971</v>
      </c>
      <c r="G79" s="3" t="s">
        <v>458</v>
      </c>
      <c r="H79" s="3" t="s">
        <v>737</v>
      </c>
      <c r="I79" s="5"/>
      <c r="J79" s="6">
        <v>110</v>
      </c>
      <c r="K79" s="1"/>
      <c r="L79" s="1"/>
    </row>
    <row r="80" spans="1:12" x14ac:dyDescent="0.2">
      <c r="A80" s="3" t="s">
        <v>12</v>
      </c>
      <c r="B80" t="s">
        <v>95</v>
      </c>
      <c r="C80" t="s">
        <v>13</v>
      </c>
      <c r="D80" s="2">
        <v>45971</v>
      </c>
      <c r="E80" t="s">
        <v>42</v>
      </c>
      <c r="F80" s="2">
        <v>45971</v>
      </c>
      <c r="G80" s="3" t="s">
        <v>528</v>
      </c>
      <c r="H80" s="3" t="s">
        <v>737</v>
      </c>
      <c r="I80" s="5"/>
      <c r="J80" s="6">
        <v>80.91</v>
      </c>
      <c r="K80" s="1"/>
      <c r="L80" s="1"/>
    </row>
    <row r="81" spans="1:12" x14ac:dyDescent="0.2">
      <c r="A81" s="3" t="s">
        <v>12</v>
      </c>
      <c r="B81" t="s">
        <v>95</v>
      </c>
      <c r="C81" t="s">
        <v>13</v>
      </c>
      <c r="D81" s="2">
        <v>45971</v>
      </c>
      <c r="E81" t="s">
        <v>42</v>
      </c>
      <c r="F81" s="2">
        <v>45971</v>
      </c>
      <c r="G81" s="3" t="s">
        <v>633</v>
      </c>
      <c r="H81" s="3" t="s">
        <v>737</v>
      </c>
      <c r="I81" s="5"/>
      <c r="J81" s="6">
        <v>39.99</v>
      </c>
      <c r="K81" s="1"/>
      <c r="L81" s="1"/>
    </row>
    <row r="82" spans="1:12" x14ac:dyDescent="0.2">
      <c r="A82" s="3" t="s">
        <v>12</v>
      </c>
      <c r="B82" t="s">
        <v>95</v>
      </c>
      <c r="C82" t="s">
        <v>13</v>
      </c>
      <c r="D82" s="2">
        <v>45971</v>
      </c>
      <c r="E82" t="s">
        <v>42</v>
      </c>
      <c r="F82" s="2">
        <v>45971</v>
      </c>
      <c r="G82" s="3" t="s">
        <v>458</v>
      </c>
      <c r="H82" s="3" t="s">
        <v>737</v>
      </c>
      <c r="I82" s="5"/>
      <c r="J82" s="6">
        <v>200</v>
      </c>
      <c r="K82" s="1"/>
      <c r="L82" s="1"/>
    </row>
    <row r="83" spans="1:12" x14ac:dyDescent="0.2">
      <c r="A83" s="3" t="s">
        <v>12</v>
      </c>
      <c r="B83" t="s">
        <v>95</v>
      </c>
      <c r="C83" t="s">
        <v>13</v>
      </c>
      <c r="D83" s="2">
        <v>45971</v>
      </c>
      <c r="E83" t="s">
        <v>42</v>
      </c>
      <c r="F83" s="2">
        <v>45971</v>
      </c>
      <c r="G83" s="3" t="s">
        <v>458</v>
      </c>
      <c r="H83" s="3" t="s">
        <v>737</v>
      </c>
      <c r="I83" s="5"/>
      <c r="J83" s="6">
        <v>329.03</v>
      </c>
      <c r="K83" s="1"/>
      <c r="L83" s="1"/>
    </row>
    <row r="84" spans="1:12" x14ac:dyDescent="0.2">
      <c r="A84" s="3" t="s">
        <v>12</v>
      </c>
      <c r="B84" t="s">
        <v>95</v>
      </c>
      <c r="C84" t="s">
        <v>13</v>
      </c>
      <c r="D84" s="2">
        <v>45971</v>
      </c>
      <c r="E84" t="s">
        <v>42</v>
      </c>
      <c r="F84" s="2">
        <v>45971</v>
      </c>
      <c r="G84" s="3" t="s">
        <v>735</v>
      </c>
      <c r="H84" s="3" t="s">
        <v>737</v>
      </c>
      <c r="I84" s="5"/>
      <c r="J84" s="6">
        <v>53.65</v>
      </c>
      <c r="K84" s="1"/>
      <c r="L84" s="1"/>
    </row>
    <row r="85" spans="1:12" x14ac:dyDescent="0.2">
      <c r="A85" s="3" t="s">
        <v>12</v>
      </c>
      <c r="B85" t="s">
        <v>95</v>
      </c>
      <c r="C85" t="s">
        <v>13</v>
      </c>
      <c r="D85" s="2">
        <v>45971</v>
      </c>
      <c r="E85" t="s">
        <v>42</v>
      </c>
      <c r="F85" s="2">
        <v>45971</v>
      </c>
      <c r="G85" s="3" t="s">
        <v>735</v>
      </c>
      <c r="H85" s="3" t="s">
        <v>737</v>
      </c>
      <c r="I85" s="5"/>
      <c r="J85" s="6">
        <v>91.67</v>
      </c>
      <c r="K85" s="1"/>
      <c r="L85" s="1"/>
    </row>
    <row r="86" spans="1:12" x14ac:dyDescent="0.2">
      <c r="A86" s="3" t="s">
        <v>12</v>
      </c>
      <c r="B86" t="s">
        <v>95</v>
      </c>
      <c r="C86" t="s">
        <v>13</v>
      </c>
      <c r="D86" s="2">
        <v>45971</v>
      </c>
      <c r="E86" t="s">
        <v>42</v>
      </c>
      <c r="F86" s="2">
        <v>45971</v>
      </c>
      <c r="G86" s="3" t="s">
        <v>538</v>
      </c>
      <c r="H86" s="3" t="s">
        <v>737</v>
      </c>
      <c r="I86" s="5"/>
      <c r="J86" s="6">
        <v>24.34</v>
      </c>
      <c r="K86" s="1"/>
      <c r="L86" s="1"/>
    </row>
    <row r="87" spans="1:12" x14ac:dyDescent="0.2">
      <c r="A87" s="3" t="s">
        <v>12</v>
      </c>
      <c r="B87" t="s">
        <v>95</v>
      </c>
      <c r="C87" t="s">
        <v>13</v>
      </c>
      <c r="D87" s="2">
        <v>45971</v>
      </c>
      <c r="E87" t="s">
        <v>42</v>
      </c>
      <c r="F87" s="2">
        <v>45971</v>
      </c>
      <c r="G87" s="3" t="s">
        <v>570</v>
      </c>
      <c r="H87" s="3" t="s">
        <v>737</v>
      </c>
      <c r="I87" s="5"/>
      <c r="J87" s="6">
        <v>127.88</v>
      </c>
      <c r="K87" s="1"/>
      <c r="L87" s="1"/>
    </row>
    <row r="88" spans="1:12" x14ac:dyDescent="0.2">
      <c r="A88" s="3" t="s">
        <v>12</v>
      </c>
      <c r="B88" t="s">
        <v>95</v>
      </c>
      <c r="C88" t="s">
        <v>13</v>
      </c>
      <c r="D88" s="2">
        <v>45971</v>
      </c>
      <c r="E88" t="s">
        <v>42</v>
      </c>
      <c r="F88" s="2">
        <v>45971</v>
      </c>
      <c r="G88" s="3" t="s">
        <v>458</v>
      </c>
      <c r="H88" s="3" t="s">
        <v>737</v>
      </c>
      <c r="I88" s="5"/>
      <c r="J88" s="6">
        <v>263.01</v>
      </c>
      <c r="K88" s="1"/>
      <c r="L88" s="1"/>
    </row>
    <row r="89" spans="1:12" x14ac:dyDescent="0.2">
      <c r="A89" s="3" t="s">
        <v>12</v>
      </c>
      <c r="B89" t="s">
        <v>95</v>
      </c>
      <c r="C89" t="s">
        <v>13</v>
      </c>
      <c r="D89" s="2">
        <v>45971</v>
      </c>
      <c r="E89" t="s">
        <v>42</v>
      </c>
      <c r="F89" s="2">
        <v>45971</v>
      </c>
      <c r="G89" s="3" t="s">
        <v>443</v>
      </c>
      <c r="H89" s="3" t="s">
        <v>737</v>
      </c>
      <c r="I89" s="5"/>
      <c r="J89" s="6">
        <v>23</v>
      </c>
      <c r="K89" s="1"/>
      <c r="L89" s="1"/>
    </row>
    <row r="90" spans="1:12" x14ac:dyDescent="0.2">
      <c r="A90" s="3" t="s">
        <v>12</v>
      </c>
      <c r="B90" t="s">
        <v>95</v>
      </c>
      <c r="C90" t="s">
        <v>13</v>
      </c>
      <c r="D90" s="2">
        <v>45971</v>
      </c>
      <c r="E90" t="s">
        <v>42</v>
      </c>
      <c r="F90" s="2">
        <v>45971</v>
      </c>
      <c r="G90" s="3" t="s">
        <v>458</v>
      </c>
      <c r="H90" s="3" t="s">
        <v>737</v>
      </c>
      <c r="I90" s="5"/>
      <c r="J90" s="6">
        <v>617.5</v>
      </c>
      <c r="K90" s="1"/>
      <c r="L90" s="1"/>
    </row>
    <row r="91" spans="1:12" x14ac:dyDescent="0.2">
      <c r="A91" s="3" t="s">
        <v>12</v>
      </c>
      <c r="B91" t="s">
        <v>95</v>
      </c>
      <c r="C91" t="s">
        <v>13</v>
      </c>
      <c r="D91" s="2">
        <v>45971</v>
      </c>
      <c r="E91" t="s">
        <v>42</v>
      </c>
      <c r="F91" s="2">
        <v>45971</v>
      </c>
      <c r="G91" s="3" t="s">
        <v>458</v>
      </c>
      <c r="H91" s="3" t="s">
        <v>737</v>
      </c>
      <c r="I91" s="5"/>
      <c r="J91" s="6">
        <v>7.81</v>
      </c>
      <c r="K91" s="1"/>
      <c r="L91" s="1"/>
    </row>
    <row r="92" spans="1:12" x14ac:dyDescent="0.2">
      <c r="A92" s="3" t="s">
        <v>12</v>
      </c>
      <c r="B92" t="s">
        <v>95</v>
      </c>
      <c r="C92" t="s">
        <v>13</v>
      </c>
      <c r="D92" s="2">
        <v>45971</v>
      </c>
      <c r="E92" t="s">
        <v>42</v>
      </c>
      <c r="F92" s="2">
        <v>45971</v>
      </c>
      <c r="G92" s="3" t="s">
        <v>538</v>
      </c>
      <c r="H92" s="3" t="s">
        <v>737</v>
      </c>
      <c r="I92" s="5"/>
      <c r="J92" s="6">
        <v>5.9</v>
      </c>
      <c r="K92" s="1"/>
      <c r="L92" s="1"/>
    </row>
    <row r="93" spans="1:12" x14ac:dyDescent="0.2">
      <c r="A93" s="3" t="s">
        <v>12</v>
      </c>
      <c r="B93" t="s">
        <v>95</v>
      </c>
      <c r="C93" t="s">
        <v>13</v>
      </c>
      <c r="D93" s="2">
        <v>45971</v>
      </c>
      <c r="E93" t="s">
        <v>42</v>
      </c>
      <c r="F93" s="2">
        <v>45971</v>
      </c>
      <c r="G93" s="3" t="s">
        <v>488</v>
      </c>
      <c r="H93" s="3" t="s">
        <v>737</v>
      </c>
      <c r="I93" s="5"/>
      <c r="J93" s="6">
        <v>30</v>
      </c>
      <c r="K93" s="1"/>
      <c r="L93" s="1"/>
    </row>
    <row r="94" spans="1:12" x14ac:dyDescent="0.2">
      <c r="A94" s="3" t="s">
        <v>12</v>
      </c>
      <c r="B94" t="s">
        <v>95</v>
      </c>
      <c r="C94" t="s">
        <v>13</v>
      </c>
      <c r="D94" s="2">
        <v>45971</v>
      </c>
      <c r="E94" t="s">
        <v>42</v>
      </c>
      <c r="F94" s="2">
        <v>45971</v>
      </c>
      <c r="G94" s="3" t="s">
        <v>445</v>
      </c>
      <c r="H94" s="3" t="s">
        <v>737</v>
      </c>
      <c r="I94" s="5"/>
      <c r="J94" s="6">
        <v>113.12</v>
      </c>
      <c r="K94" s="1"/>
      <c r="L94" s="1"/>
    </row>
    <row r="95" spans="1:12" x14ac:dyDescent="0.2">
      <c r="A95" s="3" t="s">
        <v>12</v>
      </c>
      <c r="B95" t="s">
        <v>95</v>
      </c>
      <c r="C95" t="s">
        <v>13</v>
      </c>
      <c r="D95" s="2">
        <v>45971</v>
      </c>
      <c r="E95" t="s">
        <v>42</v>
      </c>
      <c r="F95" s="2">
        <v>45971</v>
      </c>
      <c r="G95" s="3" t="s">
        <v>739</v>
      </c>
      <c r="H95" s="3" t="s">
        <v>737</v>
      </c>
      <c r="I95" s="5"/>
      <c r="J95" s="6">
        <v>3.96</v>
      </c>
      <c r="K95" s="1"/>
      <c r="L95" s="1"/>
    </row>
    <row r="96" spans="1:12" x14ac:dyDescent="0.2">
      <c r="A96" s="3" t="s">
        <v>12</v>
      </c>
      <c r="B96" t="s">
        <v>95</v>
      </c>
      <c r="C96" t="s">
        <v>13</v>
      </c>
      <c r="D96" s="2">
        <v>45971</v>
      </c>
      <c r="E96" t="s">
        <v>42</v>
      </c>
      <c r="F96" s="2">
        <v>45971</v>
      </c>
      <c r="G96" s="3" t="s">
        <v>488</v>
      </c>
      <c r="H96" s="3" t="s">
        <v>737</v>
      </c>
      <c r="I96" s="5"/>
      <c r="J96" s="6">
        <v>10</v>
      </c>
      <c r="K96" s="1"/>
      <c r="L96" s="1"/>
    </row>
    <row r="97" spans="1:12" x14ac:dyDescent="0.2">
      <c r="A97" s="3" t="s">
        <v>12</v>
      </c>
      <c r="B97" t="s">
        <v>95</v>
      </c>
      <c r="C97" t="s">
        <v>13</v>
      </c>
      <c r="D97" s="2">
        <v>45971</v>
      </c>
      <c r="E97" t="s">
        <v>42</v>
      </c>
      <c r="F97" s="2">
        <v>45971</v>
      </c>
      <c r="G97" s="3" t="s">
        <v>746</v>
      </c>
      <c r="H97" s="3" t="s">
        <v>737</v>
      </c>
      <c r="I97" s="5"/>
      <c r="J97" s="6">
        <v>323.89</v>
      </c>
      <c r="K97" s="1"/>
      <c r="L97" s="1"/>
    </row>
    <row r="98" spans="1:12" x14ac:dyDescent="0.2">
      <c r="A98" s="3" t="s">
        <v>12</v>
      </c>
      <c r="B98" t="s">
        <v>95</v>
      </c>
      <c r="C98" t="s">
        <v>13</v>
      </c>
      <c r="D98" s="2">
        <v>45971</v>
      </c>
      <c r="E98" t="s">
        <v>42</v>
      </c>
      <c r="F98" s="2">
        <v>45971</v>
      </c>
      <c r="G98" s="3" t="s">
        <v>538</v>
      </c>
      <c r="H98" s="3" t="s">
        <v>737</v>
      </c>
      <c r="I98" s="5"/>
      <c r="J98" s="6">
        <v>40</v>
      </c>
      <c r="K98" s="1"/>
      <c r="L98" s="1"/>
    </row>
    <row r="99" spans="1:12" x14ac:dyDescent="0.2">
      <c r="A99" s="3" t="s">
        <v>12</v>
      </c>
      <c r="B99" t="s">
        <v>95</v>
      </c>
      <c r="C99" t="s">
        <v>13</v>
      </c>
      <c r="D99" s="2">
        <v>45971</v>
      </c>
      <c r="E99" t="s">
        <v>42</v>
      </c>
      <c r="F99" s="2">
        <v>45971</v>
      </c>
      <c r="G99" s="3" t="s">
        <v>488</v>
      </c>
      <c r="H99" s="3" t="s">
        <v>737</v>
      </c>
      <c r="I99" s="5"/>
      <c r="J99" s="6">
        <v>24.5</v>
      </c>
      <c r="K99" s="1"/>
      <c r="L99" s="1"/>
    </row>
    <row r="100" spans="1:12" x14ac:dyDescent="0.2">
      <c r="A100" s="3" t="s">
        <v>12</v>
      </c>
      <c r="B100" t="s">
        <v>95</v>
      </c>
      <c r="C100" t="s">
        <v>13</v>
      </c>
      <c r="D100" s="2">
        <v>45971</v>
      </c>
      <c r="E100" t="s">
        <v>42</v>
      </c>
      <c r="F100" s="2">
        <v>45971</v>
      </c>
      <c r="G100" s="3" t="s">
        <v>458</v>
      </c>
      <c r="H100" s="3" t="s">
        <v>737</v>
      </c>
      <c r="I100" s="5"/>
      <c r="J100" s="6">
        <v>71</v>
      </c>
      <c r="K100" s="1"/>
      <c r="L100" s="1"/>
    </row>
    <row r="101" spans="1:12" x14ac:dyDescent="0.2">
      <c r="A101" s="3" t="s">
        <v>12</v>
      </c>
      <c r="B101" t="s">
        <v>95</v>
      </c>
      <c r="C101" t="s">
        <v>13</v>
      </c>
      <c r="D101" s="2">
        <v>45971</v>
      </c>
      <c r="E101" t="s">
        <v>42</v>
      </c>
      <c r="F101" s="2">
        <v>45971</v>
      </c>
      <c r="G101" s="3" t="s">
        <v>445</v>
      </c>
      <c r="H101" s="3" t="s">
        <v>737</v>
      </c>
      <c r="I101" s="5"/>
      <c r="J101" s="6">
        <v>125</v>
      </c>
      <c r="K101" s="1"/>
      <c r="L101" s="1"/>
    </row>
    <row r="102" spans="1:12" x14ac:dyDescent="0.2">
      <c r="A102" s="3" t="s">
        <v>12</v>
      </c>
      <c r="B102" t="s">
        <v>95</v>
      </c>
      <c r="C102" t="s">
        <v>13</v>
      </c>
      <c r="D102" s="2">
        <v>45971</v>
      </c>
      <c r="E102" t="s">
        <v>42</v>
      </c>
      <c r="F102" s="2">
        <v>45971</v>
      </c>
      <c r="G102" s="3" t="s">
        <v>538</v>
      </c>
      <c r="H102" s="3" t="s">
        <v>737</v>
      </c>
      <c r="I102" s="5"/>
      <c r="J102" s="6">
        <v>97.95</v>
      </c>
      <c r="K102" s="1"/>
      <c r="L102" s="1"/>
    </row>
    <row r="103" spans="1:12" x14ac:dyDescent="0.2">
      <c r="A103" s="3" t="s">
        <v>12</v>
      </c>
      <c r="B103" t="s">
        <v>95</v>
      </c>
      <c r="C103" t="s">
        <v>13</v>
      </c>
      <c r="D103" s="2">
        <v>45971</v>
      </c>
      <c r="E103" t="s">
        <v>42</v>
      </c>
      <c r="F103" s="2">
        <v>45971</v>
      </c>
      <c r="G103" s="3" t="s">
        <v>538</v>
      </c>
      <c r="H103" s="3" t="s">
        <v>737</v>
      </c>
      <c r="I103" s="5"/>
      <c r="J103" s="6">
        <v>79.900000000000006</v>
      </c>
      <c r="K103" s="1"/>
      <c r="L103" s="1"/>
    </row>
    <row r="104" spans="1:12" x14ac:dyDescent="0.2">
      <c r="A104" s="3" t="s">
        <v>12</v>
      </c>
      <c r="B104" t="s">
        <v>95</v>
      </c>
      <c r="C104" t="s">
        <v>13</v>
      </c>
      <c r="D104" s="2">
        <v>45971</v>
      </c>
      <c r="E104" t="s">
        <v>42</v>
      </c>
      <c r="F104" s="2">
        <v>45971</v>
      </c>
      <c r="G104" s="3" t="s">
        <v>538</v>
      </c>
      <c r="H104" s="3" t="s">
        <v>737</v>
      </c>
      <c r="I104" s="5"/>
      <c r="J104" s="6">
        <v>71.83</v>
      </c>
      <c r="K104" s="1"/>
      <c r="L104" s="1"/>
    </row>
    <row r="105" spans="1:12" x14ac:dyDescent="0.2">
      <c r="A105" s="3" t="s">
        <v>12</v>
      </c>
      <c r="B105" t="s">
        <v>95</v>
      </c>
      <c r="C105" t="s">
        <v>13</v>
      </c>
      <c r="D105" s="2">
        <v>45971</v>
      </c>
      <c r="E105" t="s">
        <v>42</v>
      </c>
      <c r="F105" s="2">
        <v>45971</v>
      </c>
      <c r="G105" s="3" t="s">
        <v>538</v>
      </c>
      <c r="H105" s="3" t="s">
        <v>737</v>
      </c>
      <c r="I105" s="5"/>
      <c r="J105" s="6">
        <v>97.8</v>
      </c>
      <c r="K105" s="1"/>
      <c r="L105" s="1"/>
    </row>
    <row r="106" spans="1:12" x14ac:dyDescent="0.2">
      <c r="A106" s="3" t="s">
        <v>12</v>
      </c>
      <c r="B106" t="s">
        <v>95</v>
      </c>
      <c r="C106" t="s">
        <v>13</v>
      </c>
      <c r="D106" s="2">
        <v>45971</v>
      </c>
      <c r="E106" t="s">
        <v>42</v>
      </c>
      <c r="F106" s="2">
        <v>45971</v>
      </c>
      <c r="G106" s="3" t="s">
        <v>538</v>
      </c>
      <c r="H106" s="3" t="s">
        <v>737</v>
      </c>
      <c r="I106" s="5"/>
      <c r="J106" s="6">
        <v>20.149999999999999</v>
      </c>
      <c r="K106" s="1"/>
      <c r="L106" s="1"/>
    </row>
    <row r="107" spans="1:12" x14ac:dyDescent="0.2">
      <c r="A107" s="3" t="s">
        <v>12</v>
      </c>
      <c r="B107" t="s">
        <v>95</v>
      </c>
      <c r="C107" t="s">
        <v>13</v>
      </c>
      <c r="D107" s="2">
        <v>45971</v>
      </c>
      <c r="E107" t="s">
        <v>42</v>
      </c>
      <c r="F107" s="2">
        <v>45971</v>
      </c>
      <c r="G107" s="3" t="s">
        <v>445</v>
      </c>
      <c r="H107" s="3" t="s">
        <v>737</v>
      </c>
      <c r="I107" s="5"/>
      <c r="J107" s="6">
        <v>129.47999999999999</v>
      </c>
      <c r="K107" s="1"/>
      <c r="L107" s="1"/>
    </row>
    <row r="108" spans="1:12" x14ac:dyDescent="0.2">
      <c r="A108" s="3" t="s">
        <v>12</v>
      </c>
      <c r="B108" t="s">
        <v>95</v>
      </c>
      <c r="C108" t="s">
        <v>13</v>
      </c>
      <c r="D108" s="2">
        <v>45971</v>
      </c>
      <c r="E108" t="s">
        <v>42</v>
      </c>
      <c r="F108" s="2">
        <v>45971</v>
      </c>
      <c r="G108" s="3" t="s">
        <v>538</v>
      </c>
      <c r="H108" s="3" t="s">
        <v>737</v>
      </c>
      <c r="I108" s="5"/>
      <c r="J108" s="6">
        <v>119</v>
      </c>
      <c r="K108" s="1"/>
      <c r="L108" s="1"/>
    </row>
    <row r="109" spans="1:12" x14ac:dyDescent="0.2">
      <c r="A109" s="3" t="s">
        <v>12</v>
      </c>
      <c r="B109" t="s">
        <v>95</v>
      </c>
      <c r="C109" t="s">
        <v>13</v>
      </c>
      <c r="D109" s="2">
        <v>45971</v>
      </c>
      <c r="E109" t="s">
        <v>42</v>
      </c>
      <c r="F109" s="2">
        <v>45971</v>
      </c>
      <c r="G109" s="3" t="s">
        <v>739</v>
      </c>
      <c r="H109" s="3" t="s">
        <v>737</v>
      </c>
      <c r="I109" s="5"/>
      <c r="J109" s="6">
        <v>4.53</v>
      </c>
      <c r="K109" s="1"/>
      <c r="L109" s="1"/>
    </row>
    <row r="110" spans="1:12" x14ac:dyDescent="0.2">
      <c r="A110" s="3" t="s">
        <v>12</v>
      </c>
      <c r="B110" t="s">
        <v>95</v>
      </c>
      <c r="C110" t="s">
        <v>13</v>
      </c>
      <c r="D110" s="2">
        <v>45971</v>
      </c>
      <c r="E110" t="s">
        <v>42</v>
      </c>
      <c r="F110" s="2">
        <v>45971</v>
      </c>
      <c r="G110" s="3" t="s">
        <v>458</v>
      </c>
      <c r="H110" s="3" t="s">
        <v>737</v>
      </c>
      <c r="I110" s="5"/>
      <c r="J110" s="6">
        <v>69</v>
      </c>
      <c r="K110" s="1"/>
      <c r="L110" s="1"/>
    </row>
    <row r="111" spans="1:12" x14ac:dyDescent="0.2">
      <c r="A111" s="3" t="s">
        <v>12</v>
      </c>
      <c r="B111" t="s">
        <v>95</v>
      </c>
      <c r="C111" t="s">
        <v>13</v>
      </c>
      <c r="D111" s="2">
        <v>45971</v>
      </c>
      <c r="E111" t="s">
        <v>42</v>
      </c>
      <c r="F111" s="2">
        <v>45971</v>
      </c>
      <c r="G111" s="3" t="s">
        <v>538</v>
      </c>
      <c r="H111" s="3" t="s">
        <v>737</v>
      </c>
      <c r="I111" s="5"/>
      <c r="J111" s="6">
        <v>24.4</v>
      </c>
      <c r="K111" s="1"/>
      <c r="L111" s="1"/>
    </row>
    <row r="112" spans="1:12" x14ac:dyDescent="0.2">
      <c r="A112" s="3" t="s">
        <v>12</v>
      </c>
      <c r="B112" t="s">
        <v>95</v>
      </c>
      <c r="C112" t="s">
        <v>13</v>
      </c>
      <c r="D112" s="2">
        <v>45971</v>
      </c>
      <c r="E112" t="s">
        <v>42</v>
      </c>
      <c r="F112" s="2">
        <v>45971</v>
      </c>
      <c r="G112" s="3" t="s">
        <v>538</v>
      </c>
      <c r="H112" s="3" t="s">
        <v>737</v>
      </c>
      <c r="I112" s="5"/>
      <c r="J112" s="6">
        <v>8</v>
      </c>
      <c r="K112" s="1"/>
      <c r="L112" s="1"/>
    </row>
    <row r="113" spans="1:12" x14ac:dyDescent="0.2">
      <c r="A113" s="3" t="s">
        <v>12</v>
      </c>
      <c r="B113" t="s">
        <v>95</v>
      </c>
      <c r="C113" t="s">
        <v>13</v>
      </c>
      <c r="D113" s="2">
        <v>45971</v>
      </c>
      <c r="E113" t="s">
        <v>42</v>
      </c>
      <c r="F113" s="2">
        <v>45971</v>
      </c>
      <c r="G113" s="3" t="s">
        <v>746</v>
      </c>
      <c r="H113" s="3" t="s">
        <v>737</v>
      </c>
      <c r="I113" s="5"/>
      <c r="J113" s="6">
        <v>178.8</v>
      </c>
      <c r="K113" s="1"/>
      <c r="L113" s="1"/>
    </row>
    <row r="114" spans="1:12" x14ac:dyDescent="0.2">
      <c r="A114" s="3" t="s">
        <v>12</v>
      </c>
      <c r="B114" t="s">
        <v>95</v>
      </c>
      <c r="C114" t="s">
        <v>13</v>
      </c>
      <c r="D114" s="2">
        <v>45971</v>
      </c>
      <c r="E114" t="s">
        <v>42</v>
      </c>
      <c r="F114" s="2">
        <v>45971</v>
      </c>
      <c r="G114" s="3" t="s">
        <v>443</v>
      </c>
      <c r="H114" s="3" t="s">
        <v>737</v>
      </c>
      <c r="I114" s="5"/>
      <c r="J114" s="6">
        <v>22.01</v>
      </c>
      <c r="K114" s="1"/>
      <c r="L114" s="1"/>
    </row>
    <row r="115" spans="1:12" x14ac:dyDescent="0.2">
      <c r="A115" s="3" t="s">
        <v>12</v>
      </c>
      <c r="B115" t="s">
        <v>95</v>
      </c>
      <c r="C115" t="s">
        <v>13</v>
      </c>
      <c r="D115" s="2">
        <v>45971</v>
      </c>
      <c r="E115" t="s">
        <v>42</v>
      </c>
      <c r="F115" s="2">
        <v>45971</v>
      </c>
      <c r="G115" s="3" t="s">
        <v>538</v>
      </c>
      <c r="H115" s="3" t="s">
        <v>737</v>
      </c>
      <c r="I115" s="5"/>
      <c r="J115" s="6">
        <v>330.02</v>
      </c>
      <c r="K115" s="1"/>
      <c r="L115" s="1"/>
    </row>
    <row r="116" spans="1:12" x14ac:dyDescent="0.2">
      <c r="A116" t="s">
        <v>18</v>
      </c>
      <c r="B116" t="s">
        <v>95</v>
      </c>
      <c r="C116" t="s">
        <v>13</v>
      </c>
      <c r="D116" s="2">
        <v>45972</v>
      </c>
      <c r="E116" t="s">
        <v>42</v>
      </c>
      <c r="F116" s="2">
        <v>45972</v>
      </c>
      <c r="G116" s="3" t="s">
        <v>538</v>
      </c>
      <c r="H116" s="3" t="s">
        <v>741</v>
      </c>
      <c r="I116" s="5"/>
      <c r="J116" s="6">
        <v>16.64</v>
      </c>
      <c r="K116" s="1"/>
      <c r="L116" s="1"/>
    </row>
    <row r="117" spans="1:12" x14ac:dyDescent="0.2">
      <c r="A117" t="s">
        <v>18</v>
      </c>
      <c r="B117" t="s">
        <v>95</v>
      </c>
      <c r="C117" t="s">
        <v>13</v>
      </c>
      <c r="D117" s="2">
        <v>45972</v>
      </c>
      <c r="E117" t="s">
        <v>42</v>
      </c>
      <c r="F117" s="2">
        <v>45972</v>
      </c>
      <c r="G117" s="3" t="s">
        <v>458</v>
      </c>
      <c r="H117" s="3" t="s">
        <v>741</v>
      </c>
      <c r="I117" s="5"/>
      <c r="J117" s="6">
        <v>198.5</v>
      </c>
      <c r="K117" s="1"/>
      <c r="L117" s="1"/>
    </row>
    <row r="118" spans="1:12" x14ac:dyDescent="0.2">
      <c r="A118" t="s">
        <v>18</v>
      </c>
      <c r="B118" t="s">
        <v>95</v>
      </c>
      <c r="C118" t="s">
        <v>13</v>
      </c>
      <c r="D118" s="2">
        <v>45972</v>
      </c>
      <c r="E118" t="s">
        <v>42</v>
      </c>
      <c r="F118" s="2">
        <v>45972</v>
      </c>
      <c r="G118" s="3" t="s">
        <v>538</v>
      </c>
      <c r="H118" s="3" t="s">
        <v>741</v>
      </c>
      <c r="I118" s="5"/>
      <c r="J118" s="6">
        <v>53.09</v>
      </c>
      <c r="K118" s="1"/>
      <c r="L118" s="1"/>
    </row>
    <row r="119" spans="1:12" x14ac:dyDescent="0.2">
      <c r="A119" t="s">
        <v>18</v>
      </c>
      <c r="B119" t="s">
        <v>95</v>
      </c>
      <c r="C119" t="s">
        <v>13</v>
      </c>
      <c r="D119" s="2">
        <v>45972</v>
      </c>
      <c r="E119" t="s">
        <v>42</v>
      </c>
      <c r="F119" s="2">
        <v>45972</v>
      </c>
      <c r="G119" s="3" t="s">
        <v>538</v>
      </c>
      <c r="H119" s="3" t="s">
        <v>741</v>
      </c>
      <c r="I119" s="5"/>
      <c r="J119" s="6">
        <v>75.34</v>
      </c>
      <c r="K119" s="1"/>
      <c r="L119" s="1"/>
    </row>
    <row r="120" spans="1:12" x14ac:dyDescent="0.2">
      <c r="A120" t="s">
        <v>18</v>
      </c>
      <c r="B120" t="s">
        <v>95</v>
      </c>
      <c r="C120" t="s">
        <v>13</v>
      </c>
      <c r="D120" s="2">
        <v>45972</v>
      </c>
      <c r="E120" t="s">
        <v>42</v>
      </c>
      <c r="F120" s="2">
        <v>45972</v>
      </c>
      <c r="G120" s="3" t="s">
        <v>570</v>
      </c>
      <c r="H120" s="3" t="s">
        <v>741</v>
      </c>
      <c r="I120" s="5"/>
      <c r="J120" s="6">
        <v>112.38</v>
      </c>
      <c r="K120" s="1"/>
      <c r="L120" s="1"/>
    </row>
    <row r="121" spans="1:12" x14ac:dyDescent="0.2">
      <c r="A121" t="s">
        <v>18</v>
      </c>
      <c r="B121" t="s">
        <v>95</v>
      </c>
      <c r="C121" t="s">
        <v>13</v>
      </c>
      <c r="D121" s="2">
        <v>45972</v>
      </c>
      <c r="E121" t="s">
        <v>42</v>
      </c>
      <c r="F121" s="2">
        <v>45972</v>
      </c>
      <c r="G121" s="3" t="s">
        <v>538</v>
      </c>
      <c r="H121" s="3" t="s">
        <v>741</v>
      </c>
      <c r="I121" s="5"/>
      <c r="J121" s="6">
        <v>61.04</v>
      </c>
      <c r="K121" s="1"/>
      <c r="L121" s="1"/>
    </row>
    <row r="122" spans="1:12" x14ac:dyDescent="0.2">
      <c r="A122" t="s">
        <v>18</v>
      </c>
      <c r="B122" t="s">
        <v>95</v>
      </c>
      <c r="C122" t="s">
        <v>13</v>
      </c>
      <c r="D122" s="2">
        <v>45972</v>
      </c>
      <c r="E122" t="s">
        <v>42</v>
      </c>
      <c r="F122" s="2">
        <v>45972</v>
      </c>
      <c r="G122" s="3" t="s">
        <v>538</v>
      </c>
      <c r="H122" s="3" t="s">
        <v>741</v>
      </c>
      <c r="I122" s="5"/>
      <c r="J122" s="6">
        <v>64.010000000000005</v>
      </c>
      <c r="K122" s="1"/>
      <c r="L122" s="1"/>
    </row>
    <row r="123" spans="1:12" x14ac:dyDescent="0.2">
      <c r="A123" t="s">
        <v>18</v>
      </c>
      <c r="B123" t="s">
        <v>95</v>
      </c>
      <c r="C123" t="s">
        <v>13</v>
      </c>
      <c r="D123" s="2">
        <v>45972</v>
      </c>
      <c r="E123" t="s">
        <v>42</v>
      </c>
      <c r="F123" s="2">
        <v>45972</v>
      </c>
      <c r="G123" s="3" t="s">
        <v>538</v>
      </c>
      <c r="H123" s="3" t="s">
        <v>741</v>
      </c>
      <c r="I123" s="5"/>
      <c r="J123" s="6">
        <v>69.55</v>
      </c>
      <c r="K123" s="1"/>
      <c r="L123" s="1"/>
    </row>
    <row r="124" spans="1:12" x14ac:dyDescent="0.2">
      <c r="A124" t="s">
        <v>18</v>
      </c>
      <c r="B124" t="s">
        <v>95</v>
      </c>
      <c r="C124" t="s">
        <v>13</v>
      </c>
      <c r="D124" s="2">
        <v>45972</v>
      </c>
      <c r="E124" t="s">
        <v>42</v>
      </c>
      <c r="F124" s="2">
        <v>45972</v>
      </c>
      <c r="G124" s="3" t="s">
        <v>538</v>
      </c>
      <c r="H124" s="3" t="s">
        <v>741</v>
      </c>
      <c r="I124" s="5"/>
      <c r="J124" s="6">
        <v>70.790000000000006</v>
      </c>
      <c r="K124" s="1"/>
      <c r="L124" s="1"/>
    </row>
    <row r="125" spans="1:12" x14ac:dyDescent="0.2">
      <c r="A125" t="s">
        <v>18</v>
      </c>
      <c r="B125" t="s">
        <v>95</v>
      </c>
      <c r="C125" t="s">
        <v>13</v>
      </c>
      <c r="D125" s="2">
        <v>45972</v>
      </c>
      <c r="E125" t="s">
        <v>42</v>
      </c>
      <c r="F125" s="2">
        <v>45972</v>
      </c>
      <c r="G125" s="3" t="s">
        <v>538</v>
      </c>
      <c r="H125" s="3" t="s">
        <v>741</v>
      </c>
      <c r="I125" s="5"/>
      <c r="J125" s="6">
        <v>31.29</v>
      </c>
      <c r="K125" s="1"/>
      <c r="L125" s="1"/>
    </row>
    <row r="126" spans="1:12" x14ac:dyDescent="0.2">
      <c r="A126" t="s">
        <v>18</v>
      </c>
      <c r="B126" t="s">
        <v>95</v>
      </c>
      <c r="C126" t="s">
        <v>13</v>
      </c>
      <c r="D126" s="2">
        <v>45972</v>
      </c>
      <c r="E126" t="s">
        <v>42</v>
      </c>
      <c r="F126" s="2">
        <v>45972</v>
      </c>
      <c r="G126" s="3" t="s">
        <v>570</v>
      </c>
      <c r="H126" s="3" t="s">
        <v>741</v>
      </c>
      <c r="I126" s="5"/>
      <c r="J126" s="6">
        <v>128.62</v>
      </c>
      <c r="K126" s="1"/>
      <c r="L126" s="1"/>
    </row>
    <row r="127" spans="1:12" x14ac:dyDescent="0.2">
      <c r="A127" t="s">
        <v>18</v>
      </c>
      <c r="B127" t="s">
        <v>95</v>
      </c>
      <c r="C127" t="s">
        <v>13</v>
      </c>
      <c r="D127" s="2">
        <v>45972</v>
      </c>
      <c r="E127" t="s">
        <v>42</v>
      </c>
      <c r="F127" s="2">
        <v>45972</v>
      </c>
      <c r="G127" s="3" t="s">
        <v>570</v>
      </c>
      <c r="H127" s="3" t="s">
        <v>741</v>
      </c>
      <c r="I127" s="5"/>
      <c r="J127" s="6">
        <v>71.09</v>
      </c>
      <c r="K127" s="1"/>
      <c r="L127" s="1"/>
    </row>
    <row r="128" spans="1:12" x14ac:dyDescent="0.2">
      <c r="A128" t="s">
        <v>18</v>
      </c>
      <c r="B128" t="s">
        <v>95</v>
      </c>
      <c r="C128" t="s">
        <v>13</v>
      </c>
      <c r="D128" s="2">
        <v>45972</v>
      </c>
      <c r="E128" t="s">
        <v>42</v>
      </c>
      <c r="F128" s="2">
        <v>45972</v>
      </c>
      <c r="G128" s="3" t="s">
        <v>538</v>
      </c>
      <c r="H128" s="3" t="s">
        <v>741</v>
      </c>
      <c r="I128" s="5"/>
      <c r="J128" s="6">
        <v>153.83000000000001</v>
      </c>
      <c r="K128" s="1"/>
      <c r="L128" s="1"/>
    </row>
    <row r="129" spans="1:12" x14ac:dyDescent="0.2">
      <c r="A129" t="s">
        <v>18</v>
      </c>
      <c r="B129" t="s">
        <v>95</v>
      </c>
      <c r="C129" t="s">
        <v>13</v>
      </c>
      <c r="D129" s="2">
        <v>45972</v>
      </c>
      <c r="E129" t="s">
        <v>42</v>
      </c>
      <c r="F129" s="2">
        <v>45972</v>
      </c>
      <c r="G129" s="3" t="s">
        <v>633</v>
      </c>
      <c r="H129" s="3" t="s">
        <v>741</v>
      </c>
      <c r="I129" s="5"/>
      <c r="J129" s="6">
        <v>229.9</v>
      </c>
      <c r="K129" s="1"/>
      <c r="L129" s="1"/>
    </row>
    <row r="130" spans="1:12" x14ac:dyDescent="0.2">
      <c r="A130" t="s">
        <v>18</v>
      </c>
      <c r="B130" t="s">
        <v>95</v>
      </c>
      <c r="C130" t="s">
        <v>13</v>
      </c>
      <c r="D130" s="2">
        <v>45972</v>
      </c>
      <c r="E130" t="s">
        <v>42</v>
      </c>
      <c r="F130" s="2">
        <v>45972</v>
      </c>
      <c r="G130" s="3" t="s">
        <v>570</v>
      </c>
      <c r="H130" s="3" t="s">
        <v>741</v>
      </c>
      <c r="I130" s="5"/>
      <c r="J130" s="6">
        <v>49</v>
      </c>
      <c r="K130" s="1"/>
      <c r="L130" s="1"/>
    </row>
    <row r="131" spans="1:12" x14ac:dyDescent="0.2">
      <c r="A131" t="s">
        <v>18</v>
      </c>
      <c r="B131" t="s">
        <v>95</v>
      </c>
      <c r="C131" t="s">
        <v>13</v>
      </c>
      <c r="D131" s="2">
        <v>45972</v>
      </c>
      <c r="E131" t="s">
        <v>42</v>
      </c>
      <c r="F131" s="2">
        <v>45972</v>
      </c>
      <c r="G131" s="3" t="s">
        <v>570</v>
      </c>
      <c r="H131" s="3" t="s">
        <v>741</v>
      </c>
      <c r="I131" s="5"/>
      <c r="J131" s="6">
        <v>9</v>
      </c>
      <c r="K131" s="1"/>
      <c r="L131" s="1"/>
    </row>
    <row r="132" spans="1:12" x14ac:dyDescent="0.2">
      <c r="A132" t="s">
        <v>18</v>
      </c>
      <c r="B132" t="s">
        <v>95</v>
      </c>
      <c r="C132" t="s">
        <v>13</v>
      </c>
      <c r="D132" s="2">
        <v>45972</v>
      </c>
      <c r="E132" t="s">
        <v>42</v>
      </c>
      <c r="F132" s="2">
        <v>45972</v>
      </c>
      <c r="G132" s="3" t="s">
        <v>570</v>
      </c>
      <c r="H132" s="3" t="s">
        <v>741</v>
      </c>
      <c r="I132" s="5"/>
      <c r="J132" s="6">
        <v>28.48</v>
      </c>
      <c r="K132" s="1"/>
      <c r="L132" s="1"/>
    </row>
    <row r="133" spans="1:12" x14ac:dyDescent="0.2">
      <c r="A133" t="s">
        <v>18</v>
      </c>
      <c r="B133" t="s">
        <v>95</v>
      </c>
      <c r="C133" t="s">
        <v>13</v>
      </c>
      <c r="D133" s="2">
        <v>45972</v>
      </c>
      <c r="E133" t="s">
        <v>42</v>
      </c>
      <c r="F133" s="2">
        <v>45972</v>
      </c>
      <c r="G133" s="3" t="s">
        <v>570</v>
      </c>
      <c r="H133" s="3" t="s">
        <v>741</v>
      </c>
      <c r="I133" s="5"/>
      <c r="J133" s="6">
        <v>15.35</v>
      </c>
      <c r="K133" s="1"/>
      <c r="L133" s="1"/>
    </row>
    <row r="134" spans="1:12" x14ac:dyDescent="0.2">
      <c r="A134" t="s">
        <v>18</v>
      </c>
      <c r="B134" t="s">
        <v>95</v>
      </c>
      <c r="C134" t="s">
        <v>13</v>
      </c>
      <c r="D134" s="2">
        <v>45972</v>
      </c>
      <c r="E134" t="s">
        <v>42</v>
      </c>
      <c r="F134" s="2">
        <v>45972</v>
      </c>
      <c r="G134" s="3" t="s">
        <v>469</v>
      </c>
      <c r="H134" s="3" t="s">
        <v>741</v>
      </c>
      <c r="I134" s="5"/>
      <c r="J134" s="6">
        <v>9</v>
      </c>
      <c r="K134" s="1"/>
      <c r="L134" s="1"/>
    </row>
    <row r="135" spans="1:12" x14ac:dyDescent="0.2">
      <c r="A135" t="s">
        <v>18</v>
      </c>
      <c r="B135" t="s">
        <v>95</v>
      </c>
      <c r="C135" t="s">
        <v>13</v>
      </c>
      <c r="D135" s="2">
        <v>45972</v>
      </c>
      <c r="E135" t="s">
        <v>42</v>
      </c>
      <c r="F135" s="2">
        <v>45972</v>
      </c>
      <c r="G135" s="3" t="s">
        <v>570</v>
      </c>
      <c r="H135" s="3" t="s">
        <v>741</v>
      </c>
      <c r="I135" s="5"/>
      <c r="J135" s="6">
        <v>148.03</v>
      </c>
      <c r="K135" s="1"/>
      <c r="L135" s="1"/>
    </row>
    <row r="136" spans="1:12" x14ac:dyDescent="0.2">
      <c r="A136" t="s">
        <v>18</v>
      </c>
      <c r="B136" t="s">
        <v>95</v>
      </c>
      <c r="C136" t="s">
        <v>13</v>
      </c>
      <c r="D136" s="2">
        <v>45972</v>
      </c>
      <c r="E136" t="s">
        <v>42</v>
      </c>
      <c r="F136" s="2">
        <v>45972</v>
      </c>
      <c r="G136" s="3" t="s">
        <v>443</v>
      </c>
      <c r="H136" s="3" t="s">
        <v>741</v>
      </c>
      <c r="I136" s="5"/>
      <c r="J136" s="6">
        <v>45.07</v>
      </c>
      <c r="K136" s="1"/>
      <c r="L136" s="1"/>
    </row>
    <row r="137" spans="1:12" x14ac:dyDescent="0.2">
      <c r="A137" t="s">
        <v>18</v>
      </c>
      <c r="B137" t="s">
        <v>95</v>
      </c>
      <c r="C137" t="s">
        <v>13</v>
      </c>
      <c r="D137" s="2">
        <v>45972</v>
      </c>
      <c r="E137" t="s">
        <v>42</v>
      </c>
      <c r="F137" s="2">
        <v>45972</v>
      </c>
      <c r="G137" s="3" t="s">
        <v>443</v>
      </c>
      <c r="H137" s="3" t="s">
        <v>741</v>
      </c>
      <c r="I137" s="5"/>
      <c r="J137" s="6">
        <v>21.06</v>
      </c>
      <c r="K137" s="1"/>
      <c r="L137" s="1"/>
    </row>
    <row r="138" spans="1:12" x14ac:dyDescent="0.2">
      <c r="A138" t="s">
        <v>18</v>
      </c>
      <c r="B138" t="s">
        <v>95</v>
      </c>
      <c r="C138" t="s">
        <v>13</v>
      </c>
      <c r="D138" s="2">
        <v>45972</v>
      </c>
      <c r="E138" t="s">
        <v>42</v>
      </c>
      <c r="F138" s="2">
        <v>45972</v>
      </c>
      <c r="G138" s="3" t="s">
        <v>544</v>
      </c>
      <c r="H138" s="3" t="s">
        <v>741</v>
      </c>
      <c r="I138" s="5"/>
      <c r="J138" s="6">
        <v>59.22</v>
      </c>
      <c r="K138" s="1"/>
      <c r="L138" s="1"/>
    </row>
    <row r="139" spans="1:12" x14ac:dyDescent="0.2">
      <c r="A139" t="s">
        <v>18</v>
      </c>
      <c r="B139" t="s">
        <v>95</v>
      </c>
      <c r="C139" t="s">
        <v>13</v>
      </c>
      <c r="D139" s="2">
        <v>45972</v>
      </c>
      <c r="E139" t="s">
        <v>42</v>
      </c>
      <c r="F139" s="2">
        <v>45972</v>
      </c>
      <c r="G139" s="3" t="s">
        <v>443</v>
      </c>
      <c r="H139" s="3" t="s">
        <v>741</v>
      </c>
      <c r="I139" s="5"/>
      <c r="J139" s="6">
        <v>43.58</v>
      </c>
      <c r="K139" s="1"/>
      <c r="L139" s="1"/>
    </row>
    <row r="140" spans="1:12" x14ac:dyDescent="0.2">
      <c r="A140" t="s">
        <v>18</v>
      </c>
      <c r="B140" t="s">
        <v>95</v>
      </c>
      <c r="C140" t="s">
        <v>13</v>
      </c>
      <c r="D140" s="2">
        <v>45972</v>
      </c>
      <c r="E140" t="s">
        <v>42</v>
      </c>
      <c r="F140" s="2">
        <v>45972</v>
      </c>
      <c r="G140" s="3" t="s">
        <v>570</v>
      </c>
      <c r="H140" s="3" t="s">
        <v>741</v>
      </c>
      <c r="I140" s="5"/>
      <c r="J140" s="6">
        <v>123.4</v>
      </c>
      <c r="K140" s="1"/>
      <c r="L140" s="1"/>
    </row>
    <row r="141" spans="1:12" x14ac:dyDescent="0.2">
      <c r="A141" t="s">
        <v>18</v>
      </c>
      <c r="B141" t="s">
        <v>95</v>
      </c>
      <c r="C141" t="s">
        <v>13</v>
      </c>
      <c r="D141" s="2">
        <v>45972</v>
      </c>
      <c r="E141" t="s">
        <v>42</v>
      </c>
      <c r="F141" s="2">
        <v>45972</v>
      </c>
      <c r="G141" s="3" t="s">
        <v>443</v>
      </c>
      <c r="H141" s="3" t="s">
        <v>741</v>
      </c>
      <c r="I141" s="5"/>
      <c r="J141" s="6">
        <v>65.42</v>
      </c>
      <c r="K141" s="1"/>
      <c r="L141" s="1"/>
    </row>
    <row r="142" spans="1:12" x14ac:dyDescent="0.2">
      <c r="A142" t="s">
        <v>18</v>
      </c>
      <c r="B142" t="s">
        <v>95</v>
      </c>
      <c r="C142" t="s">
        <v>13</v>
      </c>
      <c r="D142" s="2">
        <v>45972</v>
      </c>
      <c r="E142" t="s">
        <v>42</v>
      </c>
      <c r="F142" s="2">
        <v>45972</v>
      </c>
      <c r="G142" s="3" t="s">
        <v>538</v>
      </c>
      <c r="H142" s="3" t="s">
        <v>741</v>
      </c>
      <c r="I142" s="5"/>
      <c r="J142" s="6">
        <v>24</v>
      </c>
      <c r="K142" s="1"/>
      <c r="L142" s="1"/>
    </row>
    <row r="143" spans="1:12" x14ac:dyDescent="0.2">
      <c r="A143" t="s">
        <v>18</v>
      </c>
      <c r="B143" t="s">
        <v>95</v>
      </c>
      <c r="C143" t="s">
        <v>13</v>
      </c>
      <c r="D143" s="2">
        <v>45972</v>
      </c>
      <c r="E143" t="s">
        <v>42</v>
      </c>
      <c r="F143" s="2">
        <v>45972</v>
      </c>
      <c r="G143" s="3" t="s">
        <v>570</v>
      </c>
      <c r="H143" s="3" t="s">
        <v>741</v>
      </c>
      <c r="I143" s="5"/>
      <c r="J143" s="6">
        <v>40.130000000000003</v>
      </c>
      <c r="K143" s="1"/>
      <c r="L143" s="1"/>
    </row>
    <row r="144" spans="1:12" x14ac:dyDescent="0.2">
      <c r="A144" t="s">
        <v>18</v>
      </c>
      <c r="B144" t="s">
        <v>95</v>
      </c>
      <c r="C144" t="s">
        <v>13</v>
      </c>
      <c r="D144" s="2">
        <v>45972</v>
      </c>
      <c r="E144" t="s">
        <v>42</v>
      </c>
      <c r="F144" s="2">
        <v>45972</v>
      </c>
      <c r="G144" s="3" t="s">
        <v>570</v>
      </c>
      <c r="H144" s="3" t="s">
        <v>741</v>
      </c>
      <c r="I144" s="5"/>
      <c r="J144" s="6">
        <v>200.03</v>
      </c>
      <c r="K144" s="1"/>
      <c r="L144" s="1"/>
    </row>
    <row r="145" spans="1:12" x14ac:dyDescent="0.2">
      <c r="A145" t="s">
        <v>18</v>
      </c>
      <c r="B145" t="s">
        <v>95</v>
      </c>
      <c r="C145" t="s">
        <v>13</v>
      </c>
      <c r="D145" s="2">
        <v>45972</v>
      </c>
      <c r="E145" t="s">
        <v>42</v>
      </c>
      <c r="F145" s="2">
        <v>45972</v>
      </c>
      <c r="G145" s="3" t="s">
        <v>544</v>
      </c>
      <c r="H145" s="3" t="s">
        <v>741</v>
      </c>
      <c r="I145" s="5"/>
      <c r="J145" s="6">
        <v>55</v>
      </c>
      <c r="K145" s="1"/>
      <c r="L145" s="1"/>
    </row>
    <row r="146" spans="1:12" x14ac:dyDescent="0.2">
      <c r="A146" t="s">
        <v>18</v>
      </c>
      <c r="B146" t="s">
        <v>95</v>
      </c>
      <c r="C146" t="s">
        <v>13</v>
      </c>
      <c r="D146" s="2">
        <v>45972</v>
      </c>
      <c r="E146" t="s">
        <v>42</v>
      </c>
      <c r="F146" s="2">
        <v>45972</v>
      </c>
      <c r="G146" s="3" t="s">
        <v>570</v>
      </c>
      <c r="H146" s="3" t="s">
        <v>741</v>
      </c>
      <c r="I146" s="5"/>
      <c r="J146" s="6">
        <v>57</v>
      </c>
      <c r="K146" s="1"/>
      <c r="L146" s="1"/>
    </row>
    <row r="147" spans="1:12" x14ac:dyDescent="0.2">
      <c r="A147" t="s">
        <v>18</v>
      </c>
      <c r="B147" t="s">
        <v>95</v>
      </c>
      <c r="C147" t="s">
        <v>13</v>
      </c>
      <c r="D147" s="2">
        <v>45972</v>
      </c>
      <c r="E147" t="s">
        <v>42</v>
      </c>
      <c r="F147" s="2">
        <v>45972</v>
      </c>
      <c r="G147" s="3" t="s">
        <v>538</v>
      </c>
      <c r="H147" s="3" t="s">
        <v>741</v>
      </c>
      <c r="I147" s="5"/>
      <c r="J147" s="6">
        <v>40</v>
      </c>
      <c r="K147" s="1"/>
      <c r="L147" s="1"/>
    </row>
    <row r="148" spans="1:12" x14ac:dyDescent="0.2">
      <c r="A148" t="s">
        <v>18</v>
      </c>
      <c r="B148" t="s">
        <v>95</v>
      </c>
      <c r="C148" t="s">
        <v>13</v>
      </c>
      <c r="D148" s="2">
        <v>45972</v>
      </c>
      <c r="E148" t="s">
        <v>42</v>
      </c>
      <c r="F148" s="2">
        <v>45972</v>
      </c>
      <c r="G148" s="3" t="s">
        <v>443</v>
      </c>
      <c r="H148" s="3" t="s">
        <v>741</v>
      </c>
      <c r="I148" s="5"/>
      <c r="J148" s="6">
        <v>41.77</v>
      </c>
      <c r="K148" s="1"/>
      <c r="L148" s="1"/>
    </row>
    <row r="149" spans="1:12" x14ac:dyDescent="0.2">
      <c r="A149" t="s">
        <v>18</v>
      </c>
      <c r="B149" t="s">
        <v>95</v>
      </c>
      <c r="C149" t="s">
        <v>13</v>
      </c>
      <c r="D149" s="2">
        <v>45972</v>
      </c>
      <c r="E149" t="s">
        <v>42</v>
      </c>
      <c r="F149" s="2">
        <v>45972</v>
      </c>
      <c r="G149" s="3" t="s">
        <v>570</v>
      </c>
      <c r="H149" s="3" t="s">
        <v>741</v>
      </c>
      <c r="I149" s="5"/>
      <c r="J149" s="6">
        <v>3.2</v>
      </c>
      <c r="K149" s="1"/>
      <c r="L149" s="1"/>
    </row>
    <row r="150" spans="1:12" x14ac:dyDescent="0.2">
      <c r="A150" t="s">
        <v>18</v>
      </c>
      <c r="B150" t="s">
        <v>95</v>
      </c>
      <c r="C150" t="s">
        <v>13</v>
      </c>
      <c r="D150" s="2">
        <v>45972</v>
      </c>
      <c r="E150" t="s">
        <v>42</v>
      </c>
      <c r="F150" s="2">
        <v>45972</v>
      </c>
      <c r="G150" s="3" t="s">
        <v>443</v>
      </c>
      <c r="H150" s="3" t="s">
        <v>741</v>
      </c>
      <c r="I150" s="5"/>
      <c r="J150" s="6">
        <v>25.6</v>
      </c>
      <c r="K150" s="1"/>
      <c r="L150" s="1"/>
    </row>
    <row r="151" spans="1:12" x14ac:dyDescent="0.2">
      <c r="A151" t="s">
        <v>18</v>
      </c>
      <c r="B151" t="s">
        <v>95</v>
      </c>
      <c r="C151" t="s">
        <v>13</v>
      </c>
      <c r="D151" s="2">
        <v>45972</v>
      </c>
      <c r="E151" t="s">
        <v>42</v>
      </c>
      <c r="F151" s="2">
        <v>45972</v>
      </c>
      <c r="G151" s="3" t="s">
        <v>443</v>
      </c>
      <c r="H151" s="3" t="s">
        <v>741</v>
      </c>
      <c r="I151" s="5"/>
      <c r="J151" s="6">
        <v>17.170000000000002</v>
      </c>
      <c r="K151" s="1"/>
      <c r="L151" s="1"/>
    </row>
    <row r="152" spans="1:12" x14ac:dyDescent="0.2">
      <c r="A152" t="s">
        <v>18</v>
      </c>
      <c r="B152" t="s">
        <v>95</v>
      </c>
      <c r="C152" t="s">
        <v>13</v>
      </c>
      <c r="D152" s="2">
        <v>45972</v>
      </c>
      <c r="E152" t="s">
        <v>42</v>
      </c>
      <c r="F152" s="2">
        <v>45972</v>
      </c>
      <c r="G152" s="3" t="s">
        <v>443</v>
      </c>
      <c r="H152" s="3" t="s">
        <v>741</v>
      </c>
      <c r="I152" s="5"/>
      <c r="J152" s="6">
        <v>19.22</v>
      </c>
      <c r="K152" s="1"/>
      <c r="L152" s="1"/>
    </row>
    <row r="153" spans="1:12" x14ac:dyDescent="0.2">
      <c r="A153" t="s">
        <v>18</v>
      </c>
      <c r="B153" t="s">
        <v>95</v>
      </c>
      <c r="C153" t="s">
        <v>13</v>
      </c>
      <c r="D153" s="2">
        <v>45972</v>
      </c>
      <c r="E153" t="s">
        <v>42</v>
      </c>
      <c r="F153" s="2">
        <v>45972</v>
      </c>
      <c r="G153" s="3" t="s">
        <v>469</v>
      </c>
      <c r="H153" s="3" t="s">
        <v>741</v>
      </c>
      <c r="I153" s="5"/>
      <c r="J153" s="6">
        <v>87.2</v>
      </c>
      <c r="K153" s="1"/>
      <c r="L153" s="1"/>
    </row>
    <row r="154" spans="1:12" x14ac:dyDescent="0.2">
      <c r="A154" t="s">
        <v>18</v>
      </c>
      <c r="B154" t="s">
        <v>95</v>
      </c>
      <c r="C154" t="s">
        <v>13</v>
      </c>
      <c r="D154" s="2">
        <v>45975</v>
      </c>
      <c r="E154" t="s">
        <v>42</v>
      </c>
      <c r="F154" s="2">
        <v>45975</v>
      </c>
      <c r="G154" s="3" t="s">
        <v>570</v>
      </c>
      <c r="H154" s="3" t="s">
        <v>741</v>
      </c>
      <c r="I154" s="5"/>
      <c r="J154" s="6">
        <v>37</v>
      </c>
      <c r="K154" s="1"/>
      <c r="L154" s="1"/>
    </row>
    <row r="155" spans="1:12" x14ac:dyDescent="0.2">
      <c r="A155" t="s">
        <v>18</v>
      </c>
      <c r="B155" t="s">
        <v>95</v>
      </c>
      <c r="C155" t="s">
        <v>13</v>
      </c>
      <c r="D155" s="2">
        <v>45975</v>
      </c>
      <c r="E155" t="s">
        <v>42</v>
      </c>
      <c r="F155" s="2">
        <v>45975</v>
      </c>
      <c r="G155" s="3" t="s">
        <v>538</v>
      </c>
      <c r="H155" s="3" t="s">
        <v>741</v>
      </c>
      <c r="I155" s="5"/>
      <c r="J155" s="6">
        <v>23</v>
      </c>
      <c r="K155" s="1"/>
      <c r="L155" s="1"/>
    </row>
    <row r="156" spans="1:12" x14ac:dyDescent="0.2">
      <c r="A156" t="s">
        <v>18</v>
      </c>
      <c r="B156" t="s">
        <v>95</v>
      </c>
      <c r="C156" t="s">
        <v>13</v>
      </c>
      <c r="D156" s="2">
        <v>45975</v>
      </c>
      <c r="E156" t="s">
        <v>42</v>
      </c>
      <c r="F156" s="2">
        <v>45975</v>
      </c>
      <c r="G156" s="3" t="s">
        <v>735</v>
      </c>
      <c r="H156" s="3" t="s">
        <v>742</v>
      </c>
      <c r="I156" s="5"/>
      <c r="J156" s="6">
        <v>25.12</v>
      </c>
      <c r="K156" s="1"/>
      <c r="L156" s="1"/>
    </row>
    <row r="157" spans="1:12" x14ac:dyDescent="0.2">
      <c r="A157" t="s">
        <v>18</v>
      </c>
      <c r="B157" t="s">
        <v>95</v>
      </c>
      <c r="C157" t="s">
        <v>13</v>
      </c>
      <c r="D157" s="2">
        <v>45975</v>
      </c>
      <c r="E157" t="s">
        <v>42</v>
      </c>
      <c r="F157" s="2">
        <v>45975</v>
      </c>
      <c r="G157" s="3" t="s">
        <v>735</v>
      </c>
      <c r="H157" s="3" t="s">
        <v>742</v>
      </c>
      <c r="I157" s="5"/>
      <c r="J157" s="6">
        <v>55.38</v>
      </c>
      <c r="K157" s="1"/>
      <c r="L157" s="1"/>
    </row>
    <row r="158" spans="1:12" x14ac:dyDescent="0.2">
      <c r="A158" t="s">
        <v>18</v>
      </c>
      <c r="B158" t="s">
        <v>95</v>
      </c>
      <c r="C158" t="s">
        <v>13</v>
      </c>
      <c r="D158" s="2">
        <v>45975</v>
      </c>
      <c r="E158" t="s">
        <v>42</v>
      </c>
      <c r="F158" s="2">
        <v>45975</v>
      </c>
      <c r="G158" s="3" t="s">
        <v>735</v>
      </c>
      <c r="H158" s="3" t="s">
        <v>742</v>
      </c>
      <c r="I158" s="5"/>
      <c r="J158" s="6">
        <v>90</v>
      </c>
      <c r="K158" s="1"/>
      <c r="L158" s="1"/>
    </row>
    <row r="159" spans="1:12" x14ac:dyDescent="0.2">
      <c r="A159" t="s">
        <v>18</v>
      </c>
      <c r="B159" t="s">
        <v>95</v>
      </c>
      <c r="C159" t="s">
        <v>13</v>
      </c>
      <c r="D159" s="2">
        <v>45975</v>
      </c>
      <c r="E159" t="s">
        <v>42</v>
      </c>
      <c r="F159" s="2">
        <v>45975</v>
      </c>
      <c r="G159" s="3" t="s">
        <v>735</v>
      </c>
      <c r="H159" s="3" t="s">
        <v>742</v>
      </c>
      <c r="I159" s="5"/>
      <c r="J159" s="6">
        <v>56.18</v>
      </c>
      <c r="K159" s="1"/>
      <c r="L159" s="1"/>
    </row>
    <row r="160" spans="1:12" x14ac:dyDescent="0.2">
      <c r="A160" t="s">
        <v>18</v>
      </c>
      <c r="B160" t="s">
        <v>95</v>
      </c>
      <c r="C160" t="s">
        <v>13</v>
      </c>
      <c r="D160" s="2">
        <v>45975</v>
      </c>
      <c r="E160" t="s">
        <v>42</v>
      </c>
      <c r="F160" s="2">
        <v>45975</v>
      </c>
      <c r="G160" s="3" t="s">
        <v>735</v>
      </c>
      <c r="H160" s="3" t="s">
        <v>742</v>
      </c>
      <c r="I160" s="5"/>
      <c r="J160" s="6">
        <v>54.33</v>
      </c>
      <c r="K160" s="1"/>
      <c r="L160" s="1"/>
    </row>
    <row r="161" spans="1:12" x14ac:dyDescent="0.2">
      <c r="A161" t="s">
        <v>18</v>
      </c>
      <c r="B161" t="s">
        <v>95</v>
      </c>
      <c r="C161" t="s">
        <v>13</v>
      </c>
      <c r="D161" s="2">
        <v>45975</v>
      </c>
      <c r="E161" t="s">
        <v>42</v>
      </c>
      <c r="F161" s="2">
        <v>45975</v>
      </c>
      <c r="G161" s="3" t="s">
        <v>735</v>
      </c>
      <c r="H161" s="3" t="s">
        <v>742</v>
      </c>
      <c r="I161" s="5"/>
      <c r="J161" s="6">
        <v>42.16</v>
      </c>
      <c r="K161" s="1"/>
      <c r="L161" s="1"/>
    </row>
    <row r="162" spans="1:12" x14ac:dyDescent="0.2">
      <c r="A162" t="s">
        <v>18</v>
      </c>
      <c r="B162" t="s">
        <v>95</v>
      </c>
      <c r="C162" t="s">
        <v>13</v>
      </c>
      <c r="D162" s="2">
        <v>45975</v>
      </c>
      <c r="E162" t="s">
        <v>42</v>
      </c>
      <c r="F162" s="2">
        <v>45975</v>
      </c>
      <c r="G162" s="3" t="s">
        <v>735</v>
      </c>
      <c r="H162" s="3" t="s">
        <v>742</v>
      </c>
      <c r="I162" s="5"/>
      <c r="J162" s="6">
        <v>32.49</v>
      </c>
      <c r="K162" s="1"/>
      <c r="L162" s="1"/>
    </row>
    <row r="163" spans="1:12" x14ac:dyDescent="0.2">
      <c r="A163" t="s">
        <v>18</v>
      </c>
      <c r="B163" t="s">
        <v>95</v>
      </c>
      <c r="C163" t="s">
        <v>13</v>
      </c>
      <c r="D163" s="2">
        <v>45975</v>
      </c>
      <c r="E163" t="s">
        <v>42</v>
      </c>
      <c r="F163" s="2">
        <v>45975</v>
      </c>
      <c r="G163" s="3" t="s">
        <v>735</v>
      </c>
      <c r="H163" s="3" t="s">
        <v>742</v>
      </c>
      <c r="I163" s="5"/>
      <c r="J163" s="6">
        <v>59.95</v>
      </c>
      <c r="K163" s="1"/>
      <c r="L163" s="1"/>
    </row>
    <row r="164" spans="1:12" x14ac:dyDescent="0.2">
      <c r="A164" t="s">
        <v>18</v>
      </c>
      <c r="B164" t="s">
        <v>95</v>
      </c>
      <c r="C164" t="s">
        <v>13</v>
      </c>
      <c r="D164" s="2">
        <v>45975</v>
      </c>
      <c r="E164" t="s">
        <v>42</v>
      </c>
      <c r="F164" s="2">
        <v>45975</v>
      </c>
      <c r="G164" s="3" t="s">
        <v>693</v>
      </c>
      <c r="H164" s="3" t="s">
        <v>742</v>
      </c>
      <c r="I164" s="5"/>
      <c r="J164" s="6">
        <v>10.47</v>
      </c>
      <c r="K164" s="1"/>
      <c r="L164" s="1"/>
    </row>
    <row r="165" spans="1:12" x14ac:dyDescent="0.2">
      <c r="A165" t="s">
        <v>18</v>
      </c>
      <c r="B165" t="s">
        <v>95</v>
      </c>
      <c r="C165" t="s">
        <v>13</v>
      </c>
      <c r="D165" s="2">
        <v>45978</v>
      </c>
      <c r="E165" t="s">
        <v>42</v>
      </c>
      <c r="F165" s="2">
        <v>45978</v>
      </c>
      <c r="G165" s="3" t="s">
        <v>693</v>
      </c>
      <c r="H165" s="3" t="s">
        <v>743</v>
      </c>
      <c r="I165" s="5"/>
      <c r="J165" s="6">
        <v>16.989999999999998</v>
      </c>
      <c r="K165" s="1"/>
      <c r="L165" s="1"/>
    </row>
    <row r="166" spans="1:12" x14ac:dyDescent="0.2">
      <c r="A166" t="s">
        <v>18</v>
      </c>
      <c r="B166" t="s">
        <v>95</v>
      </c>
      <c r="C166" t="s">
        <v>13</v>
      </c>
      <c r="D166" s="2">
        <v>45978</v>
      </c>
      <c r="E166" t="s">
        <v>42</v>
      </c>
      <c r="F166" s="2">
        <v>45978</v>
      </c>
      <c r="G166" s="3" t="s">
        <v>633</v>
      </c>
      <c r="H166" s="3" t="s">
        <v>743</v>
      </c>
      <c r="I166" s="5"/>
      <c r="J166" s="6">
        <v>221.08</v>
      </c>
      <c r="K166" s="1"/>
      <c r="L166" s="1"/>
    </row>
    <row r="167" spans="1:12" x14ac:dyDescent="0.2">
      <c r="A167" t="s">
        <v>18</v>
      </c>
      <c r="B167" t="s">
        <v>95</v>
      </c>
      <c r="C167" t="s">
        <v>13</v>
      </c>
      <c r="D167" s="2">
        <v>45978</v>
      </c>
      <c r="E167" t="s">
        <v>42</v>
      </c>
      <c r="F167" s="2">
        <v>45978</v>
      </c>
      <c r="G167" s="3" t="s">
        <v>445</v>
      </c>
      <c r="H167" s="3" t="s">
        <v>743</v>
      </c>
      <c r="I167" s="5"/>
      <c r="J167" s="6">
        <v>58</v>
      </c>
      <c r="K167" s="1"/>
      <c r="L167" s="1"/>
    </row>
    <row r="168" spans="1:12" x14ac:dyDescent="0.2">
      <c r="A168" t="s">
        <v>18</v>
      </c>
      <c r="B168" t="s">
        <v>95</v>
      </c>
      <c r="C168" t="s">
        <v>13</v>
      </c>
      <c r="D168" s="2">
        <v>45978</v>
      </c>
      <c r="E168" t="s">
        <v>42</v>
      </c>
      <c r="F168" s="2">
        <v>45978</v>
      </c>
      <c r="G168" s="3" t="s">
        <v>538</v>
      </c>
      <c r="H168" s="3" t="s">
        <v>743</v>
      </c>
      <c r="I168" s="5"/>
      <c r="J168" s="6">
        <v>248.6</v>
      </c>
      <c r="K168" s="1"/>
      <c r="L168" s="1"/>
    </row>
    <row r="169" spans="1:12" x14ac:dyDescent="0.2">
      <c r="A169" t="s">
        <v>18</v>
      </c>
      <c r="B169" t="s">
        <v>95</v>
      </c>
      <c r="C169" t="s">
        <v>13</v>
      </c>
      <c r="D169" s="2">
        <v>45979</v>
      </c>
      <c r="E169" t="s">
        <v>42</v>
      </c>
      <c r="F169" s="2">
        <v>45979</v>
      </c>
      <c r="G169" s="3" t="s">
        <v>538</v>
      </c>
      <c r="H169" s="3" t="s">
        <v>744</v>
      </c>
      <c r="I169" s="5"/>
      <c r="J169" s="6">
        <v>500</v>
      </c>
      <c r="K169" s="1"/>
      <c r="L169" s="1"/>
    </row>
    <row r="170" spans="1:12" x14ac:dyDescent="0.2">
      <c r="A170" t="s">
        <v>18</v>
      </c>
      <c r="B170" t="s">
        <v>95</v>
      </c>
      <c r="C170" t="s">
        <v>13</v>
      </c>
      <c r="D170" t="s">
        <v>65</v>
      </c>
      <c r="E170" t="s">
        <v>64</v>
      </c>
      <c r="F170" t="s">
        <v>65</v>
      </c>
      <c r="G170" s="3" t="s">
        <v>458</v>
      </c>
      <c r="H170" s="3" t="s">
        <v>737</v>
      </c>
      <c r="I170" s="5"/>
      <c r="J170" s="6">
        <v>329.06</v>
      </c>
      <c r="K170" s="1"/>
      <c r="L170" s="1"/>
    </row>
    <row r="171" spans="1:12" x14ac:dyDescent="0.2">
      <c r="A171" t="s">
        <v>18</v>
      </c>
      <c r="B171" t="s">
        <v>95</v>
      </c>
      <c r="C171" t="s">
        <v>13</v>
      </c>
      <c r="D171" t="s">
        <v>65</v>
      </c>
      <c r="E171" t="s">
        <v>64</v>
      </c>
      <c r="F171" t="s">
        <v>65</v>
      </c>
      <c r="G171" s="3" t="s">
        <v>570</v>
      </c>
      <c r="H171" s="3" t="s">
        <v>737</v>
      </c>
      <c r="I171" s="5"/>
      <c r="J171" s="6">
        <v>127.85</v>
      </c>
      <c r="K171" s="1"/>
      <c r="L171" s="1"/>
    </row>
    <row r="172" spans="1:12" x14ac:dyDescent="0.2">
      <c r="A172" t="s">
        <v>18</v>
      </c>
      <c r="B172" t="s">
        <v>95</v>
      </c>
      <c r="C172" t="s">
        <v>13</v>
      </c>
      <c r="D172" t="s">
        <v>65</v>
      </c>
      <c r="E172" t="s">
        <v>64</v>
      </c>
      <c r="F172" t="s">
        <v>65</v>
      </c>
      <c r="G172" s="3" t="s">
        <v>735</v>
      </c>
      <c r="H172" s="3" t="s">
        <v>737</v>
      </c>
      <c r="I172" s="5"/>
      <c r="J172" s="6">
        <v>91.67</v>
      </c>
      <c r="K172" s="1"/>
      <c r="L172" s="1"/>
    </row>
    <row r="173" spans="1:12" x14ac:dyDescent="0.2">
      <c r="A173" t="s">
        <v>18</v>
      </c>
      <c r="B173" t="s">
        <v>95</v>
      </c>
      <c r="C173" t="s">
        <v>13</v>
      </c>
      <c r="D173" t="s">
        <v>65</v>
      </c>
      <c r="E173" t="s">
        <v>64</v>
      </c>
      <c r="F173" t="s">
        <v>65</v>
      </c>
      <c r="G173" s="3" t="s">
        <v>538</v>
      </c>
      <c r="H173" s="3" t="s">
        <v>737</v>
      </c>
      <c r="I173" s="5"/>
      <c r="J173" s="6">
        <v>24.34</v>
      </c>
      <c r="K173" s="1"/>
      <c r="L173" s="1"/>
    </row>
    <row r="174" spans="1:12" x14ac:dyDescent="0.2">
      <c r="A174" t="s">
        <v>18</v>
      </c>
      <c r="B174" t="s">
        <v>95</v>
      </c>
      <c r="C174" t="s">
        <v>13</v>
      </c>
      <c r="D174" t="s">
        <v>65</v>
      </c>
      <c r="E174" t="s">
        <v>64</v>
      </c>
      <c r="F174" t="s">
        <v>65</v>
      </c>
      <c r="G174" s="3" t="s">
        <v>570</v>
      </c>
      <c r="H174" s="3" t="s">
        <v>737</v>
      </c>
      <c r="I174" s="5"/>
      <c r="J174" s="6">
        <v>54.31</v>
      </c>
      <c r="K174" s="1"/>
      <c r="L174" s="1"/>
    </row>
    <row r="175" spans="1:12" x14ac:dyDescent="0.2">
      <c r="A175" t="s">
        <v>18</v>
      </c>
      <c r="B175" t="s">
        <v>95</v>
      </c>
      <c r="C175" t="s">
        <v>13</v>
      </c>
      <c r="D175" t="s">
        <v>65</v>
      </c>
      <c r="E175" t="s">
        <v>64</v>
      </c>
      <c r="F175" t="s">
        <v>65</v>
      </c>
      <c r="G175" s="3" t="s">
        <v>458</v>
      </c>
      <c r="H175" s="3" t="s">
        <v>737</v>
      </c>
      <c r="I175" s="5"/>
      <c r="J175" s="6">
        <v>263.01</v>
      </c>
      <c r="K175" s="1"/>
      <c r="L175" s="1"/>
    </row>
    <row r="176" spans="1:12" x14ac:dyDescent="0.2">
      <c r="A176" t="s">
        <v>18</v>
      </c>
      <c r="B176" t="s">
        <v>95</v>
      </c>
      <c r="C176" t="s">
        <v>13</v>
      </c>
      <c r="D176" t="s">
        <v>65</v>
      </c>
      <c r="E176" t="s">
        <v>64</v>
      </c>
      <c r="F176" t="s">
        <v>65</v>
      </c>
      <c r="G176" s="3" t="s">
        <v>693</v>
      </c>
      <c r="H176" s="3" t="s">
        <v>737</v>
      </c>
      <c r="I176" s="5"/>
      <c r="J176" s="6">
        <v>39</v>
      </c>
      <c r="K176" s="1"/>
      <c r="L176" s="1"/>
    </row>
    <row r="177" spans="1:12" x14ac:dyDescent="0.2">
      <c r="A177" t="s">
        <v>18</v>
      </c>
      <c r="B177" t="s">
        <v>95</v>
      </c>
      <c r="C177" t="s">
        <v>13</v>
      </c>
      <c r="D177" t="s">
        <v>65</v>
      </c>
      <c r="E177" t="s">
        <v>64</v>
      </c>
      <c r="F177" t="s">
        <v>65</v>
      </c>
      <c r="G177" s="3" t="s">
        <v>633</v>
      </c>
      <c r="H177" s="3" t="s">
        <v>737</v>
      </c>
      <c r="I177" s="5"/>
      <c r="J177" s="6">
        <v>33.65</v>
      </c>
      <c r="K177" s="1"/>
      <c r="L177" s="1"/>
    </row>
    <row r="178" spans="1:12" x14ac:dyDescent="0.2">
      <c r="A178" t="s">
        <v>18</v>
      </c>
      <c r="B178" t="s">
        <v>95</v>
      </c>
      <c r="C178" t="s">
        <v>13</v>
      </c>
      <c r="D178" t="s">
        <v>65</v>
      </c>
      <c r="E178" t="s">
        <v>64</v>
      </c>
      <c r="F178" t="s">
        <v>65</v>
      </c>
      <c r="G178" s="3" t="s">
        <v>633</v>
      </c>
      <c r="H178" s="3" t="s">
        <v>737</v>
      </c>
      <c r="I178" s="5"/>
      <c r="J178" s="6">
        <v>40.28</v>
      </c>
      <c r="K178" s="1"/>
      <c r="L178" s="1"/>
    </row>
    <row r="179" spans="1:12" x14ac:dyDescent="0.2">
      <c r="A179" t="s">
        <v>18</v>
      </c>
      <c r="B179" t="s">
        <v>95</v>
      </c>
      <c r="C179" t="s">
        <v>13</v>
      </c>
      <c r="D179" t="s">
        <v>65</v>
      </c>
      <c r="E179" t="s">
        <v>64</v>
      </c>
      <c r="F179" t="s">
        <v>65</v>
      </c>
      <c r="G179" s="3" t="s">
        <v>528</v>
      </c>
      <c r="H179" s="3" t="s">
        <v>737</v>
      </c>
      <c r="I179" s="5"/>
      <c r="J179" s="6">
        <v>80.91</v>
      </c>
      <c r="K179" s="1"/>
      <c r="L179" s="1"/>
    </row>
    <row r="180" spans="1:12" x14ac:dyDescent="0.2">
      <c r="A180" t="s">
        <v>18</v>
      </c>
      <c r="B180" t="s">
        <v>95</v>
      </c>
      <c r="C180" t="s">
        <v>13</v>
      </c>
      <c r="D180" t="s">
        <v>65</v>
      </c>
      <c r="E180" t="s">
        <v>64</v>
      </c>
      <c r="F180" t="s">
        <v>65</v>
      </c>
      <c r="G180" s="3" t="s">
        <v>458</v>
      </c>
      <c r="H180" s="3" t="s">
        <v>737</v>
      </c>
      <c r="I180" s="5"/>
      <c r="J180" s="6">
        <v>200</v>
      </c>
      <c r="K180" s="1"/>
      <c r="L180" s="1"/>
    </row>
    <row r="181" spans="1:12" x14ac:dyDescent="0.2">
      <c r="A181" t="s">
        <v>18</v>
      </c>
      <c r="B181" t="s">
        <v>95</v>
      </c>
      <c r="C181" t="s">
        <v>13</v>
      </c>
      <c r="D181" t="s">
        <v>65</v>
      </c>
      <c r="E181" t="s">
        <v>64</v>
      </c>
      <c r="F181" t="s">
        <v>65</v>
      </c>
      <c r="G181" s="3" t="s">
        <v>458</v>
      </c>
      <c r="H181" s="3" t="s">
        <v>737</v>
      </c>
      <c r="I181" s="5"/>
      <c r="J181" s="6">
        <v>110</v>
      </c>
      <c r="K181" s="1"/>
      <c r="L181" s="1"/>
    </row>
    <row r="182" spans="1:12" x14ac:dyDescent="0.2">
      <c r="A182" t="s">
        <v>18</v>
      </c>
      <c r="B182" t="s">
        <v>95</v>
      </c>
      <c r="C182" t="s">
        <v>13</v>
      </c>
      <c r="D182" t="s">
        <v>65</v>
      </c>
      <c r="E182" t="s">
        <v>64</v>
      </c>
      <c r="F182" t="s">
        <v>65</v>
      </c>
      <c r="G182" s="3" t="s">
        <v>735</v>
      </c>
      <c r="H182" s="3" t="s">
        <v>737</v>
      </c>
      <c r="I182" s="5"/>
      <c r="J182" s="6">
        <v>53.7</v>
      </c>
      <c r="K182" s="1"/>
      <c r="L182" s="1"/>
    </row>
    <row r="183" spans="1:12" x14ac:dyDescent="0.2">
      <c r="A183" t="s">
        <v>18</v>
      </c>
      <c r="B183" t="s">
        <v>95</v>
      </c>
      <c r="C183" t="s">
        <v>13</v>
      </c>
      <c r="D183" t="s">
        <v>65</v>
      </c>
      <c r="E183" t="s">
        <v>64</v>
      </c>
      <c r="F183" t="s">
        <v>65</v>
      </c>
      <c r="G183" s="3" t="s">
        <v>738</v>
      </c>
      <c r="H183" s="3" t="s">
        <v>737</v>
      </c>
      <c r="I183" s="5"/>
      <c r="J183" s="6">
        <v>66.400000000000006</v>
      </c>
      <c r="K183" s="1"/>
      <c r="L183" s="1"/>
    </row>
    <row r="184" spans="1:12" x14ac:dyDescent="0.2">
      <c r="A184" t="s">
        <v>18</v>
      </c>
      <c r="B184" t="s">
        <v>95</v>
      </c>
      <c r="C184" t="s">
        <v>13</v>
      </c>
      <c r="D184" t="s">
        <v>65</v>
      </c>
      <c r="E184" t="s">
        <v>64</v>
      </c>
      <c r="F184" t="s">
        <v>65</v>
      </c>
      <c r="G184" s="3" t="s">
        <v>458</v>
      </c>
      <c r="H184" s="3" t="s">
        <v>737</v>
      </c>
      <c r="I184" s="5"/>
      <c r="J184" s="6">
        <v>617.5</v>
      </c>
      <c r="K184" s="1"/>
      <c r="L184" s="1"/>
    </row>
    <row r="185" spans="1:12" x14ac:dyDescent="0.2">
      <c r="A185" t="s">
        <v>18</v>
      </c>
      <c r="B185" t="s">
        <v>95</v>
      </c>
      <c r="C185" t="s">
        <v>13</v>
      </c>
      <c r="D185" t="s">
        <v>65</v>
      </c>
      <c r="E185" t="s">
        <v>64</v>
      </c>
      <c r="F185" t="s">
        <v>65</v>
      </c>
      <c r="G185" s="3" t="s">
        <v>458</v>
      </c>
      <c r="H185" s="3" t="s">
        <v>737</v>
      </c>
      <c r="I185" s="5"/>
      <c r="J185" s="6">
        <v>71</v>
      </c>
      <c r="K185" s="1"/>
      <c r="L185" s="1"/>
    </row>
    <row r="186" spans="1:12" x14ac:dyDescent="0.2">
      <c r="A186" t="s">
        <v>18</v>
      </c>
      <c r="B186" t="s">
        <v>95</v>
      </c>
      <c r="C186" t="s">
        <v>13</v>
      </c>
      <c r="D186" t="s">
        <v>65</v>
      </c>
      <c r="E186" t="s">
        <v>64</v>
      </c>
      <c r="F186" t="s">
        <v>65</v>
      </c>
      <c r="G186" s="3" t="s">
        <v>570</v>
      </c>
      <c r="H186" s="3" t="s">
        <v>737</v>
      </c>
      <c r="I186" s="5"/>
      <c r="J186" s="6">
        <v>0.56999999999999995</v>
      </c>
      <c r="K186" s="1"/>
      <c r="L186" s="1"/>
    </row>
    <row r="187" spans="1:12" x14ac:dyDescent="0.2">
      <c r="A187" t="s">
        <v>18</v>
      </c>
      <c r="B187" t="s">
        <v>95</v>
      </c>
      <c r="C187" t="s">
        <v>13</v>
      </c>
      <c r="D187" t="s">
        <v>65</v>
      </c>
      <c r="E187" t="s">
        <v>64</v>
      </c>
      <c r="F187" t="s">
        <v>65</v>
      </c>
      <c r="G187" s="3" t="s">
        <v>156</v>
      </c>
      <c r="H187" s="3" t="s">
        <v>737</v>
      </c>
      <c r="I187" s="5"/>
      <c r="J187" s="6">
        <v>0.08</v>
      </c>
      <c r="K187" s="1"/>
      <c r="L187" s="1"/>
    </row>
    <row r="188" spans="1:12" x14ac:dyDescent="0.2">
      <c r="A188" t="s">
        <v>18</v>
      </c>
      <c r="B188" t="s">
        <v>95</v>
      </c>
      <c r="C188" t="s">
        <v>13</v>
      </c>
      <c r="D188" t="s">
        <v>65</v>
      </c>
      <c r="E188" t="s">
        <v>64</v>
      </c>
      <c r="F188" t="s">
        <v>65</v>
      </c>
      <c r="G188" s="3" t="s">
        <v>570</v>
      </c>
      <c r="H188" s="3" t="s">
        <v>737</v>
      </c>
      <c r="I188" s="5"/>
      <c r="J188" s="6">
        <v>5.91</v>
      </c>
      <c r="K188" s="1"/>
      <c r="L188" s="1"/>
    </row>
    <row r="189" spans="1:12" x14ac:dyDescent="0.2">
      <c r="A189" t="s">
        <v>18</v>
      </c>
      <c r="B189" t="s">
        <v>95</v>
      </c>
      <c r="C189" t="s">
        <v>13</v>
      </c>
      <c r="D189" t="s">
        <v>65</v>
      </c>
      <c r="E189" t="s">
        <v>64</v>
      </c>
      <c r="F189" t="s">
        <v>65</v>
      </c>
      <c r="G189" s="3" t="s">
        <v>570</v>
      </c>
      <c r="H189" s="3" t="s">
        <v>737</v>
      </c>
      <c r="I189" s="5"/>
      <c r="J189" s="6">
        <v>299.99</v>
      </c>
      <c r="K189" s="1"/>
      <c r="L189" s="1"/>
    </row>
    <row r="190" spans="1:12" x14ac:dyDescent="0.2">
      <c r="A190" t="s">
        <v>18</v>
      </c>
      <c r="B190" t="s">
        <v>95</v>
      </c>
      <c r="C190" t="s">
        <v>13</v>
      </c>
      <c r="D190" t="s">
        <v>65</v>
      </c>
      <c r="E190" t="s">
        <v>64</v>
      </c>
      <c r="F190" t="s">
        <v>65</v>
      </c>
      <c r="G190" s="3" t="s">
        <v>445</v>
      </c>
      <c r="H190" s="3" t="s">
        <v>737</v>
      </c>
      <c r="I190" s="5"/>
      <c r="J190" s="6">
        <v>125</v>
      </c>
      <c r="K190" s="1"/>
      <c r="L190" s="1"/>
    </row>
    <row r="191" spans="1:12" x14ac:dyDescent="0.2">
      <c r="A191" t="s">
        <v>18</v>
      </c>
      <c r="B191" t="s">
        <v>95</v>
      </c>
      <c r="C191" t="s">
        <v>13</v>
      </c>
      <c r="D191" t="s">
        <v>65</v>
      </c>
      <c r="E191" t="s">
        <v>64</v>
      </c>
      <c r="F191" t="s">
        <v>65</v>
      </c>
      <c r="G191" s="3" t="s">
        <v>458</v>
      </c>
      <c r="H191" s="3" t="s">
        <v>737</v>
      </c>
      <c r="I191" s="5"/>
      <c r="J191" s="6">
        <v>175</v>
      </c>
      <c r="K191" s="1"/>
      <c r="L191" s="1"/>
    </row>
    <row r="192" spans="1:12" x14ac:dyDescent="0.2">
      <c r="A192" t="s">
        <v>18</v>
      </c>
      <c r="B192" t="s">
        <v>95</v>
      </c>
      <c r="C192" t="s">
        <v>13</v>
      </c>
      <c r="D192" t="s">
        <v>65</v>
      </c>
      <c r="E192" t="s">
        <v>64</v>
      </c>
      <c r="F192" t="s">
        <v>65</v>
      </c>
      <c r="G192" s="3" t="s">
        <v>633</v>
      </c>
      <c r="H192" s="3" t="s">
        <v>737</v>
      </c>
      <c r="I192" s="5"/>
      <c r="J192" s="6">
        <v>63.39</v>
      </c>
      <c r="K192" s="1"/>
      <c r="L192" s="1"/>
    </row>
    <row r="193" spans="1:12" x14ac:dyDescent="0.2">
      <c r="A193" t="s">
        <v>18</v>
      </c>
      <c r="B193" t="s">
        <v>95</v>
      </c>
      <c r="C193" t="s">
        <v>13</v>
      </c>
      <c r="D193" t="s">
        <v>65</v>
      </c>
      <c r="E193" t="s">
        <v>64</v>
      </c>
      <c r="F193" t="s">
        <v>65</v>
      </c>
      <c r="G193" s="3" t="s">
        <v>633</v>
      </c>
      <c r="H193" s="3" t="s">
        <v>737</v>
      </c>
      <c r="I193" s="5"/>
      <c r="J193" s="6">
        <v>30</v>
      </c>
      <c r="K193" s="1"/>
      <c r="L193" s="1"/>
    </row>
    <row r="194" spans="1:12" x14ac:dyDescent="0.2">
      <c r="A194" t="s">
        <v>18</v>
      </c>
      <c r="B194" t="s">
        <v>95</v>
      </c>
      <c r="C194" t="s">
        <v>13</v>
      </c>
      <c r="D194" t="s">
        <v>65</v>
      </c>
      <c r="E194" t="s">
        <v>64</v>
      </c>
      <c r="F194" t="s">
        <v>65</v>
      </c>
      <c r="G194" s="3" t="s">
        <v>633</v>
      </c>
      <c r="H194" s="3" t="s">
        <v>737</v>
      </c>
      <c r="I194" s="5"/>
      <c r="J194" s="6">
        <v>110</v>
      </c>
      <c r="K194" s="1"/>
      <c r="L194" s="1"/>
    </row>
    <row r="195" spans="1:12" x14ac:dyDescent="0.2">
      <c r="A195" t="s">
        <v>18</v>
      </c>
      <c r="B195" t="s">
        <v>95</v>
      </c>
      <c r="C195" t="s">
        <v>13</v>
      </c>
      <c r="D195" t="s">
        <v>65</v>
      </c>
      <c r="E195" t="s">
        <v>64</v>
      </c>
      <c r="F195" t="s">
        <v>65</v>
      </c>
      <c r="G195" s="3" t="s">
        <v>633</v>
      </c>
      <c r="H195" s="3" t="s">
        <v>745</v>
      </c>
      <c r="I195" s="5"/>
      <c r="J195" s="6">
        <v>34.99</v>
      </c>
      <c r="K195" s="1"/>
      <c r="L195" s="1"/>
    </row>
    <row r="196" spans="1:12" x14ac:dyDescent="0.2">
      <c r="A196" t="s">
        <v>18</v>
      </c>
      <c r="B196" t="s">
        <v>95</v>
      </c>
      <c r="C196" t="s">
        <v>13</v>
      </c>
      <c r="D196" t="s">
        <v>65</v>
      </c>
      <c r="E196" t="s">
        <v>64</v>
      </c>
      <c r="F196" t="s">
        <v>65</v>
      </c>
      <c r="G196" s="3" t="s">
        <v>633</v>
      </c>
      <c r="H196" s="3" t="s">
        <v>745</v>
      </c>
      <c r="I196" s="5"/>
      <c r="J196" s="6">
        <v>112.77</v>
      </c>
      <c r="K196" s="1"/>
      <c r="L196" s="1"/>
    </row>
    <row r="197" spans="1:12" x14ac:dyDescent="0.2">
      <c r="A197" t="s">
        <v>18</v>
      </c>
      <c r="B197" t="s">
        <v>95</v>
      </c>
      <c r="C197" t="s">
        <v>13</v>
      </c>
      <c r="D197" t="s">
        <v>65</v>
      </c>
      <c r="E197" t="s">
        <v>64</v>
      </c>
      <c r="F197" t="s">
        <v>65</v>
      </c>
      <c r="G197" s="3" t="s">
        <v>735</v>
      </c>
      <c r="H197" s="3" t="s">
        <v>745</v>
      </c>
      <c r="I197" s="5"/>
      <c r="J197" s="6">
        <v>43.12</v>
      </c>
      <c r="K197" s="1"/>
      <c r="L197" s="1"/>
    </row>
    <row r="198" spans="1:12" x14ac:dyDescent="0.2">
      <c r="A198" s="3" t="s">
        <v>27</v>
      </c>
      <c r="B198" t="s">
        <v>95</v>
      </c>
      <c r="C198" t="s">
        <v>13</v>
      </c>
      <c r="D198" s="2">
        <v>45995</v>
      </c>
      <c r="E198" t="s">
        <v>64</v>
      </c>
      <c r="F198" s="2">
        <v>45995</v>
      </c>
      <c r="G198" s="3" t="s">
        <v>538</v>
      </c>
      <c r="H198" s="3" t="s">
        <v>741</v>
      </c>
      <c r="I198" s="5"/>
      <c r="J198" s="6">
        <v>31.29</v>
      </c>
      <c r="K198" s="1"/>
      <c r="L198" s="1"/>
    </row>
    <row r="199" spans="1:12" x14ac:dyDescent="0.2">
      <c r="A199" s="3" t="s">
        <v>27</v>
      </c>
      <c r="B199" t="s">
        <v>95</v>
      </c>
      <c r="C199" t="s">
        <v>13</v>
      </c>
      <c r="D199" s="2">
        <v>45995</v>
      </c>
      <c r="E199" t="s">
        <v>64</v>
      </c>
      <c r="F199" s="2">
        <v>45995</v>
      </c>
      <c r="G199" s="3" t="s">
        <v>469</v>
      </c>
      <c r="H199" s="3" t="s">
        <v>741</v>
      </c>
      <c r="I199" s="5"/>
      <c r="J199" s="6">
        <v>87.2</v>
      </c>
      <c r="K199" s="1"/>
      <c r="L199" s="1"/>
    </row>
    <row r="200" spans="1:12" x14ac:dyDescent="0.2">
      <c r="A200" s="3" t="s">
        <v>27</v>
      </c>
      <c r="B200" t="s">
        <v>95</v>
      </c>
      <c r="C200" t="s">
        <v>13</v>
      </c>
      <c r="D200" s="2">
        <v>45995</v>
      </c>
      <c r="E200" t="s">
        <v>64</v>
      </c>
      <c r="F200" s="2">
        <v>45995</v>
      </c>
      <c r="G200" s="3" t="s">
        <v>570</v>
      </c>
      <c r="H200" s="3" t="s">
        <v>741</v>
      </c>
      <c r="I200" s="5"/>
      <c r="J200" s="6">
        <v>200.03</v>
      </c>
      <c r="K200" s="1"/>
      <c r="L200" s="1"/>
    </row>
    <row r="201" spans="1:12" x14ac:dyDescent="0.2">
      <c r="A201" s="3" t="s">
        <v>27</v>
      </c>
      <c r="B201" t="s">
        <v>95</v>
      </c>
      <c r="C201" t="s">
        <v>13</v>
      </c>
      <c r="D201" s="2">
        <v>45995</v>
      </c>
      <c r="E201" t="s">
        <v>64</v>
      </c>
      <c r="F201" s="2">
        <v>45995</v>
      </c>
      <c r="G201" s="3" t="s">
        <v>538</v>
      </c>
      <c r="H201" s="3" t="s">
        <v>741</v>
      </c>
      <c r="I201" s="5"/>
      <c r="J201" s="6">
        <v>153.83000000000001</v>
      </c>
      <c r="K201" s="1"/>
      <c r="L201" s="1"/>
    </row>
    <row r="202" spans="1:12" x14ac:dyDescent="0.2">
      <c r="A202" s="3" t="s">
        <v>27</v>
      </c>
      <c r="B202" t="s">
        <v>95</v>
      </c>
      <c r="C202" t="s">
        <v>13</v>
      </c>
      <c r="D202" s="2">
        <v>45995</v>
      </c>
      <c r="E202" t="s">
        <v>64</v>
      </c>
      <c r="F202" s="2">
        <v>45995</v>
      </c>
      <c r="G202" s="3" t="s">
        <v>458</v>
      </c>
      <c r="H202" s="3" t="s">
        <v>741</v>
      </c>
      <c r="I202" s="5"/>
      <c r="J202" s="6">
        <v>198.5</v>
      </c>
      <c r="K202" s="1"/>
      <c r="L202" s="1"/>
    </row>
    <row r="203" spans="1:12" x14ac:dyDescent="0.2">
      <c r="A203" s="3" t="s">
        <v>27</v>
      </c>
      <c r="B203" t="s">
        <v>95</v>
      </c>
      <c r="C203" t="s">
        <v>13</v>
      </c>
      <c r="D203" s="2">
        <v>45995</v>
      </c>
      <c r="E203" t="s">
        <v>64</v>
      </c>
      <c r="F203" s="2">
        <v>45995</v>
      </c>
      <c r="G203" s="3" t="s">
        <v>538</v>
      </c>
      <c r="H203" s="3" t="s">
        <v>741</v>
      </c>
      <c r="I203" s="5"/>
      <c r="J203" s="6">
        <v>16.64</v>
      </c>
      <c r="K203" s="1"/>
      <c r="L203" s="1"/>
    </row>
    <row r="204" spans="1:12" x14ac:dyDescent="0.2">
      <c r="A204" s="3" t="s">
        <v>27</v>
      </c>
      <c r="B204" t="s">
        <v>95</v>
      </c>
      <c r="C204" t="s">
        <v>13</v>
      </c>
      <c r="D204" s="2">
        <v>45995</v>
      </c>
      <c r="E204" t="s">
        <v>64</v>
      </c>
      <c r="F204" s="2">
        <v>45995</v>
      </c>
      <c r="G204" s="3" t="s">
        <v>538</v>
      </c>
      <c r="H204" s="3" t="s">
        <v>741</v>
      </c>
      <c r="I204" s="5"/>
      <c r="J204" s="6">
        <v>75.34</v>
      </c>
      <c r="K204" s="1"/>
      <c r="L204" s="1"/>
    </row>
    <row r="205" spans="1:12" x14ac:dyDescent="0.2">
      <c r="A205" s="3" t="s">
        <v>27</v>
      </c>
      <c r="B205" t="s">
        <v>95</v>
      </c>
      <c r="C205" t="s">
        <v>13</v>
      </c>
      <c r="D205" s="2">
        <v>45995</v>
      </c>
      <c r="E205" t="s">
        <v>64</v>
      </c>
      <c r="F205" s="2">
        <v>45995</v>
      </c>
      <c r="G205" s="3" t="s">
        <v>538</v>
      </c>
      <c r="H205" s="3" t="s">
        <v>741</v>
      </c>
      <c r="I205" s="5"/>
      <c r="J205" s="6">
        <v>53.09</v>
      </c>
      <c r="K205" s="1"/>
      <c r="L205" s="1"/>
    </row>
    <row r="206" spans="1:12" x14ac:dyDescent="0.2">
      <c r="A206" s="3" t="s">
        <v>27</v>
      </c>
      <c r="B206" t="s">
        <v>95</v>
      </c>
      <c r="C206" t="s">
        <v>13</v>
      </c>
      <c r="D206" s="2">
        <v>45995</v>
      </c>
      <c r="E206" t="s">
        <v>64</v>
      </c>
      <c r="F206" s="2">
        <v>45995</v>
      </c>
      <c r="G206" s="3" t="s">
        <v>538</v>
      </c>
      <c r="H206" s="3" t="s">
        <v>741</v>
      </c>
      <c r="I206" s="5"/>
      <c r="J206" s="6">
        <v>64.010000000000005</v>
      </c>
      <c r="K206" s="1"/>
      <c r="L206" s="1"/>
    </row>
    <row r="207" spans="1:12" x14ac:dyDescent="0.2">
      <c r="A207" s="3" t="s">
        <v>27</v>
      </c>
      <c r="B207" t="s">
        <v>95</v>
      </c>
      <c r="C207" t="s">
        <v>13</v>
      </c>
      <c r="D207" s="2">
        <v>45995</v>
      </c>
      <c r="E207" t="s">
        <v>64</v>
      </c>
      <c r="F207" s="2">
        <v>45995</v>
      </c>
      <c r="G207" s="3" t="s">
        <v>538</v>
      </c>
      <c r="H207" s="3" t="s">
        <v>741</v>
      </c>
      <c r="I207" s="5"/>
      <c r="J207" s="6">
        <v>70.790000000000006</v>
      </c>
      <c r="K207" s="1"/>
      <c r="L207" s="1"/>
    </row>
    <row r="208" spans="1:12" x14ac:dyDescent="0.2">
      <c r="A208" s="3" t="s">
        <v>27</v>
      </c>
      <c r="B208" t="s">
        <v>95</v>
      </c>
      <c r="C208" t="s">
        <v>13</v>
      </c>
      <c r="D208" s="2">
        <v>45995</v>
      </c>
      <c r="E208" t="s">
        <v>64</v>
      </c>
      <c r="F208" s="2">
        <v>45995</v>
      </c>
      <c r="G208" s="3" t="s">
        <v>633</v>
      </c>
      <c r="H208" s="3" t="s">
        <v>741</v>
      </c>
      <c r="I208" s="5"/>
      <c r="J208" s="6">
        <v>229.9</v>
      </c>
      <c r="K208" s="1"/>
      <c r="L208" s="1"/>
    </row>
    <row r="209" spans="1:12" x14ac:dyDescent="0.2">
      <c r="A209" t="s">
        <v>18</v>
      </c>
      <c r="B209" t="s">
        <v>95</v>
      </c>
      <c r="C209" t="s">
        <v>13</v>
      </c>
      <c r="D209" s="2">
        <v>46009</v>
      </c>
      <c r="E209" t="s">
        <v>64</v>
      </c>
      <c r="F209" s="2">
        <v>46009</v>
      </c>
      <c r="G209" s="3" t="s">
        <v>735</v>
      </c>
      <c r="H209" s="3" t="s">
        <v>742</v>
      </c>
      <c r="I209" s="5"/>
      <c r="J209" s="4">
        <v>25.12</v>
      </c>
      <c r="K209" s="1"/>
      <c r="L209" s="1"/>
    </row>
    <row r="210" spans="1:12" x14ac:dyDescent="0.2">
      <c r="A210" t="s">
        <v>18</v>
      </c>
      <c r="B210" t="s">
        <v>95</v>
      </c>
      <c r="C210" t="s">
        <v>13</v>
      </c>
      <c r="D210" s="2">
        <v>46009</v>
      </c>
      <c r="E210" t="s">
        <v>64</v>
      </c>
      <c r="F210" s="2">
        <v>46009</v>
      </c>
      <c r="G210" s="3" t="s">
        <v>735</v>
      </c>
      <c r="H210" s="3" t="s">
        <v>742</v>
      </c>
      <c r="I210" s="5"/>
      <c r="J210" s="6">
        <v>42.16</v>
      </c>
      <c r="K210" s="1"/>
      <c r="L210" s="1"/>
    </row>
    <row r="211" spans="1:12" x14ac:dyDescent="0.2">
      <c r="A211" t="s">
        <v>18</v>
      </c>
      <c r="B211" t="s">
        <v>95</v>
      </c>
      <c r="C211" t="s">
        <v>13</v>
      </c>
      <c r="D211" s="2">
        <v>46009</v>
      </c>
      <c r="E211" t="s">
        <v>64</v>
      </c>
      <c r="F211" s="2">
        <v>46009</v>
      </c>
      <c r="G211" s="3" t="s">
        <v>735</v>
      </c>
      <c r="H211" s="3" t="s">
        <v>742</v>
      </c>
      <c r="I211" s="5"/>
      <c r="J211" s="6">
        <v>32.49</v>
      </c>
      <c r="K211" s="1"/>
      <c r="L211" s="1"/>
    </row>
    <row r="212" spans="1:12" x14ac:dyDescent="0.2">
      <c r="A212" t="s">
        <v>18</v>
      </c>
      <c r="B212" t="s">
        <v>95</v>
      </c>
      <c r="C212" t="s">
        <v>13</v>
      </c>
      <c r="D212" s="2">
        <v>46009</v>
      </c>
      <c r="E212" t="s">
        <v>64</v>
      </c>
      <c r="F212" s="2">
        <v>46009</v>
      </c>
      <c r="G212" s="3" t="s">
        <v>735</v>
      </c>
      <c r="H212" s="3" t="s">
        <v>742</v>
      </c>
      <c r="I212" s="5"/>
      <c r="J212" s="6">
        <v>59.95</v>
      </c>
      <c r="K212" s="1"/>
      <c r="L212" s="1"/>
    </row>
    <row r="213" spans="1:12" x14ac:dyDescent="0.2">
      <c r="A213" t="s">
        <v>18</v>
      </c>
      <c r="B213" t="s">
        <v>95</v>
      </c>
      <c r="C213" t="s">
        <v>13</v>
      </c>
      <c r="D213" s="2">
        <v>46009</v>
      </c>
      <c r="E213" t="s">
        <v>64</v>
      </c>
      <c r="F213" s="2">
        <v>46009</v>
      </c>
      <c r="G213" s="3" t="s">
        <v>735</v>
      </c>
      <c r="H213" s="3" t="s">
        <v>742</v>
      </c>
      <c r="I213" s="5"/>
      <c r="J213" s="6">
        <v>90</v>
      </c>
      <c r="K213" s="1"/>
      <c r="L213" s="1"/>
    </row>
    <row r="214" spans="1:12" x14ac:dyDescent="0.2">
      <c r="A214" t="s">
        <v>18</v>
      </c>
      <c r="B214" t="s">
        <v>95</v>
      </c>
      <c r="C214" t="s">
        <v>13</v>
      </c>
      <c r="D214" s="2">
        <v>46009</v>
      </c>
      <c r="E214" t="s">
        <v>64</v>
      </c>
      <c r="F214" s="2">
        <v>46009</v>
      </c>
      <c r="G214" s="3" t="s">
        <v>735</v>
      </c>
      <c r="H214" s="3" t="s">
        <v>742</v>
      </c>
      <c r="I214" s="5"/>
      <c r="J214" s="6">
        <v>54.33</v>
      </c>
      <c r="K214" s="1"/>
      <c r="L214" s="1"/>
    </row>
    <row r="215" spans="1:12" x14ac:dyDescent="0.2">
      <c r="A215" t="s">
        <v>18</v>
      </c>
      <c r="B215" t="s">
        <v>95</v>
      </c>
      <c r="C215" t="s">
        <v>13</v>
      </c>
      <c r="D215" s="2">
        <v>46009</v>
      </c>
      <c r="E215" t="s">
        <v>64</v>
      </c>
      <c r="F215" s="2">
        <v>46009</v>
      </c>
      <c r="G215" s="3" t="s">
        <v>693</v>
      </c>
      <c r="H215" s="3" t="s">
        <v>742</v>
      </c>
      <c r="I215" s="5"/>
      <c r="J215" s="6">
        <v>7.99</v>
      </c>
      <c r="K215" s="1"/>
      <c r="L215" s="1"/>
    </row>
    <row r="216" spans="1:12" x14ac:dyDescent="0.2">
      <c r="A216" t="s">
        <v>18</v>
      </c>
      <c r="B216" t="s">
        <v>95</v>
      </c>
      <c r="C216" t="s">
        <v>13</v>
      </c>
      <c r="D216" s="2">
        <v>46009</v>
      </c>
      <c r="E216" t="s">
        <v>64</v>
      </c>
      <c r="F216" s="2">
        <v>46009</v>
      </c>
      <c r="G216" s="3" t="s">
        <v>693</v>
      </c>
      <c r="H216" s="3" t="s">
        <v>742</v>
      </c>
      <c r="I216" s="5"/>
      <c r="J216" s="6">
        <v>10.47</v>
      </c>
      <c r="K216" s="1"/>
      <c r="L216" s="1"/>
    </row>
    <row r="217" spans="1:12" x14ac:dyDescent="0.2">
      <c r="A217" s="3" t="s">
        <v>12</v>
      </c>
      <c r="B217" t="s">
        <v>95</v>
      </c>
      <c r="C217" t="s">
        <v>13</v>
      </c>
      <c r="D217" s="2">
        <v>46014</v>
      </c>
      <c r="E217" t="s">
        <v>64</v>
      </c>
      <c r="F217" s="2">
        <v>46014</v>
      </c>
      <c r="G217" s="3" t="s">
        <v>693</v>
      </c>
      <c r="H217" s="3" t="s">
        <v>743</v>
      </c>
      <c r="I217" s="5"/>
      <c r="J217" s="6">
        <v>16.989999999999998</v>
      </c>
      <c r="K217" s="1"/>
      <c r="L217" s="1"/>
    </row>
    <row r="218" spans="1:12" x14ac:dyDescent="0.2">
      <c r="A218" s="3" t="s">
        <v>12</v>
      </c>
      <c r="B218" t="s">
        <v>95</v>
      </c>
      <c r="C218" t="s">
        <v>13</v>
      </c>
      <c r="D218" s="2">
        <v>46014</v>
      </c>
      <c r="E218" t="s">
        <v>64</v>
      </c>
      <c r="F218" s="2">
        <v>46014</v>
      </c>
      <c r="G218" s="3" t="s">
        <v>633</v>
      </c>
      <c r="H218" s="3" t="s">
        <v>743</v>
      </c>
      <c r="I218" s="5"/>
      <c r="J218" s="6">
        <v>221.08</v>
      </c>
      <c r="K218" s="1"/>
      <c r="L218" s="1"/>
    </row>
    <row r="219" spans="1:12" x14ac:dyDescent="0.2">
      <c r="A219" s="3" t="s">
        <v>12</v>
      </c>
      <c r="B219" t="s">
        <v>95</v>
      </c>
      <c r="C219" t="s">
        <v>13</v>
      </c>
      <c r="D219" s="2">
        <v>46014</v>
      </c>
      <c r="E219" t="s">
        <v>64</v>
      </c>
      <c r="F219" s="2">
        <v>46014</v>
      </c>
      <c r="G219" s="3" t="s">
        <v>445</v>
      </c>
      <c r="H219" s="3" t="s">
        <v>743</v>
      </c>
      <c r="I219" s="5"/>
      <c r="J219" s="6">
        <v>58</v>
      </c>
      <c r="K219" s="1"/>
      <c r="L219" s="1"/>
    </row>
    <row r="220" spans="1:12" x14ac:dyDescent="0.2">
      <c r="A220" s="3" t="s">
        <v>71</v>
      </c>
      <c r="B220" t="s">
        <v>95</v>
      </c>
      <c r="C220" t="s">
        <v>13</v>
      </c>
      <c r="D220" s="2">
        <v>46018</v>
      </c>
      <c r="E220" t="s">
        <v>64</v>
      </c>
      <c r="F220" s="2">
        <v>46018</v>
      </c>
      <c r="G220" s="3" t="s">
        <v>570</v>
      </c>
      <c r="H220" s="3" t="s">
        <v>744</v>
      </c>
      <c r="I220" s="5"/>
      <c r="J220" s="6">
        <v>55</v>
      </c>
      <c r="K220" s="1"/>
      <c r="L220" s="1"/>
    </row>
    <row r="221" spans="1:12" x14ac:dyDescent="0.2">
      <c r="A221" s="3" t="s">
        <v>71</v>
      </c>
      <c r="B221" t="s">
        <v>95</v>
      </c>
      <c r="C221" t="s">
        <v>13</v>
      </c>
      <c r="D221" s="2">
        <v>46018</v>
      </c>
      <c r="E221" t="s">
        <v>64</v>
      </c>
      <c r="F221" s="2">
        <v>46018</v>
      </c>
      <c r="G221" s="3" t="s">
        <v>570</v>
      </c>
      <c r="H221" s="3" t="s">
        <v>744</v>
      </c>
      <c r="I221" s="5"/>
      <c r="J221" s="6">
        <v>64</v>
      </c>
      <c r="K221" s="1"/>
      <c r="L221" s="1"/>
    </row>
    <row r="222" spans="1:12" x14ac:dyDescent="0.2">
      <c r="A222" s="3" t="s">
        <v>71</v>
      </c>
      <c r="B222" t="s">
        <v>95</v>
      </c>
      <c r="C222" t="s">
        <v>13</v>
      </c>
      <c r="D222" s="2">
        <v>46018</v>
      </c>
      <c r="E222" t="s">
        <v>64</v>
      </c>
      <c r="F222" s="2">
        <v>46018</v>
      </c>
      <c r="G222" s="3" t="s">
        <v>443</v>
      </c>
      <c r="H222" s="3" t="s">
        <v>744</v>
      </c>
      <c r="I222" s="5"/>
      <c r="J222" s="6">
        <v>3.98</v>
      </c>
      <c r="K222" s="1"/>
      <c r="L222" s="1"/>
    </row>
    <row r="223" spans="1:12" x14ac:dyDescent="0.2">
      <c r="A223" s="3" t="s">
        <v>71</v>
      </c>
      <c r="B223" t="s">
        <v>95</v>
      </c>
      <c r="C223" t="s">
        <v>13</v>
      </c>
      <c r="D223" s="2">
        <v>46018</v>
      </c>
      <c r="E223" t="s">
        <v>64</v>
      </c>
      <c r="F223" s="2">
        <v>46018</v>
      </c>
      <c r="G223" s="3" t="s">
        <v>570</v>
      </c>
      <c r="H223" s="3" t="s">
        <v>744</v>
      </c>
      <c r="I223" s="5"/>
      <c r="J223" s="6">
        <v>38</v>
      </c>
      <c r="K223" s="1"/>
      <c r="L223" s="1"/>
    </row>
    <row r="224" spans="1:12" x14ac:dyDescent="0.2">
      <c r="A224" s="3" t="s">
        <v>71</v>
      </c>
      <c r="B224" t="s">
        <v>95</v>
      </c>
      <c r="C224" t="s">
        <v>13</v>
      </c>
      <c r="D224" s="2">
        <v>46018</v>
      </c>
      <c r="E224" t="s">
        <v>64</v>
      </c>
      <c r="F224" s="2">
        <v>46018</v>
      </c>
      <c r="G224" s="3" t="s">
        <v>443</v>
      </c>
      <c r="H224" s="3" t="s">
        <v>744</v>
      </c>
      <c r="I224" s="5"/>
      <c r="J224" s="6">
        <v>47.96</v>
      </c>
      <c r="K224" s="1"/>
      <c r="L224" s="1"/>
    </row>
    <row r="225" spans="1:12" x14ac:dyDescent="0.2">
      <c r="A225" s="3" t="s">
        <v>71</v>
      </c>
      <c r="B225" t="s">
        <v>95</v>
      </c>
      <c r="C225" t="s">
        <v>13</v>
      </c>
      <c r="D225" s="2">
        <v>46018</v>
      </c>
      <c r="E225" t="s">
        <v>64</v>
      </c>
      <c r="F225" s="2">
        <v>46018</v>
      </c>
      <c r="G225" s="3" t="s">
        <v>443</v>
      </c>
      <c r="H225" s="3" t="s">
        <v>744</v>
      </c>
      <c r="I225" s="5"/>
      <c r="J225" s="6">
        <v>5.68</v>
      </c>
      <c r="K225" s="1"/>
      <c r="L225" s="1"/>
    </row>
    <row r="226" spans="1:12" x14ac:dyDescent="0.2">
      <c r="A226" s="3" t="s">
        <v>71</v>
      </c>
      <c r="B226" t="s">
        <v>95</v>
      </c>
      <c r="C226" t="s">
        <v>13</v>
      </c>
      <c r="D226" s="2">
        <v>46018</v>
      </c>
      <c r="E226" t="s">
        <v>64</v>
      </c>
      <c r="F226" s="2">
        <v>46018</v>
      </c>
      <c r="G226" s="3" t="s">
        <v>443</v>
      </c>
      <c r="H226" s="3" t="s">
        <v>744</v>
      </c>
      <c r="I226" s="5"/>
      <c r="J226" s="6">
        <v>7.58</v>
      </c>
      <c r="K226" s="1"/>
      <c r="L226" s="1"/>
    </row>
    <row r="227" spans="1:12" x14ac:dyDescent="0.2">
      <c r="A227" s="3" t="s">
        <v>71</v>
      </c>
      <c r="B227" t="s">
        <v>95</v>
      </c>
      <c r="C227" t="s">
        <v>13</v>
      </c>
      <c r="D227" s="2">
        <v>46018</v>
      </c>
      <c r="E227" t="s">
        <v>64</v>
      </c>
      <c r="F227" s="2">
        <v>46018</v>
      </c>
      <c r="G227" s="3" t="s">
        <v>443</v>
      </c>
      <c r="H227" s="3" t="s">
        <v>744</v>
      </c>
      <c r="I227" s="5"/>
      <c r="J227" s="6">
        <v>113.97</v>
      </c>
      <c r="K227" s="1"/>
      <c r="L227" s="1"/>
    </row>
    <row r="228" spans="1:12" x14ac:dyDescent="0.2">
      <c r="A228" s="3" t="s">
        <v>71</v>
      </c>
      <c r="B228" t="s">
        <v>95</v>
      </c>
      <c r="C228" t="s">
        <v>13</v>
      </c>
      <c r="D228" s="2">
        <v>46018</v>
      </c>
      <c r="E228" t="s">
        <v>64</v>
      </c>
      <c r="F228" s="2">
        <v>46018</v>
      </c>
      <c r="G228" s="3" t="s">
        <v>443</v>
      </c>
      <c r="H228" s="3" t="s">
        <v>744</v>
      </c>
      <c r="I228" s="5"/>
      <c r="J228" s="6">
        <v>36.61</v>
      </c>
      <c r="K228" s="1"/>
      <c r="L228" s="1"/>
    </row>
    <row r="229" spans="1:12" x14ac:dyDescent="0.2">
      <c r="A229" s="3" t="s">
        <v>71</v>
      </c>
      <c r="B229" t="s">
        <v>95</v>
      </c>
      <c r="C229" t="s">
        <v>13</v>
      </c>
      <c r="D229" s="2">
        <v>46018</v>
      </c>
      <c r="E229" t="s">
        <v>64</v>
      </c>
      <c r="F229" s="2">
        <v>46018</v>
      </c>
      <c r="G229" s="3" t="s">
        <v>570</v>
      </c>
      <c r="H229" s="3" t="s">
        <v>744</v>
      </c>
      <c r="I229" s="5"/>
      <c r="J229" s="6">
        <v>38</v>
      </c>
      <c r="K229" s="1"/>
      <c r="L229" s="1"/>
    </row>
    <row r="230" spans="1:12" x14ac:dyDescent="0.2">
      <c r="A230" s="3" t="s">
        <v>71</v>
      </c>
      <c r="B230" t="s">
        <v>95</v>
      </c>
      <c r="C230" t="s">
        <v>13</v>
      </c>
      <c r="D230" s="2">
        <v>46018</v>
      </c>
      <c r="E230" t="s">
        <v>64</v>
      </c>
      <c r="F230" s="2">
        <v>46018</v>
      </c>
      <c r="G230" s="3" t="s">
        <v>570</v>
      </c>
      <c r="H230" s="3" t="s">
        <v>744</v>
      </c>
      <c r="I230" s="5"/>
      <c r="J230" s="6">
        <v>89.02</v>
      </c>
      <c r="K230" s="1"/>
      <c r="L230" s="1"/>
    </row>
    <row r="231" spans="1:12" x14ac:dyDescent="0.2">
      <c r="A231" s="3" t="s">
        <v>71</v>
      </c>
      <c r="B231" t="s">
        <v>95</v>
      </c>
      <c r="C231" t="s">
        <v>13</v>
      </c>
      <c r="D231" s="2">
        <v>46018</v>
      </c>
      <c r="E231" t="s">
        <v>64</v>
      </c>
      <c r="F231" s="2">
        <v>46018</v>
      </c>
      <c r="G231" s="3" t="s">
        <v>443</v>
      </c>
      <c r="H231" s="3" t="s">
        <v>744</v>
      </c>
      <c r="I231" s="5"/>
      <c r="J231" s="6">
        <v>4.3899999999999997</v>
      </c>
      <c r="K231" s="1"/>
      <c r="L231" s="1"/>
    </row>
    <row r="232" spans="1:12" x14ac:dyDescent="0.2">
      <c r="A232" s="3" t="s">
        <v>71</v>
      </c>
      <c r="B232" t="s">
        <v>95</v>
      </c>
      <c r="C232" t="s">
        <v>13</v>
      </c>
      <c r="D232" s="2">
        <v>46018</v>
      </c>
      <c r="E232" t="s">
        <v>64</v>
      </c>
      <c r="F232" s="2">
        <v>46018</v>
      </c>
      <c r="G232" s="3" t="s">
        <v>570</v>
      </c>
      <c r="H232" s="3" t="s">
        <v>744</v>
      </c>
      <c r="I232" s="5"/>
      <c r="J232" s="6">
        <v>15</v>
      </c>
      <c r="K232" s="1"/>
      <c r="L232" s="1"/>
    </row>
    <row r="233" spans="1:12" x14ac:dyDescent="0.2">
      <c r="A233" s="3" t="s">
        <v>71</v>
      </c>
      <c r="B233" t="s">
        <v>95</v>
      </c>
      <c r="C233" t="s">
        <v>13</v>
      </c>
      <c r="D233" s="2">
        <v>46018</v>
      </c>
      <c r="E233" t="s">
        <v>64</v>
      </c>
      <c r="F233" s="2">
        <v>46018</v>
      </c>
      <c r="G233" s="3" t="s">
        <v>443</v>
      </c>
      <c r="H233" s="3" t="s">
        <v>744</v>
      </c>
      <c r="I233" s="5"/>
      <c r="J233" s="6">
        <v>13</v>
      </c>
      <c r="K233" s="1"/>
      <c r="L233" s="1"/>
    </row>
    <row r="234" spans="1:12" x14ac:dyDescent="0.2">
      <c r="A234" s="3" t="s">
        <v>71</v>
      </c>
      <c r="B234" t="s">
        <v>95</v>
      </c>
      <c r="C234" t="s">
        <v>13</v>
      </c>
      <c r="D234" s="2">
        <v>46018</v>
      </c>
      <c r="E234" t="s">
        <v>64</v>
      </c>
      <c r="F234" s="2">
        <v>46018</v>
      </c>
      <c r="G234" s="3" t="s">
        <v>443</v>
      </c>
      <c r="H234" s="3" t="s">
        <v>744</v>
      </c>
      <c r="I234" s="5"/>
      <c r="J234" s="6">
        <v>31.16</v>
      </c>
      <c r="K234" s="1"/>
      <c r="L234" s="1"/>
    </row>
    <row r="235" spans="1:12" x14ac:dyDescent="0.2">
      <c r="A235" s="3" t="s">
        <v>71</v>
      </c>
      <c r="B235" t="s">
        <v>95</v>
      </c>
      <c r="C235" t="s">
        <v>13</v>
      </c>
      <c r="D235" s="2">
        <v>46018</v>
      </c>
      <c r="E235" t="s">
        <v>64</v>
      </c>
      <c r="F235" s="2">
        <v>46018</v>
      </c>
      <c r="G235" s="3" t="s">
        <v>443</v>
      </c>
      <c r="H235" s="3" t="s">
        <v>744</v>
      </c>
      <c r="I235" s="5"/>
      <c r="J235" s="6">
        <v>38</v>
      </c>
      <c r="K235" s="1"/>
      <c r="L235" s="1"/>
    </row>
    <row r="236" spans="1:12" x14ac:dyDescent="0.2">
      <c r="A236" s="3" t="s">
        <v>71</v>
      </c>
      <c r="B236" t="s">
        <v>95</v>
      </c>
      <c r="C236" t="s">
        <v>13</v>
      </c>
      <c r="D236" s="2">
        <v>46018</v>
      </c>
      <c r="E236" t="s">
        <v>64</v>
      </c>
      <c r="F236" s="2">
        <v>46018</v>
      </c>
      <c r="G236" s="3" t="s">
        <v>443</v>
      </c>
      <c r="H236" s="3" t="s">
        <v>744</v>
      </c>
      <c r="I236" s="5"/>
      <c r="J236" s="6">
        <v>32.729999999999997</v>
      </c>
      <c r="K236" s="1"/>
      <c r="L236" s="1"/>
    </row>
    <row r="237" spans="1:12" x14ac:dyDescent="0.2">
      <c r="A237" s="3" t="s">
        <v>71</v>
      </c>
      <c r="B237" t="s">
        <v>95</v>
      </c>
      <c r="C237" t="s">
        <v>13</v>
      </c>
      <c r="D237" s="2">
        <v>46018</v>
      </c>
      <c r="E237" t="s">
        <v>64</v>
      </c>
      <c r="F237" s="2">
        <v>46018</v>
      </c>
      <c r="G237" s="3" t="s">
        <v>443</v>
      </c>
      <c r="H237" s="3" t="s">
        <v>744</v>
      </c>
      <c r="I237" s="5"/>
      <c r="J237" s="6">
        <v>20.100000000000001</v>
      </c>
      <c r="K237" s="1"/>
      <c r="L237" s="1"/>
    </row>
    <row r="238" spans="1:12" x14ac:dyDescent="0.2">
      <c r="A238" s="3" t="s">
        <v>71</v>
      </c>
      <c r="B238" t="s">
        <v>95</v>
      </c>
      <c r="C238" t="s">
        <v>13</v>
      </c>
      <c r="D238" s="2">
        <v>46018</v>
      </c>
      <c r="E238" t="s">
        <v>64</v>
      </c>
      <c r="F238" s="2">
        <v>46018</v>
      </c>
      <c r="G238" s="3" t="s">
        <v>443</v>
      </c>
      <c r="H238" s="3" t="s">
        <v>744</v>
      </c>
      <c r="I238" s="5"/>
      <c r="J238" s="6">
        <v>23.98</v>
      </c>
      <c r="K238" s="1"/>
      <c r="L238" s="1"/>
    </row>
    <row r="239" spans="1:12" x14ac:dyDescent="0.2">
      <c r="A239" s="3" t="s">
        <v>71</v>
      </c>
      <c r="B239" t="s">
        <v>95</v>
      </c>
      <c r="C239" t="s">
        <v>13</v>
      </c>
      <c r="D239" s="2">
        <v>46018</v>
      </c>
      <c r="E239" t="s">
        <v>64</v>
      </c>
      <c r="F239" s="2">
        <v>46018</v>
      </c>
      <c r="G239" s="3" t="s">
        <v>570</v>
      </c>
      <c r="H239" s="3" t="s">
        <v>744</v>
      </c>
      <c r="I239" s="5"/>
      <c r="J239" s="6">
        <v>18.52</v>
      </c>
      <c r="K239" s="1"/>
      <c r="L239" s="1"/>
    </row>
    <row r="240" spans="1:12" x14ac:dyDescent="0.2">
      <c r="A240" s="3" t="s">
        <v>71</v>
      </c>
      <c r="B240" t="s">
        <v>95</v>
      </c>
      <c r="C240" t="s">
        <v>13</v>
      </c>
      <c r="D240" s="2">
        <v>46018</v>
      </c>
      <c r="E240" t="s">
        <v>64</v>
      </c>
      <c r="F240" s="2">
        <v>46018</v>
      </c>
      <c r="G240" s="3" t="s">
        <v>443</v>
      </c>
      <c r="H240" s="3" t="s">
        <v>744</v>
      </c>
      <c r="I240" s="5"/>
      <c r="J240" s="6">
        <v>69.78</v>
      </c>
      <c r="K240" s="1"/>
      <c r="L240" s="1"/>
    </row>
    <row r="241" spans="1:12" x14ac:dyDescent="0.2">
      <c r="A241" s="3" t="s">
        <v>71</v>
      </c>
      <c r="B241" t="s">
        <v>95</v>
      </c>
      <c r="C241" t="s">
        <v>13</v>
      </c>
      <c r="D241" s="2">
        <v>46018</v>
      </c>
      <c r="E241" t="s">
        <v>64</v>
      </c>
      <c r="F241" s="2">
        <v>46018</v>
      </c>
      <c r="G241" s="3" t="s">
        <v>443</v>
      </c>
      <c r="H241" s="3" t="s">
        <v>744</v>
      </c>
      <c r="I241" s="5"/>
      <c r="J241" s="6">
        <v>27.98</v>
      </c>
      <c r="K241" s="1"/>
      <c r="L241" s="1"/>
    </row>
    <row r="242" spans="1:12" x14ac:dyDescent="0.2">
      <c r="A242" s="3" t="s">
        <v>71</v>
      </c>
      <c r="B242" t="s">
        <v>95</v>
      </c>
      <c r="C242" t="s">
        <v>13</v>
      </c>
      <c r="D242" s="2">
        <v>46018</v>
      </c>
      <c r="E242" t="s">
        <v>64</v>
      </c>
      <c r="F242" s="2">
        <v>46018</v>
      </c>
      <c r="G242" s="3" t="s">
        <v>443</v>
      </c>
      <c r="H242" s="3" t="s">
        <v>744</v>
      </c>
      <c r="I242" s="5"/>
      <c r="J242" s="6">
        <v>46.92</v>
      </c>
      <c r="K242" s="1"/>
      <c r="L242" s="1"/>
    </row>
    <row r="243" spans="1:12" x14ac:dyDescent="0.2">
      <c r="A243" s="3" t="s">
        <v>71</v>
      </c>
      <c r="B243" t="s">
        <v>95</v>
      </c>
      <c r="C243" t="s">
        <v>13</v>
      </c>
      <c r="D243" s="2">
        <v>46018</v>
      </c>
      <c r="E243" t="s">
        <v>64</v>
      </c>
      <c r="F243" s="2">
        <v>46018</v>
      </c>
      <c r="G243" s="3" t="s">
        <v>443</v>
      </c>
      <c r="H243" s="3" t="s">
        <v>744</v>
      </c>
      <c r="I243" s="5"/>
      <c r="J243" s="6">
        <v>44.11</v>
      </c>
      <c r="K243" s="1"/>
      <c r="L243" s="1"/>
    </row>
    <row r="244" spans="1:12" x14ac:dyDescent="0.2">
      <c r="A244" s="3" t="s">
        <v>71</v>
      </c>
      <c r="B244" t="s">
        <v>95</v>
      </c>
      <c r="C244" t="s">
        <v>13</v>
      </c>
      <c r="D244" s="2">
        <v>46018</v>
      </c>
      <c r="E244" t="s">
        <v>64</v>
      </c>
      <c r="F244" s="2">
        <v>46018</v>
      </c>
      <c r="G244" s="3" t="s">
        <v>443</v>
      </c>
      <c r="H244" s="3" t="s">
        <v>744</v>
      </c>
      <c r="I244" s="5"/>
      <c r="J244" s="6">
        <v>11.97</v>
      </c>
      <c r="K244" s="1"/>
      <c r="L244" s="1"/>
    </row>
    <row r="245" spans="1:12" x14ac:dyDescent="0.2">
      <c r="A245" s="3" t="s">
        <v>71</v>
      </c>
      <c r="B245" t="s">
        <v>95</v>
      </c>
      <c r="C245" t="s">
        <v>13</v>
      </c>
      <c r="D245" s="2">
        <v>46018</v>
      </c>
      <c r="E245" t="s">
        <v>64</v>
      </c>
      <c r="F245" s="2">
        <v>46018</v>
      </c>
      <c r="G245" s="3" t="s">
        <v>443</v>
      </c>
      <c r="H245" s="3" t="s">
        <v>744</v>
      </c>
      <c r="I245" s="5"/>
      <c r="J245" s="6">
        <v>47</v>
      </c>
      <c r="K245" s="1"/>
      <c r="L245" s="1"/>
    </row>
    <row r="246" spans="1:12" x14ac:dyDescent="0.2">
      <c r="A246" s="3" t="s">
        <v>71</v>
      </c>
      <c r="B246" t="s">
        <v>95</v>
      </c>
      <c r="C246" t="s">
        <v>13</v>
      </c>
      <c r="D246" s="2">
        <v>46018</v>
      </c>
      <c r="E246" t="s">
        <v>64</v>
      </c>
      <c r="F246" s="2">
        <v>46018</v>
      </c>
      <c r="G246" s="3" t="s">
        <v>469</v>
      </c>
      <c r="H246" s="3" t="s">
        <v>744</v>
      </c>
      <c r="I246" s="5"/>
      <c r="J246" s="6">
        <v>13</v>
      </c>
      <c r="K246" s="1"/>
      <c r="L246" s="1"/>
    </row>
    <row r="247" spans="1:12" x14ac:dyDescent="0.2">
      <c r="A247" s="3" t="s">
        <v>71</v>
      </c>
      <c r="B247" t="s">
        <v>95</v>
      </c>
      <c r="C247" t="s">
        <v>13</v>
      </c>
      <c r="D247" s="2">
        <v>46018</v>
      </c>
      <c r="E247" t="s">
        <v>64</v>
      </c>
      <c r="F247" s="2">
        <v>46018</v>
      </c>
      <c r="G247" s="3" t="s">
        <v>443</v>
      </c>
      <c r="H247" s="3" t="s">
        <v>744</v>
      </c>
      <c r="I247" s="5"/>
      <c r="J247" s="6">
        <v>83.08</v>
      </c>
      <c r="K247" s="1"/>
      <c r="L247" s="1"/>
    </row>
    <row r="248" spans="1:12" x14ac:dyDescent="0.2">
      <c r="A248" s="3" t="s">
        <v>71</v>
      </c>
      <c r="B248" t="s">
        <v>95</v>
      </c>
      <c r="C248" t="s">
        <v>13</v>
      </c>
      <c r="D248" s="2">
        <v>46018</v>
      </c>
      <c r="E248" t="s">
        <v>64</v>
      </c>
      <c r="F248" s="2">
        <v>46018</v>
      </c>
      <c r="G248" s="3" t="s">
        <v>570</v>
      </c>
      <c r="H248" s="3" t="s">
        <v>744</v>
      </c>
      <c r="I248" s="5"/>
      <c r="J248" s="6">
        <v>50.8</v>
      </c>
      <c r="K248" s="1"/>
      <c r="L248" s="1"/>
    </row>
    <row r="249" spans="1:12" x14ac:dyDescent="0.2">
      <c r="A249" s="3" t="s">
        <v>71</v>
      </c>
      <c r="B249" t="s">
        <v>95</v>
      </c>
      <c r="C249" t="s">
        <v>13</v>
      </c>
      <c r="D249" s="2">
        <v>46018</v>
      </c>
      <c r="E249" t="s">
        <v>64</v>
      </c>
      <c r="F249" s="2">
        <v>46018</v>
      </c>
      <c r="G249" s="3" t="s">
        <v>570</v>
      </c>
      <c r="H249" s="3" t="s">
        <v>744</v>
      </c>
      <c r="I249" s="5"/>
      <c r="J249" s="6">
        <v>10.88</v>
      </c>
      <c r="K249" s="1"/>
      <c r="L249" s="1"/>
    </row>
    <row r="250" spans="1:12" x14ac:dyDescent="0.2">
      <c r="A250" s="3" t="s">
        <v>71</v>
      </c>
      <c r="B250" t="s">
        <v>95</v>
      </c>
      <c r="C250" t="s">
        <v>13</v>
      </c>
      <c r="D250" s="2">
        <v>46018</v>
      </c>
      <c r="E250" t="s">
        <v>64</v>
      </c>
      <c r="F250" s="2">
        <v>46018</v>
      </c>
      <c r="G250" s="3" t="s">
        <v>443</v>
      </c>
      <c r="H250" s="3" t="s">
        <v>744</v>
      </c>
      <c r="I250" s="5"/>
      <c r="J250" s="6">
        <v>60.86</v>
      </c>
      <c r="K250" s="1"/>
      <c r="L250" s="1"/>
    </row>
    <row r="251" spans="1:12" x14ac:dyDescent="0.2">
      <c r="A251" s="3" t="s">
        <v>71</v>
      </c>
      <c r="B251" t="s">
        <v>95</v>
      </c>
      <c r="C251" t="s">
        <v>13</v>
      </c>
      <c r="D251" s="2">
        <v>46018</v>
      </c>
      <c r="E251" t="s">
        <v>64</v>
      </c>
      <c r="F251" s="2">
        <v>46018</v>
      </c>
      <c r="G251" s="3" t="s">
        <v>443</v>
      </c>
      <c r="H251" s="3" t="s">
        <v>744</v>
      </c>
      <c r="I251" s="5"/>
      <c r="J251" s="6">
        <v>55.32</v>
      </c>
      <c r="K251" s="1"/>
      <c r="L251" s="1"/>
    </row>
    <row r="252" spans="1:12" x14ac:dyDescent="0.2">
      <c r="A252" s="3" t="s">
        <v>71</v>
      </c>
      <c r="B252" t="s">
        <v>95</v>
      </c>
      <c r="C252" t="s">
        <v>13</v>
      </c>
      <c r="D252" s="2">
        <v>46018</v>
      </c>
      <c r="E252" t="s">
        <v>64</v>
      </c>
      <c r="F252" s="2">
        <v>46018</v>
      </c>
      <c r="G252" s="3" t="s">
        <v>570</v>
      </c>
      <c r="H252" s="3" t="s">
        <v>744</v>
      </c>
      <c r="I252" s="5"/>
      <c r="J252" s="6">
        <v>10</v>
      </c>
      <c r="K252" s="1"/>
      <c r="L252" s="1"/>
    </row>
    <row r="253" spans="1:12" x14ac:dyDescent="0.2">
      <c r="A253" s="3" t="s">
        <v>71</v>
      </c>
      <c r="B253" t="s">
        <v>95</v>
      </c>
      <c r="C253" t="s">
        <v>13</v>
      </c>
      <c r="D253" s="2">
        <v>46018</v>
      </c>
      <c r="E253" t="s">
        <v>64</v>
      </c>
      <c r="F253" s="2">
        <v>46018</v>
      </c>
      <c r="G253" t="s">
        <v>443</v>
      </c>
      <c r="H253" s="3" t="s">
        <v>744</v>
      </c>
      <c r="J253" s="4">
        <v>52.52</v>
      </c>
    </row>
    <row r="254" spans="1:12" x14ac:dyDescent="0.2">
      <c r="A254" s="3" t="s">
        <v>71</v>
      </c>
      <c r="B254" t="s">
        <v>95</v>
      </c>
      <c r="C254" t="s">
        <v>13</v>
      </c>
      <c r="D254" s="2">
        <v>46018</v>
      </c>
      <c r="E254" t="s">
        <v>64</v>
      </c>
      <c r="F254" s="2">
        <v>46018</v>
      </c>
      <c r="G254" t="s">
        <v>443</v>
      </c>
      <c r="H254" s="3" t="s">
        <v>744</v>
      </c>
      <c r="J254" s="4">
        <v>11.04</v>
      </c>
    </row>
    <row r="255" spans="1:12" x14ac:dyDescent="0.2">
      <c r="A255" s="3" t="s">
        <v>71</v>
      </c>
      <c r="B255" t="s">
        <v>95</v>
      </c>
      <c r="C255" t="s">
        <v>13</v>
      </c>
      <c r="D255" s="2">
        <v>46018</v>
      </c>
      <c r="E255" t="s">
        <v>64</v>
      </c>
      <c r="F255" s="2">
        <v>46018</v>
      </c>
      <c r="G255" t="s">
        <v>570</v>
      </c>
      <c r="H255" s="3" t="s">
        <v>744</v>
      </c>
      <c r="J255" s="4">
        <v>9.8000000000000007</v>
      </c>
    </row>
    <row r="256" spans="1:12" x14ac:dyDescent="0.2">
      <c r="A256" s="3" t="s">
        <v>71</v>
      </c>
      <c r="B256" t="s">
        <v>95</v>
      </c>
      <c r="C256" t="s">
        <v>13</v>
      </c>
      <c r="D256" s="2">
        <v>46018</v>
      </c>
      <c r="E256" t="s">
        <v>64</v>
      </c>
      <c r="F256" s="2">
        <v>46018</v>
      </c>
      <c r="G256" t="s">
        <v>747</v>
      </c>
      <c r="H256" s="3" t="s">
        <v>744</v>
      </c>
      <c r="J256" s="4">
        <v>500</v>
      </c>
    </row>
    <row r="257" spans="1:10" x14ac:dyDescent="0.2">
      <c r="A257" s="3" t="s">
        <v>71</v>
      </c>
      <c r="B257" t="s">
        <v>95</v>
      </c>
      <c r="C257" t="s">
        <v>13</v>
      </c>
      <c r="D257" s="2">
        <v>46018</v>
      </c>
      <c r="E257" t="s">
        <v>64</v>
      </c>
      <c r="F257" s="2">
        <v>46018</v>
      </c>
      <c r="G257" t="s">
        <v>445</v>
      </c>
      <c r="H257" s="3" t="s">
        <v>744</v>
      </c>
      <c r="J257" s="4">
        <v>587.4</v>
      </c>
    </row>
    <row r="258" spans="1:10" x14ac:dyDescent="0.2">
      <c r="A258" s="3" t="s">
        <v>71</v>
      </c>
      <c r="B258" t="s">
        <v>95</v>
      </c>
      <c r="C258" t="s">
        <v>13</v>
      </c>
      <c r="D258" s="2">
        <v>46018</v>
      </c>
      <c r="E258" t="s">
        <v>64</v>
      </c>
      <c r="F258" s="2">
        <v>46018</v>
      </c>
      <c r="G258" t="s">
        <v>747</v>
      </c>
      <c r="H258" s="3" t="s">
        <v>744</v>
      </c>
      <c r="J258" s="4">
        <v>500</v>
      </c>
    </row>
    <row r="259" spans="1:10" x14ac:dyDescent="0.2">
      <c r="A259" s="3" t="s">
        <v>12</v>
      </c>
      <c r="B259" t="s">
        <v>95</v>
      </c>
      <c r="C259" t="s">
        <v>13</v>
      </c>
      <c r="D259" s="2">
        <v>46018</v>
      </c>
      <c r="E259" t="s">
        <v>64</v>
      </c>
      <c r="F259" s="2">
        <v>46018</v>
      </c>
      <c r="G259" s="3" t="s">
        <v>693</v>
      </c>
      <c r="H259" s="3" t="s">
        <v>743</v>
      </c>
      <c r="J259" s="4">
        <v>16.989999999999998</v>
      </c>
    </row>
    <row r="260" spans="1:10" x14ac:dyDescent="0.2">
      <c r="A260" s="3" t="s">
        <v>12</v>
      </c>
      <c r="B260" t="s">
        <v>95</v>
      </c>
      <c r="C260" t="s">
        <v>13</v>
      </c>
      <c r="D260" s="2">
        <v>46018</v>
      </c>
      <c r="E260" t="s">
        <v>64</v>
      </c>
      <c r="F260" s="2">
        <v>46018</v>
      </c>
      <c r="G260" s="3" t="s">
        <v>633</v>
      </c>
      <c r="H260" s="3" t="s">
        <v>743</v>
      </c>
      <c r="J260" s="4">
        <v>221.08</v>
      </c>
    </row>
    <row r="261" spans="1:10" x14ac:dyDescent="0.2">
      <c r="A261" s="3" t="s">
        <v>12</v>
      </c>
      <c r="B261" t="s">
        <v>95</v>
      </c>
      <c r="C261" t="s">
        <v>13</v>
      </c>
      <c r="D261" s="2">
        <v>46018</v>
      </c>
      <c r="E261" t="s">
        <v>64</v>
      </c>
      <c r="F261" s="2">
        <v>46018</v>
      </c>
      <c r="G261" s="3" t="s">
        <v>445</v>
      </c>
      <c r="H261" s="3" t="s">
        <v>743</v>
      </c>
      <c r="J261" s="4">
        <v>58</v>
      </c>
    </row>
    <row r="262" spans="1:10" x14ac:dyDescent="0.2">
      <c r="A262" t="s">
        <v>12</v>
      </c>
      <c r="C262" t="s">
        <v>13</v>
      </c>
      <c r="D262" t="s">
        <v>14</v>
      </c>
      <c r="E262" t="s">
        <v>15</v>
      </c>
      <c r="F262" t="s">
        <v>14</v>
      </c>
      <c r="G262" t="s">
        <v>16</v>
      </c>
      <c r="H262" t="s">
        <v>17</v>
      </c>
      <c r="I262"/>
      <c r="J262">
        <v>18000</v>
      </c>
    </row>
    <row r="263" spans="1:10" x14ac:dyDescent="0.2">
      <c r="A263" t="s">
        <v>18</v>
      </c>
      <c r="C263" t="s">
        <v>19</v>
      </c>
      <c r="D263" t="s">
        <v>14</v>
      </c>
      <c r="E263" t="s">
        <v>15</v>
      </c>
      <c r="F263" t="s">
        <v>14</v>
      </c>
      <c r="G263" t="s">
        <v>16</v>
      </c>
      <c r="H263" t="s">
        <v>20</v>
      </c>
      <c r="I263">
        <v>18000</v>
      </c>
      <c r="J263"/>
    </row>
    <row r="264" spans="1:10" x14ac:dyDescent="0.2">
      <c r="A264" t="s">
        <v>18</v>
      </c>
      <c r="C264" t="s">
        <v>13</v>
      </c>
      <c r="D264" t="s">
        <v>21</v>
      </c>
      <c r="E264" t="s">
        <v>15</v>
      </c>
      <c r="F264" t="s">
        <v>21</v>
      </c>
      <c r="G264" t="s">
        <v>22</v>
      </c>
      <c r="H264" t="s">
        <v>23</v>
      </c>
      <c r="I264"/>
      <c r="J264">
        <v>340.88</v>
      </c>
    </row>
    <row r="265" spans="1:10" x14ac:dyDescent="0.2">
      <c r="A265" t="s">
        <v>18</v>
      </c>
      <c r="C265" t="s">
        <v>13</v>
      </c>
      <c r="D265" t="s">
        <v>24</v>
      </c>
      <c r="E265" t="s">
        <v>15</v>
      </c>
      <c r="F265" t="s">
        <v>24</v>
      </c>
      <c r="G265" t="s">
        <v>22</v>
      </c>
      <c r="H265" t="s">
        <v>25</v>
      </c>
      <c r="I265"/>
      <c r="J265">
        <v>1510</v>
      </c>
    </row>
    <row r="266" spans="1:10" x14ac:dyDescent="0.2">
      <c r="A266" t="s">
        <v>18</v>
      </c>
      <c r="C266" t="s">
        <v>13</v>
      </c>
      <c r="D266" t="s">
        <v>24</v>
      </c>
      <c r="E266" t="s">
        <v>15</v>
      </c>
      <c r="F266" t="s">
        <v>24</v>
      </c>
      <c r="G266" t="s">
        <v>22</v>
      </c>
      <c r="H266" t="s">
        <v>26</v>
      </c>
      <c r="I266"/>
      <c r="J266">
        <v>3445.07</v>
      </c>
    </row>
    <row r="267" spans="1:10" x14ac:dyDescent="0.2">
      <c r="A267" t="s">
        <v>27</v>
      </c>
      <c r="C267" t="s">
        <v>13</v>
      </c>
      <c r="D267" t="s">
        <v>28</v>
      </c>
      <c r="E267" t="s">
        <v>15</v>
      </c>
      <c r="F267" t="s">
        <v>29</v>
      </c>
      <c r="G267" t="s">
        <v>22</v>
      </c>
      <c r="H267" t="s">
        <v>30</v>
      </c>
      <c r="I267"/>
      <c r="J267">
        <v>15.86</v>
      </c>
    </row>
    <row r="268" spans="1:10" x14ac:dyDescent="0.2">
      <c r="A268" t="s">
        <v>27</v>
      </c>
      <c r="C268" t="s">
        <v>13</v>
      </c>
      <c r="D268" t="s">
        <v>31</v>
      </c>
      <c r="E268" t="s">
        <v>15</v>
      </c>
      <c r="F268" t="s">
        <v>31</v>
      </c>
      <c r="G268" t="s">
        <v>16</v>
      </c>
      <c r="H268" t="s">
        <v>17</v>
      </c>
      <c r="I268"/>
      <c r="J268">
        <v>26000</v>
      </c>
    </row>
    <row r="269" spans="1:10" x14ac:dyDescent="0.2">
      <c r="A269" t="s">
        <v>18</v>
      </c>
      <c r="C269" t="s">
        <v>19</v>
      </c>
      <c r="D269" t="s">
        <v>31</v>
      </c>
      <c r="E269" t="s">
        <v>15</v>
      </c>
      <c r="F269" t="s">
        <v>31</v>
      </c>
      <c r="G269" t="s">
        <v>16</v>
      </c>
      <c r="H269" t="s">
        <v>32</v>
      </c>
      <c r="I269">
        <v>26000</v>
      </c>
      <c r="J269"/>
    </row>
    <row r="270" spans="1:10" x14ac:dyDescent="0.2">
      <c r="A270" t="s">
        <v>27</v>
      </c>
      <c r="C270" t="s">
        <v>13</v>
      </c>
      <c r="D270" t="s">
        <v>31</v>
      </c>
      <c r="E270" t="s">
        <v>15</v>
      </c>
      <c r="F270" t="s">
        <v>31</v>
      </c>
      <c r="G270" t="s">
        <v>16</v>
      </c>
      <c r="H270" t="s">
        <v>33</v>
      </c>
      <c r="I270"/>
      <c r="J270">
        <v>25845.96</v>
      </c>
    </row>
    <row r="271" spans="1:10" x14ac:dyDescent="0.2">
      <c r="A271" t="s">
        <v>34</v>
      </c>
      <c r="C271" t="s">
        <v>19</v>
      </c>
      <c r="D271" t="s">
        <v>31</v>
      </c>
      <c r="E271" t="s">
        <v>15</v>
      </c>
      <c r="F271" t="s">
        <v>31</v>
      </c>
      <c r="G271" t="s">
        <v>16</v>
      </c>
      <c r="H271" t="s">
        <v>32</v>
      </c>
      <c r="I271">
        <v>25845.96</v>
      </c>
      <c r="J271"/>
    </row>
    <row r="272" spans="1:10" x14ac:dyDescent="0.2">
      <c r="A272" t="s">
        <v>27</v>
      </c>
      <c r="C272" t="s">
        <v>13</v>
      </c>
      <c r="D272" t="s">
        <v>35</v>
      </c>
      <c r="E272" t="s">
        <v>15</v>
      </c>
      <c r="F272" t="s">
        <v>35</v>
      </c>
      <c r="G272" t="s">
        <v>22</v>
      </c>
      <c r="H272" t="s">
        <v>36</v>
      </c>
      <c r="I272"/>
      <c r="J272">
        <v>697.75</v>
      </c>
    </row>
    <row r="273" spans="1:10" x14ac:dyDescent="0.2">
      <c r="A273" t="s">
        <v>27</v>
      </c>
      <c r="C273" t="s">
        <v>13</v>
      </c>
      <c r="D273" t="s">
        <v>35</v>
      </c>
      <c r="E273" t="s">
        <v>15</v>
      </c>
      <c r="F273" t="s">
        <v>35</v>
      </c>
      <c r="G273" t="s">
        <v>16</v>
      </c>
      <c r="H273" t="s">
        <v>37</v>
      </c>
      <c r="I273"/>
      <c r="J273">
        <v>2685</v>
      </c>
    </row>
    <row r="274" spans="1:10" x14ac:dyDescent="0.2">
      <c r="A274" t="s">
        <v>12</v>
      </c>
      <c r="C274" t="s">
        <v>19</v>
      </c>
      <c r="D274" t="s">
        <v>35</v>
      </c>
      <c r="E274" t="s">
        <v>15</v>
      </c>
      <c r="F274" t="s">
        <v>35</v>
      </c>
      <c r="G274" t="s">
        <v>16</v>
      </c>
      <c r="H274" t="s">
        <v>32</v>
      </c>
      <c r="I274">
        <v>2685</v>
      </c>
      <c r="J274"/>
    </row>
    <row r="275" spans="1:10" x14ac:dyDescent="0.2">
      <c r="A275" t="s">
        <v>18</v>
      </c>
      <c r="C275" t="s">
        <v>13</v>
      </c>
      <c r="D275" t="s">
        <v>38</v>
      </c>
      <c r="E275" t="s">
        <v>15</v>
      </c>
      <c r="F275" t="s">
        <v>38</v>
      </c>
      <c r="G275" t="s">
        <v>16</v>
      </c>
      <c r="H275" t="s">
        <v>39</v>
      </c>
      <c r="I275"/>
      <c r="J275">
        <v>2000</v>
      </c>
    </row>
    <row r="276" spans="1:10" x14ac:dyDescent="0.2">
      <c r="A276" t="s">
        <v>27</v>
      </c>
      <c r="C276" t="s">
        <v>19</v>
      </c>
      <c r="D276" t="s">
        <v>38</v>
      </c>
      <c r="E276" t="s">
        <v>15</v>
      </c>
      <c r="F276" t="s">
        <v>38</v>
      </c>
      <c r="G276" t="s">
        <v>16</v>
      </c>
      <c r="H276" t="s">
        <v>40</v>
      </c>
      <c r="I276">
        <v>2000</v>
      </c>
      <c r="J276"/>
    </row>
    <row r="277" spans="1:10" x14ac:dyDescent="0.2">
      <c r="A277" t="s">
        <v>27</v>
      </c>
      <c r="C277" t="s">
        <v>13</v>
      </c>
      <c r="D277" t="s">
        <v>41</v>
      </c>
      <c r="E277" t="s">
        <v>42</v>
      </c>
      <c r="F277" t="s">
        <v>41</v>
      </c>
      <c r="G277" t="s">
        <v>16</v>
      </c>
      <c r="H277" t="s">
        <v>17</v>
      </c>
      <c r="I277"/>
      <c r="J277">
        <v>600</v>
      </c>
    </row>
    <row r="278" spans="1:10" x14ac:dyDescent="0.2">
      <c r="A278" t="s">
        <v>18</v>
      </c>
      <c r="C278" t="s">
        <v>19</v>
      </c>
      <c r="D278" t="s">
        <v>41</v>
      </c>
      <c r="E278" t="s">
        <v>42</v>
      </c>
      <c r="F278" t="s">
        <v>41</v>
      </c>
      <c r="G278" t="s">
        <v>16</v>
      </c>
      <c r="H278" t="s">
        <v>32</v>
      </c>
      <c r="I278">
        <v>600</v>
      </c>
      <c r="J278"/>
    </row>
    <row r="279" spans="1:10" x14ac:dyDescent="0.2">
      <c r="A279" t="s">
        <v>27</v>
      </c>
      <c r="C279" t="s">
        <v>13</v>
      </c>
      <c r="D279" t="s">
        <v>43</v>
      </c>
      <c r="E279" t="s">
        <v>42</v>
      </c>
      <c r="F279" t="s">
        <v>43</v>
      </c>
      <c r="G279" t="s">
        <v>16</v>
      </c>
      <c r="H279" t="s">
        <v>17</v>
      </c>
      <c r="I279"/>
      <c r="J279">
        <v>2015</v>
      </c>
    </row>
    <row r="280" spans="1:10" x14ac:dyDescent="0.2">
      <c r="A280" t="s">
        <v>18</v>
      </c>
      <c r="C280" t="s">
        <v>19</v>
      </c>
      <c r="D280" t="s">
        <v>43</v>
      </c>
      <c r="E280" t="s">
        <v>42</v>
      </c>
      <c r="F280" t="s">
        <v>43</v>
      </c>
      <c r="G280" t="s">
        <v>16</v>
      </c>
      <c r="H280" t="s">
        <v>32</v>
      </c>
      <c r="I280">
        <v>2015</v>
      </c>
      <c r="J280"/>
    </row>
    <row r="281" spans="1:10" x14ac:dyDescent="0.2">
      <c r="A281" t="s">
        <v>12</v>
      </c>
      <c r="C281" t="s">
        <v>13</v>
      </c>
      <c r="D281" t="s">
        <v>43</v>
      </c>
      <c r="E281" t="s">
        <v>42</v>
      </c>
      <c r="F281" t="s">
        <v>43</v>
      </c>
      <c r="G281" t="s">
        <v>16</v>
      </c>
      <c r="H281" t="s">
        <v>17</v>
      </c>
      <c r="I281"/>
      <c r="J281">
        <v>3000</v>
      </c>
    </row>
    <row r="282" spans="1:10" x14ac:dyDescent="0.2">
      <c r="A282" t="s">
        <v>18</v>
      </c>
      <c r="C282" t="s">
        <v>19</v>
      </c>
      <c r="D282" t="s">
        <v>43</v>
      </c>
      <c r="E282" t="s">
        <v>42</v>
      </c>
      <c r="F282" t="s">
        <v>43</v>
      </c>
      <c r="G282" t="s">
        <v>16</v>
      </c>
      <c r="H282" t="s">
        <v>20</v>
      </c>
      <c r="I282">
        <v>3000</v>
      </c>
      <c r="J282"/>
    </row>
    <row r="283" spans="1:10" x14ac:dyDescent="0.2">
      <c r="A283" t="s">
        <v>18</v>
      </c>
      <c r="C283" t="s">
        <v>13</v>
      </c>
      <c r="D283" t="s">
        <v>44</v>
      </c>
      <c r="E283" t="s">
        <v>42</v>
      </c>
      <c r="F283" t="s">
        <v>44</v>
      </c>
      <c r="G283" t="s">
        <v>22</v>
      </c>
      <c r="H283" t="s">
        <v>23</v>
      </c>
      <c r="I283"/>
      <c r="J283">
        <v>341</v>
      </c>
    </row>
    <row r="284" spans="1:10" x14ac:dyDescent="0.2">
      <c r="A284" t="s">
        <v>18</v>
      </c>
      <c r="C284" t="s">
        <v>13</v>
      </c>
      <c r="D284" t="s">
        <v>45</v>
      </c>
      <c r="E284" t="s">
        <v>42</v>
      </c>
      <c r="F284" t="s">
        <v>46</v>
      </c>
      <c r="G284" t="s">
        <v>22</v>
      </c>
      <c r="H284" t="s">
        <v>25</v>
      </c>
      <c r="I284"/>
      <c r="J284">
        <v>3706.53</v>
      </c>
    </row>
    <row r="285" spans="1:10" x14ac:dyDescent="0.2">
      <c r="A285" t="s">
        <v>12</v>
      </c>
      <c r="C285" t="s">
        <v>13</v>
      </c>
      <c r="D285" t="s">
        <v>45</v>
      </c>
      <c r="E285" t="s">
        <v>42</v>
      </c>
      <c r="F285" t="s">
        <v>47</v>
      </c>
      <c r="G285" t="s">
        <v>22</v>
      </c>
      <c r="H285" t="s">
        <v>26</v>
      </c>
      <c r="I285"/>
      <c r="J285">
        <v>4487.88</v>
      </c>
    </row>
    <row r="286" spans="1:10" x14ac:dyDescent="0.2">
      <c r="A286" t="s">
        <v>12</v>
      </c>
      <c r="C286" t="s">
        <v>13</v>
      </c>
      <c r="D286" t="s">
        <v>46</v>
      </c>
      <c r="E286" t="s">
        <v>42</v>
      </c>
      <c r="F286" t="s">
        <v>46</v>
      </c>
      <c r="G286" t="s">
        <v>16</v>
      </c>
      <c r="H286" t="s">
        <v>17</v>
      </c>
      <c r="I286"/>
      <c r="J286">
        <v>900</v>
      </c>
    </row>
    <row r="287" spans="1:10" x14ac:dyDescent="0.2">
      <c r="A287" t="s">
        <v>18</v>
      </c>
      <c r="C287" t="s">
        <v>19</v>
      </c>
      <c r="D287" t="s">
        <v>46</v>
      </c>
      <c r="E287" t="s">
        <v>42</v>
      </c>
      <c r="F287" t="s">
        <v>46</v>
      </c>
      <c r="G287" t="s">
        <v>16</v>
      </c>
      <c r="H287" t="s">
        <v>20</v>
      </c>
      <c r="I287">
        <v>900</v>
      </c>
      <c r="J287"/>
    </row>
    <row r="288" spans="1:10" x14ac:dyDescent="0.2">
      <c r="A288" t="s">
        <v>27</v>
      </c>
      <c r="C288" t="s">
        <v>13</v>
      </c>
      <c r="D288" t="s">
        <v>46</v>
      </c>
      <c r="E288" t="s">
        <v>42</v>
      </c>
      <c r="F288" t="s">
        <v>46</v>
      </c>
      <c r="G288" t="s">
        <v>16</v>
      </c>
      <c r="H288" t="s">
        <v>17</v>
      </c>
      <c r="I288"/>
      <c r="J288">
        <v>3643.24</v>
      </c>
    </row>
    <row r="289" spans="1:10" x14ac:dyDescent="0.2">
      <c r="A289" t="s">
        <v>18</v>
      </c>
      <c r="C289" t="s">
        <v>19</v>
      </c>
      <c r="D289" t="s">
        <v>46</v>
      </c>
      <c r="E289" t="s">
        <v>42</v>
      </c>
      <c r="F289" t="s">
        <v>46</v>
      </c>
      <c r="G289" t="s">
        <v>16</v>
      </c>
      <c r="H289" t="s">
        <v>32</v>
      </c>
      <c r="I289">
        <v>3643.24</v>
      </c>
      <c r="J289"/>
    </row>
    <row r="290" spans="1:10" x14ac:dyDescent="0.2">
      <c r="A290" t="s">
        <v>18</v>
      </c>
      <c r="C290" t="s">
        <v>13</v>
      </c>
      <c r="D290" t="s">
        <v>48</v>
      </c>
      <c r="E290" t="s">
        <v>42</v>
      </c>
      <c r="F290" t="s">
        <v>49</v>
      </c>
      <c r="G290" t="s">
        <v>22</v>
      </c>
      <c r="H290" t="s">
        <v>50</v>
      </c>
      <c r="I290"/>
      <c r="J290">
        <v>500</v>
      </c>
    </row>
    <row r="291" spans="1:10" x14ac:dyDescent="0.2">
      <c r="A291" t="s">
        <v>18</v>
      </c>
      <c r="C291" t="s">
        <v>13</v>
      </c>
      <c r="D291" t="s">
        <v>51</v>
      </c>
      <c r="E291" t="s">
        <v>42</v>
      </c>
      <c r="F291" t="s">
        <v>52</v>
      </c>
      <c r="G291" t="s">
        <v>22</v>
      </c>
      <c r="H291" t="s">
        <v>53</v>
      </c>
      <c r="I291"/>
      <c r="J291">
        <v>1473.39</v>
      </c>
    </row>
    <row r="292" spans="1:10" x14ac:dyDescent="0.2">
      <c r="A292" t="s">
        <v>12</v>
      </c>
      <c r="C292" t="s">
        <v>13</v>
      </c>
      <c r="D292" t="s">
        <v>54</v>
      </c>
      <c r="E292" t="s">
        <v>42</v>
      </c>
      <c r="F292" t="s">
        <v>54</v>
      </c>
      <c r="G292" t="s">
        <v>16</v>
      </c>
      <c r="H292" t="s">
        <v>17</v>
      </c>
      <c r="I292"/>
      <c r="J292">
        <v>21000</v>
      </c>
    </row>
    <row r="293" spans="1:10" x14ac:dyDescent="0.2">
      <c r="A293" t="s">
        <v>18</v>
      </c>
      <c r="C293" t="s">
        <v>19</v>
      </c>
      <c r="D293" t="s">
        <v>54</v>
      </c>
      <c r="E293" t="s">
        <v>42</v>
      </c>
      <c r="F293" t="s">
        <v>54</v>
      </c>
      <c r="G293" t="s">
        <v>16</v>
      </c>
      <c r="H293" t="s">
        <v>20</v>
      </c>
      <c r="I293">
        <v>21000</v>
      </c>
      <c r="J293"/>
    </row>
    <row r="294" spans="1:10" x14ac:dyDescent="0.2">
      <c r="A294" t="s">
        <v>18</v>
      </c>
      <c r="C294" t="s">
        <v>13</v>
      </c>
      <c r="D294" t="s">
        <v>54</v>
      </c>
      <c r="E294" t="s">
        <v>42</v>
      </c>
      <c r="F294" t="s">
        <v>54</v>
      </c>
      <c r="G294" t="s">
        <v>16</v>
      </c>
      <c r="H294" t="s">
        <v>39</v>
      </c>
      <c r="I294"/>
      <c r="J294">
        <v>2000</v>
      </c>
    </row>
    <row r="295" spans="1:10" x14ac:dyDescent="0.2">
      <c r="A295" t="s">
        <v>27</v>
      </c>
      <c r="C295" t="s">
        <v>19</v>
      </c>
      <c r="D295" t="s">
        <v>54</v>
      </c>
      <c r="E295" t="s">
        <v>42</v>
      </c>
      <c r="F295" t="s">
        <v>54</v>
      </c>
      <c r="G295" t="s">
        <v>16</v>
      </c>
      <c r="H295" t="s">
        <v>40</v>
      </c>
      <c r="I295">
        <v>2000</v>
      </c>
      <c r="J295"/>
    </row>
    <row r="296" spans="1:10" x14ac:dyDescent="0.2">
      <c r="A296" t="s">
        <v>18</v>
      </c>
      <c r="C296" t="s">
        <v>13</v>
      </c>
      <c r="D296" t="s">
        <v>55</v>
      </c>
      <c r="E296" t="s">
        <v>42</v>
      </c>
      <c r="F296" t="s">
        <v>54</v>
      </c>
      <c r="G296" t="s">
        <v>22</v>
      </c>
      <c r="H296" t="s">
        <v>30</v>
      </c>
      <c r="I296"/>
      <c r="J296">
        <v>426.08</v>
      </c>
    </row>
    <row r="297" spans="1:10" x14ac:dyDescent="0.2">
      <c r="A297" t="s">
        <v>18</v>
      </c>
      <c r="C297" t="s">
        <v>13</v>
      </c>
      <c r="D297" t="s">
        <v>56</v>
      </c>
      <c r="E297" t="s">
        <v>42</v>
      </c>
      <c r="F297" t="s">
        <v>56</v>
      </c>
      <c r="G297" t="s">
        <v>16</v>
      </c>
      <c r="H297" t="s">
        <v>39</v>
      </c>
      <c r="I297"/>
      <c r="J297">
        <v>1500</v>
      </c>
    </row>
    <row r="298" spans="1:10" x14ac:dyDescent="0.2">
      <c r="A298" t="s">
        <v>27</v>
      </c>
      <c r="C298" t="s">
        <v>19</v>
      </c>
      <c r="D298" t="s">
        <v>56</v>
      </c>
      <c r="E298" t="s">
        <v>42</v>
      </c>
      <c r="F298" t="s">
        <v>56</v>
      </c>
      <c r="G298" t="s">
        <v>16</v>
      </c>
      <c r="H298" t="s">
        <v>40</v>
      </c>
      <c r="I298">
        <v>1500</v>
      </c>
      <c r="J298"/>
    </row>
    <row r="299" spans="1:10" x14ac:dyDescent="0.2">
      <c r="A299" t="s">
        <v>12</v>
      </c>
      <c r="C299" t="s">
        <v>13</v>
      </c>
      <c r="D299" t="s">
        <v>56</v>
      </c>
      <c r="E299" t="s">
        <v>42</v>
      </c>
      <c r="F299" t="s">
        <v>56</v>
      </c>
      <c r="G299" t="s">
        <v>16</v>
      </c>
      <c r="H299" t="s">
        <v>57</v>
      </c>
      <c r="I299"/>
      <c r="J299">
        <v>2650</v>
      </c>
    </row>
    <row r="300" spans="1:10" x14ac:dyDescent="0.2">
      <c r="A300" t="s">
        <v>58</v>
      </c>
      <c r="C300" t="s">
        <v>19</v>
      </c>
      <c r="D300" t="s">
        <v>56</v>
      </c>
      <c r="E300" t="s">
        <v>42</v>
      </c>
      <c r="F300" t="s">
        <v>56</v>
      </c>
      <c r="G300" t="s">
        <v>16</v>
      </c>
      <c r="H300" t="s">
        <v>20</v>
      </c>
      <c r="I300">
        <v>2650</v>
      </c>
      <c r="J300"/>
    </row>
    <row r="301" spans="1:10" x14ac:dyDescent="0.2">
      <c r="A301" t="s">
        <v>12</v>
      </c>
      <c r="C301" t="s">
        <v>13</v>
      </c>
      <c r="D301" t="s">
        <v>56</v>
      </c>
      <c r="E301" t="s">
        <v>42</v>
      </c>
      <c r="F301" t="s">
        <v>56</v>
      </c>
      <c r="G301" t="s">
        <v>16</v>
      </c>
      <c r="H301" t="s">
        <v>57</v>
      </c>
      <c r="I301"/>
      <c r="J301">
        <v>100</v>
      </c>
    </row>
    <row r="302" spans="1:10" x14ac:dyDescent="0.2">
      <c r="A302" t="s">
        <v>58</v>
      </c>
      <c r="C302" t="s">
        <v>19</v>
      </c>
      <c r="D302" t="s">
        <v>56</v>
      </c>
      <c r="E302" t="s">
        <v>42</v>
      </c>
      <c r="F302" t="s">
        <v>56</v>
      </c>
      <c r="G302" t="s">
        <v>16</v>
      </c>
      <c r="H302" t="s">
        <v>20</v>
      </c>
      <c r="I302">
        <v>100</v>
      </c>
      <c r="J302"/>
    </row>
    <row r="303" spans="1:10" x14ac:dyDescent="0.2">
      <c r="A303" t="s">
        <v>12</v>
      </c>
      <c r="C303" t="s">
        <v>13</v>
      </c>
      <c r="D303" t="s">
        <v>59</v>
      </c>
      <c r="E303" t="s">
        <v>42</v>
      </c>
      <c r="F303" t="s">
        <v>59</v>
      </c>
      <c r="G303" t="s">
        <v>16</v>
      </c>
      <c r="H303" t="s">
        <v>17</v>
      </c>
      <c r="I303"/>
      <c r="J303">
        <v>1500</v>
      </c>
    </row>
    <row r="304" spans="1:10" x14ac:dyDescent="0.2">
      <c r="A304" t="s">
        <v>18</v>
      </c>
      <c r="C304" t="s">
        <v>19</v>
      </c>
      <c r="D304" t="s">
        <v>59</v>
      </c>
      <c r="E304" t="s">
        <v>42</v>
      </c>
      <c r="F304" t="s">
        <v>59</v>
      </c>
      <c r="G304" t="s">
        <v>16</v>
      </c>
      <c r="H304" t="s">
        <v>20</v>
      </c>
      <c r="I304">
        <v>1500</v>
      </c>
      <c r="J304"/>
    </row>
    <row r="305" spans="1:10" x14ac:dyDescent="0.2">
      <c r="A305" t="s">
        <v>18</v>
      </c>
      <c r="C305" t="s">
        <v>13</v>
      </c>
      <c r="D305" t="s">
        <v>60</v>
      </c>
      <c r="E305" t="s">
        <v>42</v>
      </c>
      <c r="F305" t="s">
        <v>56</v>
      </c>
      <c r="G305" t="s">
        <v>22</v>
      </c>
      <c r="H305" t="s">
        <v>36</v>
      </c>
      <c r="I305"/>
      <c r="J305">
        <v>544.66999999999996</v>
      </c>
    </row>
    <row r="306" spans="1:10" x14ac:dyDescent="0.2">
      <c r="A306" t="s">
        <v>12</v>
      </c>
      <c r="C306" t="s">
        <v>13</v>
      </c>
      <c r="D306" t="s">
        <v>61</v>
      </c>
      <c r="E306" t="s">
        <v>42</v>
      </c>
      <c r="F306" t="s">
        <v>61</v>
      </c>
      <c r="G306" t="s">
        <v>16</v>
      </c>
      <c r="H306" t="s">
        <v>17</v>
      </c>
      <c r="I306"/>
      <c r="J306">
        <v>240</v>
      </c>
    </row>
    <row r="307" spans="1:10" x14ac:dyDescent="0.2">
      <c r="A307" t="s">
        <v>18</v>
      </c>
      <c r="C307" t="s">
        <v>19</v>
      </c>
      <c r="D307" t="s">
        <v>61</v>
      </c>
      <c r="E307" t="s">
        <v>42</v>
      </c>
      <c r="F307" t="s">
        <v>61</v>
      </c>
      <c r="G307" t="s">
        <v>16</v>
      </c>
      <c r="H307" t="s">
        <v>20</v>
      </c>
      <c r="I307">
        <v>240</v>
      </c>
      <c r="J307"/>
    </row>
    <row r="308" spans="1:10" x14ac:dyDescent="0.2">
      <c r="A308" t="s">
        <v>27</v>
      </c>
      <c r="C308" t="s">
        <v>13</v>
      </c>
      <c r="D308" t="s">
        <v>62</v>
      </c>
      <c r="E308" t="s">
        <v>42</v>
      </c>
      <c r="F308" t="s">
        <v>62</v>
      </c>
      <c r="G308" t="s">
        <v>16</v>
      </c>
      <c r="H308" t="s">
        <v>17</v>
      </c>
      <c r="I308"/>
      <c r="J308">
        <v>4800</v>
      </c>
    </row>
    <row r="309" spans="1:10" x14ac:dyDescent="0.2">
      <c r="A309" t="s">
        <v>18</v>
      </c>
      <c r="C309" t="s">
        <v>19</v>
      </c>
      <c r="D309" t="s">
        <v>62</v>
      </c>
      <c r="E309" t="s">
        <v>42</v>
      </c>
      <c r="F309" t="s">
        <v>62</v>
      </c>
      <c r="G309" t="s">
        <v>16</v>
      </c>
      <c r="H309" t="s">
        <v>32</v>
      </c>
      <c r="I309">
        <v>4800</v>
      </c>
      <c r="J309"/>
    </row>
    <row r="310" spans="1:10" x14ac:dyDescent="0.2">
      <c r="A310" t="s">
        <v>27</v>
      </c>
      <c r="C310" t="s">
        <v>13</v>
      </c>
      <c r="D310" t="s">
        <v>63</v>
      </c>
      <c r="E310" t="s">
        <v>64</v>
      </c>
      <c r="F310" t="s">
        <v>63</v>
      </c>
      <c r="G310" t="s">
        <v>16</v>
      </c>
      <c r="H310" t="s">
        <v>17</v>
      </c>
      <c r="I310"/>
      <c r="J310">
        <v>6000</v>
      </c>
    </row>
    <row r="311" spans="1:10" x14ac:dyDescent="0.2">
      <c r="A311" t="s">
        <v>18</v>
      </c>
      <c r="C311" t="s">
        <v>19</v>
      </c>
      <c r="D311" t="s">
        <v>63</v>
      </c>
      <c r="E311" t="s">
        <v>64</v>
      </c>
      <c r="F311" t="s">
        <v>63</v>
      </c>
      <c r="G311" t="s">
        <v>16</v>
      </c>
      <c r="H311" t="s">
        <v>32</v>
      </c>
      <c r="I311">
        <v>6000</v>
      </c>
      <c r="J311"/>
    </row>
    <row r="312" spans="1:10" x14ac:dyDescent="0.2">
      <c r="A312" t="s">
        <v>27</v>
      </c>
      <c r="C312" t="s">
        <v>13</v>
      </c>
      <c r="D312" t="s">
        <v>65</v>
      </c>
      <c r="E312" t="s">
        <v>64</v>
      </c>
      <c r="F312" t="s">
        <v>65</v>
      </c>
      <c r="G312" t="s">
        <v>16</v>
      </c>
      <c r="H312" t="s">
        <v>17</v>
      </c>
      <c r="I312"/>
      <c r="J312">
        <v>10000</v>
      </c>
    </row>
    <row r="313" spans="1:10" x14ac:dyDescent="0.2">
      <c r="A313" t="s">
        <v>18</v>
      </c>
      <c r="C313" t="s">
        <v>19</v>
      </c>
      <c r="D313" t="s">
        <v>65</v>
      </c>
      <c r="E313" t="s">
        <v>64</v>
      </c>
      <c r="F313" t="s">
        <v>65</v>
      </c>
      <c r="G313" t="s">
        <v>16</v>
      </c>
      <c r="H313" t="s">
        <v>32</v>
      </c>
      <c r="I313">
        <v>10000</v>
      </c>
      <c r="J313"/>
    </row>
    <row r="314" spans="1:10" x14ac:dyDescent="0.2">
      <c r="A314" t="s">
        <v>12</v>
      </c>
      <c r="C314" t="s">
        <v>13</v>
      </c>
      <c r="D314" t="s">
        <v>66</v>
      </c>
      <c r="E314" t="s">
        <v>64</v>
      </c>
      <c r="F314" t="s">
        <v>66</v>
      </c>
      <c r="G314" t="s">
        <v>16</v>
      </c>
      <c r="H314" t="s">
        <v>17</v>
      </c>
      <c r="I314"/>
      <c r="J314">
        <v>2000</v>
      </c>
    </row>
    <row r="315" spans="1:10" x14ac:dyDescent="0.2">
      <c r="A315" t="s">
        <v>18</v>
      </c>
      <c r="C315" t="s">
        <v>19</v>
      </c>
      <c r="D315" t="s">
        <v>66</v>
      </c>
      <c r="E315" t="s">
        <v>64</v>
      </c>
      <c r="F315" t="s">
        <v>66</v>
      </c>
      <c r="G315" t="s">
        <v>16</v>
      </c>
      <c r="H315" t="s">
        <v>20</v>
      </c>
      <c r="I315">
        <v>2000</v>
      </c>
      <c r="J315"/>
    </row>
    <row r="316" spans="1:10" x14ac:dyDescent="0.2">
      <c r="A316" t="s">
        <v>18</v>
      </c>
      <c r="C316" t="s">
        <v>13</v>
      </c>
      <c r="D316" t="s">
        <v>67</v>
      </c>
      <c r="E316" t="s">
        <v>64</v>
      </c>
      <c r="F316" t="s">
        <v>66</v>
      </c>
      <c r="G316" t="s">
        <v>22</v>
      </c>
      <c r="H316" t="s">
        <v>23</v>
      </c>
      <c r="I316"/>
      <c r="J316">
        <v>190.88</v>
      </c>
    </row>
    <row r="317" spans="1:10" x14ac:dyDescent="0.2">
      <c r="A317" t="s">
        <v>27</v>
      </c>
      <c r="C317" t="s">
        <v>13</v>
      </c>
      <c r="D317" t="s">
        <v>68</v>
      </c>
      <c r="E317" t="s">
        <v>64</v>
      </c>
      <c r="F317" t="s">
        <v>66</v>
      </c>
      <c r="G317" t="s">
        <v>22</v>
      </c>
      <c r="H317" t="s">
        <v>25</v>
      </c>
      <c r="I317"/>
      <c r="J317">
        <v>1477.72</v>
      </c>
    </row>
    <row r="318" spans="1:10" x14ac:dyDescent="0.2">
      <c r="A318" t="s">
        <v>18</v>
      </c>
      <c r="C318" t="s">
        <v>13</v>
      </c>
      <c r="D318" t="s">
        <v>68</v>
      </c>
      <c r="E318" t="s">
        <v>64</v>
      </c>
      <c r="F318" t="s">
        <v>65</v>
      </c>
      <c r="G318" t="s">
        <v>22</v>
      </c>
      <c r="H318" t="s">
        <v>26</v>
      </c>
      <c r="I318"/>
      <c r="J318">
        <v>4700.17</v>
      </c>
    </row>
    <row r="319" spans="1:10" x14ac:dyDescent="0.2">
      <c r="A319" t="s">
        <v>58</v>
      </c>
      <c r="C319" t="s">
        <v>13</v>
      </c>
      <c r="D319" t="s">
        <v>69</v>
      </c>
      <c r="E319" t="s">
        <v>64</v>
      </c>
      <c r="F319" t="s">
        <v>69</v>
      </c>
      <c r="G319" t="s">
        <v>16</v>
      </c>
      <c r="H319" t="s">
        <v>70</v>
      </c>
      <c r="I319"/>
      <c r="J319">
        <v>5673</v>
      </c>
    </row>
    <row r="320" spans="1:10" x14ac:dyDescent="0.2">
      <c r="A320" t="s">
        <v>71</v>
      </c>
      <c r="C320" t="s">
        <v>19</v>
      </c>
      <c r="D320" t="s">
        <v>69</v>
      </c>
      <c r="E320" t="s">
        <v>64</v>
      </c>
      <c r="F320" t="s">
        <v>69</v>
      </c>
      <c r="G320" t="s">
        <v>16</v>
      </c>
      <c r="H320" t="s">
        <v>72</v>
      </c>
      <c r="I320">
        <v>5673</v>
      </c>
      <c r="J320"/>
    </row>
    <row r="321" spans="1:12" x14ac:dyDescent="0.2">
      <c r="A321" t="s">
        <v>27</v>
      </c>
      <c r="C321" t="s">
        <v>13</v>
      </c>
      <c r="D321" t="s">
        <v>73</v>
      </c>
      <c r="E321" t="s">
        <v>64</v>
      </c>
      <c r="F321" t="s">
        <v>73</v>
      </c>
      <c r="G321" t="s">
        <v>16</v>
      </c>
      <c r="H321" t="s">
        <v>17</v>
      </c>
      <c r="I321"/>
      <c r="J321">
        <v>6000</v>
      </c>
    </row>
    <row r="322" spans="1:12" x14ac:dyDescent="0.2">
      <c r="A322" t="s">
        <v>18</v>
      </c>
      <c r="C322" t="s">
        <v>19</v>
      </c>
      <c r="D322" t="s">
        <v>73</v>
      </c>
      <c r="E322" t="s">
        <v>64</v>
      </c>
      <c r="F322" t="s">
        <v>73</v>
      </c>
      <c r="G322" t="s">
        <v>16</v>
      </c>
      <c r="H322" t="s">
        <v>32</v>
      </c>
      <c r="I322">
        <v>6000</v>
      </c>
      <c r="J322"/>
    </row>
    <row r="323" spans="1:12" x14ac:dyDescent="0.2">
      <c r="A323" t="s">
        <v>71</v>
      </c>
      <c r="C323" t="s">
        <v>13</v>
      </c>
      <c r="D323" t="s">
        <v>74</v>
      </c>
      <c r="E323" t="s">
        <v>64</v>
      </c>
      <c r="F323" t="s">
        <v>75</v>
      </c>
      <c r="G323" t="s">
        <v>22</v>
      </c>
      <c r="H323" t="s">
        <v>53</v>
      </c>
      <c r="I323"/>
      <c r="J323">
        <v>889.14</v>
      </c>
    </row>
    <row r="324" spans="1:12" x14ac:dyDescent="0.2">
      <c r="A324" t="s">
        <v>18</v>
      </c>
      <c r="C324" t="s">
        <v>13</v>
      </c>
      <c r="D324" t="s">
        <v>76</v>
      </c>
      <c r="E324" t="s">
        <v>64</v>
      </c>
      <c r="F324" t="s">
        <v>77</v>
      </c>
      <c r="G324" t="s">
        <v>22</v>
      </c>
      <c r="H324" t="s">
        <v>30</v>
      </c>
      <c r="I324"/>
      <c r="J324">
        <v>322.51</v>
      </c>
    </row>
    <row r="325" spans="1:12" x14ac:dyDescent="0.2">
      <c r="A325" t="s">
        <v>27</v>
      </c>
      <c r="C325" t="s">
        <v>13</v>
      </c>
      <c r="D325" t="s">
        <v>78</v>
      </c>
      <c r="E325" t="s">
        <v>64</v>
      </c>
      <c r="F325" t="s">
        <v>78</v>
      </c>
      <c r="G325" t="s">
        <v>16</v>
      </c>
      <c r="H325" t="s">
        <v>17</v>
      </c>
      <c r="I325"/>
      <c r="J325">
        <v>18000</v>
      </c>
    </row>
    <row r="326" spans="1:12" x14ac:dyDescent="0.2">
      <c r="A326" t="s">
        <v>18</v>
      </c>
      <c r="C326" t="s">
        <v>19</v>
      </c>
      <c r="D326" t="s">
        <v>78</v>
      </c>
      <c r="E326" t="s">
        <v>64</v>
      </c>
      <c r="F326" t="s">
        <v>78</v>
      </c>
      <c r="G326" t="s">
        <v>16</v>
      </c>
      <c r="H326" t="s">
        <v>32</v>
      </c>
      <c r="I326">
        <v>18000</v>
      </c>
      <c r="J326"/>
    </row>
    <row r="327" spans="1:12" x14ac:dyDescent="0.2">
      <c r="A327" t="s">
        <v>12</v>
      </c>
      <c r="C327" t="s">
        <v>13</v>
      </c>
      <c r="D327" t="s">
        <v>79</v>
      </c>
      <c r="E327" t="s">
        <v>64</v>
      </c>
      <c r="F327" t="s">
        <v>80</v>
      </c>
      <c r="G327" t="s">
        <v>22</v>
      </c>
      <c r="H327" t="s">
        <v>36</v>
      </c>
      <c r="I327"/>
      <c r="J327">
        <v>296.07</v>
      </c>
    </row>
    <row r="328" spans="1:12" x14ac:dyDescent="0.2">
      <c r="A328" t="s">
        <v>18</v>
      </c>
      <c r="C328" t="s">
        <v>13</v>
      </c>
      <c r="D328" t="s">
        <v>80</v>
      </c>
      <c r="E328" t="s">
        <v>64</v>
      </c>
      <c r="F328" t="s">
        <v>80</v>
      </c>
      <c r="G328" t="s">
        <v>16</v>
      </c>
      <c r="H328" t="s">
        <v>81</v>
      </c>
      <c r="I328"/>
      <c r="J328">
        <v>1000</v>
      </c>
    </row>
    <row r="329" spans="1:12" x14ac:dyDescent="0.2">
      <c r="A329" t="s">
        <v>82</v>
      </c>
      <c r="C329" t="s">
        <v>19</v>
      </c>
      <c r="D329" t="s">
        <v>80</v>
      </c>
      <c r="E329" t="s">
        <v>64</v>
      </c>
      <c r="F329" t="s">
        <v>80</v>
      </c>
      <c r="G329" t="s">
        <v>16</v>
      </c>
      <c r="H329" t="s">
        <v>40</v>
      </c>
      <c r="I329">
        <v>1000</v>
      </c>
      <c r="J329"/>
    </row>
    <row r="330" spans="1:12" x14ac:dyDescent="0.2">
      <c r="A330" t="s">
        <v>12</v>
      </c>
      <c r="C330" t="s">
        <v>13</v>
      </c>
      <c r="D330" t="s">
        <v>91</v>
      </c>
      <c r="E330" t="s">
        <v>64</v>
      </c>
      <c r="F330" t="s">
        <v>75</v>
      </c>
      <c r="G330" t="s">
        <v>22</v>
      </c>
      <c r="H330" t="s">
        <v>36</v>
      </c>
      <c r="I330"/>
      <c r="J330">
        <v>296.07</v>
      </c>
    </row>
    <row r="331" spans="1:12" x14ac:dyDescent="0.2">
      <c r="A331" t="s">
        <v>18</v>
      </c>
      <c r="B331" t="s">
        <v>95</v>
      </c>
      <c r="C331" t="s">
        <v>19</v>
      </c>
      <c r="D331" t="s">
        <v>96</v>
      </c>
      <c r="E331" t="s">
        <v>15</v>
      </c>
      <c r="F331" t="s">
        <v>24</v>
      </c>
      <c r="G331" t="s">
        <v>98</v>
      </c>
      <c r="H331" t="s">
        <v>99</v>
      </c>
      <c r="I331">
        <v>375</v>
      </c>
      <c r="J331"/>
      <c r="K331" t="s">
        <v>100</v>
      </c>
      <c r="L331" t="s">
        <v>101</v>
      </c>
    </row>
    <row r="332" spans="1:12" x14ac:dyDescent="0.2">
      <c r="A332" t="s">
        <v>18</v>
      </c>
      <c r="B332" t="s">
        <v>95</v>
      </c>
      <c r="C332" t="s">
        <v>19</v>
      </c>
      <c r="D332" t="s">
        <v>14</v>
      </c>
      <c r="E332" t="s">
        <v>15</v>
      </c>
      <c r="F332" t="s">
        <v>14</v>
      </c>
      <c r="G332" t="s">
        <v>98</v>
      </c>
      <c r="H332" t="s">
        <v>102</v>
      </c>
      <c r="I332">
        <v>490</v>
      </c>
      <c r="J332"/>
      <c r="L332" t="s">
        <v>103</v>
      </c>
    </row>
    <row r="333" spans="1:12" x14ac:dyDescent="0.2">
      <c r="A333" t="s">
        <v>18</v>
      </c>
      <c r="B333" t="s">
        <v>95</v>
      </c>
      <c r="C333" t="s">
        <v>19</v>
      </c>
      <c r="D333" t="s">
        <v>14</v>
      </c>
      <c r="E333" t="s">
        <v>15</v>
      </c>
      <c r="F333" t="s">
        <v>14</v>
      </c>
      <c r="G333" t="s">
        <v>104</v>
      </c>
      <c r="H333"/>
      <c r="I333">
        <v>2101</v>
      </c>
      <c r="J333"/>
      <c r="K333" t="s">
        <v>105</v>
      </c>
      <c r="L333" t="s">
        <v>106</v>
      </c>
    </row>
    <row r="334" spans="1:12" x14ac:dyDescent="0.2">
      <c r="A334" t="s">
        <v>27</v>
      </c>
      <c r="B334" t="s">
        <v>95</v>
      </c>
      <c r="C334" t="s">
        <v>19</v>
      </c>
      <c r="D334" t="s">
        <v>14</v>
      </c>
      <c r="E334" t="s">
        <v>15</v>
      </c>
      <c r="F334" t="s">
        <v>14</v>
      </c>
      <c r="G334" t="s">
        <v>107</v>
      </c>
      <c r="H334"/>
      <c r="I334">
        <v>2037</v>
      </c>
      <c r="J334"/>
      <c r="K334" t="s">
        <v>108</v>
      </c>
      <c r="L334" t="s">
        <v>109</v>
      </c>
    </row>
    <row r="335" spans="1:12" x14ac:dyDescent="0.2">
      <c r="A335" t="s">
        <v>27</v>
      </c>
      <c r="B335" t="s">
        <v>110</v>
      </c>
      <c r="C335" t="s">
        <v>19</v>
      </c>
      <c r="D335" t="s">
        <v>14</v>
      </c>
      <c r="E335" t="s">
        <v>15</v>
      </c>
      <c r="F335" t="s">
        <v>14</v>
      </c>
      <c r="G335" t="s">
        <v>111</v>
      </c>
      <c r="H335" t="s">
        <v>112</v>
      </c>
      <c r="I335">
        <v>500</v>
      </c>
      <c r="J335"/>
      <c r="L335" t="s">
        <v>113</v>
      </c>
    </row>
    <row r="336" spans="1:12" x14ac:dyDescent="0.2">
      <c r="A336" t="s">
        <v>18</v>
      </c>
      <c r="B336" t="s">
        <v>95</v>
      </c>
      <c r="C336" t="s">
        <v>19</v>
      </c>
      <c r="D336" t="s">
        <v>114</v>
      </c>
      <c r="E336" t="s">
        <v>15</v>
      </c>
      <c r="F336" t="s">
        <v>114</v>
      </c>
      <c r="G336" t="s">
        <v>98</v>
      </c>
      <c r="H336" t="s">
        <v>115</v>
      </c>
      <c r="I336">
        <v>300</v>
      </c>
      <c r="J336"/>
      <c r="K336" t="s">
        <v>116</v>
      </c>
      <c r="L336" t="s">
        <v>117</v>
      </c>
    </row>
    <row r="337" spans="1:12" x14ac:dyDescent="0.2">
      <c r="A337" t="s">
        <v>27</v>
      </c>
      <c r="B337" t="s">
        <v>95</v>
      </c>
      <c r="C337" t="s">
        <v>19</v>
      </c>
      <c r="D337" t="s">
        <v>114</v>
      </c>
      <c r="E337" t="s">
        <v>15</v>
      </c>
      <c r="F337" t="s">
        <v>114</v>
      </c>
      <c r="G337" t="s">
        <v>107</v>
      </c>
      <c r="H337"/>
      <c r="I337">
        <v>1960.62</v>
      </c>
      <c r="J337"/>
      <c r="K337" t="s">
        <v>118</v>
      </c>
      <c r="L337" t="s">
        <v>119</v>
      </c>
    </row>
    <row r="338" spans="1:12" x14ac:dyDescent="0.2">
      <c r="A338" t="s">
        <v>12</v>
      </c>
      <c r="B338" t="s">
        <v>95</v>
      </c>
      <c r="C338" t="s">
        <v>19</v>
      </c>
      <c r="D338" t="s">
        <v>114</v>
      </c>
      <c r="E338" t="s">
        <v>15</v>
      </c>
      <c r="F338" t="s">
        <v>114</v>
      </c>
      <c r="G338" t="s">
        <v>98</v>
      </c>
      <c r="H338" t="s">
        <v>120</v>
      </c>
      <c r="I338">
        <v>180</v>
      </c>
      <c r="J338"/>
      <c r="L338" t="s">
        <v>121</v>
      </c>
    </row>
    <row r="339" spans="1:12" x14ac:dyDescent="0.2">
      <c r="A339" t="s">
        <v>27</v>
      </c>
      <c r="B339" t="s">
        <v>95</v>
      </c>
      <c r="C339" t="s">
        <v>19</v>
      </c>
      <c r="D339" t="s">
        <v>122</v>
      </c>
      <c r="E339" t="s">
        <v>15</v>
      </c>
      <c r="F339" t="s">
        <v>122</v>
      </c>
      <c r="G339" t="s">
        <v>104</v>
      </c>
      <c r="H339"/>
      <c r="I339">
        <v>500</v>
      </c>
      <c r="J339"/>
      <c r="K339" t="s">
        <v>123</v>
      </c>
      <c r="L339" t="s">
        <v>124</v>
      </c>
    </row>
    <row r="340" spans="1:12" x14ac:dyDescent="0.2">
      <c r="A340" t="s">
        <v>27</v>
      </c>
      <c r="B340" t="s">
        <v>95</v>
      </c>
      <c r="C340" t="s">
        <v>19</v>
      </c>
      <c r="D340" t="s">
        <v>122</v>
      </c>
      <c r="E340" t="s">
        <v>15</v>
      </c>
      <c r="F340" t="s">
        <v>122</v>
      </c>
      <c r="G340" t="s">
        <v>104</v>
      </c>
      <c r="H340"/>
      <c r="I340">
        <v>1000</v>
      </c>
      <c r="J340"/>
      <c r="K340" t="s">
        <v>123</v>
      </c>
      <c r="L340" t="s">
        <v>124</v>
      </c>
    </row>
    <row r="341" spans="1:12" x14ac:dyDescent="0.2">
      <c r="A341" t="s">
        <v>18</v>
      </c>
      <c r="B341" t="s">
        <v>125</v>
      </c>
      <c r="C341" t="s">
        <v>19</v>
      </c>
      <c r="D341" t="s">
        <v>126</v>
      </c>
      <c r="E341" t="s">
        <v>15</v>
      </c>
      <c r="F341" t="s">
        <v>127</v>
      </c>
      <c r="G341" t="s">
        <v>98</v>
      </c>
      <c r="H341" t="s">
        <v>128</v>
      </c>
      <c r="I341">
        <v>225</v>
      </c>
      <c r="J341"/>
      <c r="L341" t="s">
        <v>129</v>
      </c>
    </row>
    <row r="342" spans="1:12" x14ac:dyDescent="0.2">
      <c r="A342" t="s">
        <v>18</v>
      </c>
      <c r="B342" t="s">
        <v>95</v>
      </c>
      <c r="C342" t="s">
        <v>19</v>
      </c>
      <c r="D342" t="s">
        <v>21</v>
      </c>
      <c r="E342" t="s">
        <v>15</v>
      </c>
      <c r="F342" t="s">
        <v>21</v>
      </c>
      <c r="G342" t="s">
        <v>98</v>
      </c>
      <c r="H342" t="s">
        <v>130</v>
      </c>
      <c r="I342">
        <v>420</v>
      </c>
      <c r="J342"/>
      <c r="L342" t="s">
        <v>131</v>
      </c>
    </row>
    <row r="343" spans="1:12" x14ac:dyDescent="0.2">
      <c r="A343" t="s">
        <v>18</v>
      </c>
      <c r="B343" t="s">
        <v>95</v>
      </c>
      <c r="C343" t="s">
        <v>19</v>
      </c>
      <c r="D343" t="s">
        <v>21</v>
      </c>
      <c r="E343" t="s">
        <v>15</v>
      </c>
      <c r="F343" t="s">
        <v>21</v>
      </c>
      <c r="G343" t="s">
        <v>98</v>
      </c>
      <c r="H343" t="s">
        <v>130</v>
      </c>
      <c r="I343">
        <v>420</v>
      </c>
      <c r="J343"/>
      <c r="L343" t="s">
        <v>132</v>
      </c>
    </row>
    <row r="344" spans="1:12" x14ac:dyDescent="0.2">
      <c r="A344" t="s">
        <v>18</v>
      </c>
      <c r="B344" t="s">
        <v>95</v>
      </c>
      <c r="C344" t="s">
        <v>19</v>
      </c>
      <c r="D344" t="s">
        <v>21</v>
      </c>
      <c r="E344" t="s">
        <v>15</v>
      </c>
      <c r="F344" t="s">
        <v>21</v>
      </c>
      <c r="G344" t="s">
        <v>98</v>
      </c>
      <c r="H344" t="s">
        <v>133</v>
      </c>
      <c r="I344">
        <v>300</v>
      </c>
      <c r="J344"/>
      <c r="L344" t="s">
        <v>134</v>
      </c>
    </row>
    <row r="345" spans="1:12" x14ac:dyDescent="0.2">
      <c r="A345" t="s">
        <v>18</v>
      </c>
      <c r="B345" t="s">
        <v>95</v>
      </c>
      <c r="C345" t="s">
        <v>19</v>
      </c>
      <c r="D345" t="s">
        <v>21</v>
      </c>
      <c r="E345" t="s">
        <v>15</v>
      </c>
      <c r="F345" t="s">
        <v>21</v>
      </c>
      <c r="G345" t="s">
        <v>98</v>
      </c>
      <c r="H345" t="s">
        <v>135</v>
      </c>
      <c r="I345">
        <v>600</v>
      </c>
      <c r="J345"/>
      <c r="L345" t="s">
        <v>136</v>
      </c>
    </row>
    <row r="346" spans="1:12" x14ac:dyDescent="0.2">
      <c r="A346" t="s">
        <v>18</v>
      </c>
      <c r="B346" t="s">
        <v>95</v>
      </c>
      <c r="C346" t="s">
        <v>19</v>
      </c>
      <c r="D346" t="s">
        <v>21</v>
      </c>
      <c r="E346" t="s">
        <v>15</v>
      </c>
      <c r="F346" t="s">
        <v>21</v>
      </c>
      <c r="G346" t="s">
        <v>98</v>
      </c>
      <c r="H346" t="s">
        <v>137</v>
      </c>
      <c r="I346">
        <v>420</v>
      </c>
      <c r="J346"/>
      <c r="K346" t="s">
        <v>138</v>
      </c>
      <c r="L346" t="s">
        <v>139</v>
      </c>
    </row>
    <row r="347" spans="1:12" x14ac:dyDescent="0.2">
      <c r="A347" t="s">
        <v>27</v>
      </c>
      <c r="B347" t="s">
        <v>95</v>
      </c>
      <c r="C347" t="s">
        <v>19</v>
      </c>
      <c r="D347" t="s">
        <v>21</v>
      </c>
      <c r="E347" t="s">
        <v>15</v>
      </c>
      <c r="F347" t="s">
        <v>21</v>
      </c>
      <c r="G347" t="s">
        <v>98</v>
      </c>
      <c r="H347"/>
      <c r="I347">
        <v>955</v>
      </c>
      <c r="J347"/>
      <c r="K347" t="s">
        <v>140</v>
      </c>
      <c r="L347" t="s">
        <v>141</v>
      </c>
    </row>
    <row r="348" spans="1:12" x14ac:dyDescent="0.2">
      <c r="A348" t="s">
        <v>27</v>
      </c>
      <c r="B348" t="s">
        <v>95</v>
      </c>
      <c r="C348" t="s">
        <v>19</v>
      </c>
      <c r="D348" t="s">
        <v>21</v>
      </c>
      <c r="E348" t="s">
        <v>15</v>
      </c>
      <c r="F348" t="s">
        <v>21</v>
      </c>
      <c r="G348" t="s">
        <v>107</v>
      </c>
      <c r="H348"/>
      <c r="I348">
        <v>1366.08</v>
      </c>
      <c r="J348"/>
      <c r="K348" t="s">
        <v>118</v>
      </c>
      <c r="L348" t="s">
        <v>119</v>
      </c>
    </row>
    <row r="349" spans="1:12" x14ac:dyDescent="0.2">
      <c r="A349" t="s">
        <v>12</v>
      </c>
      <c r="B349" t="s">
        <v>95</v>
      </c>
      <c r="C349" t="s">
        <v>19</v>
      </c>
      <c r="D349" t="s">
        <v>142</v>
      </c>
      <c r="E349" t="s">
        <v>15</v>
      </c>
      <c r="F349" t="s">
        <v>143</v>
      </c>
      <c r="G349" t="s">
        <v>104</v>
      </c>
      <c r="H349"/>
      <c r="I349">
        <v>3000</v>
      </c>
      <c r="J349"/>
      <c r="K349" t="s">
        <v>144</v>
      </c>
      <c r="L349" t="s">
        <v>145</v>
      </c>
    </row>
    <row r="350" spans="1:12" x14ac:dyDescent="0.2">
      <c r="A350" t="s">
        <v>18</v>
      </c>
      <c r="B350" t="s">
        <v>95</v>
      </c>
      <c r="C350" t="s">
        <v>19</v>
      </c>
      <c r="D350" t="s">
        <v>142</v>
      </c>
      <c r="E350" t="s">
        <v>15</v>
      </c>
      <c r="F350" t="s">
        <v>24</v>
      </c>
      <c r="G350" t="s">
        <v>104</v>
      </c>
      <c r="H350"/>
      <c r="I350">
        <v>4127</v>
      </c>
      <c r="J350"/>
      <c r="K350" t="s">
        <v>146</v>
      </c>
      <c r="L350" t="s">
        <v>147</v>
      </c>
    </row>
    <row r="351" spans="1:12" x14ac:dyDescent="0.2">
      <c r="A351" t="s">
        <v>27</v>
      </c>
      <c r="B351" t="s">
        <v>95</v>
      </c>
      <c r="C351" t="s">
        <v>19</v>
      </c>
      <c r="D351" t="s">
        <v>142</v>
      </c>
      <c r="E351" t="s">
        <v>15</v>
      </c>
      <c r="F351" t="s">
        <v>148</v>
      </c>
      <c r="G351" t="s">
        <v>104</v>
      </c>
      <c r="H351"/>
      <c r="I351">
        <v>450</v>
      </c>
      <c r="J351"/>
      <c r="K351" t="s">
        <v>149</v>
      </c>
      <c r="L351" t="s">
        <v>150</v>
      </c>
    </row>
    <row r="352" spans="1:12" x14ac:dyDescent="0.2">
      <c r="A352" t="s">
        <v>18</v>
      </c>
      <c r="B352" t="s">
        <v>95</v>
      </c>
      <c r="C352" t="s">
        <v>19</v>
      </c>
      <c r="D352" t="s">
        <v>142</v>
      </c>
      <c r="E352" t="s">
        <v>15</v>
      </c>
      <c r="F352" t="s">
        <v>142</v>
      </c>
      <c r="G352" t="s">
        <v>98</v>
      </c>
      <c r="H352" t="s">
        <v>151</v>
      </c>
      <c r="I352">
        <v>1000</v>
      </c>
      <c r="J352"/>
      <c r="K352" t="s">
        <v>152</v>
      </c>
      <c r="L352" t="s">
        <v>153</v>
      </c>
    </row>
    <row r="353" spans="1:12" x14ac:dyDescent="0.2">
      <c r="A353" t="s">
        <v>18</v>
      </c>
      <c r="B353" t="s">
        <v>95</v>
      </c>
      <c r="C353" t="s">
        <v>19</v>
      </c>
      <c r="D353" t="s">
        <v>142</v>
      </c>
      <c r="E353" t="s">
        <v>15</v>
      </c>
      <c r="F353" t="s">
        <v>142</v>
      </c>
      <c r="G353" t="s">
        <v>98</v>
      </c>
      <c r="H353" t="s">
        <v>99</v>
      </c>
      <c r="I353">
        <v>634</v>
      </c>
      <c r="J353"/>
      <c r="L353" t="s">
        <v>154</v>
      </c>
    </row>
    <row r="354" spans="1:12" x14ac:dyDescent="0.2">
      <c r="A354" t="s">
        <v>18</v>
      </c>
      <c r="B354" t="s">
        <v>95</v>
      </c>
      <c r="C354" t="s">
        <v>19</v>
      </c>
      <c r="D354" t="s">
        <v>142</v>
      </c>
      <c r="E354" t="s">
        <v>15</v>
      </c>
      <c r="F354" t="s">
        <v>142</v>
      </c>
      <c r="G354" t="s">
        <v>98</v>
      </c>
      <c r="H354"/>
      <c r="I354">
        <v>200</v>
      </c>
      <c r="J354"/>
      <c r="L354" t="s">
        <v>155</v>
      </c>
    </row>
    <row r="355" spans="1:12" x14ac:dyDescent="0.2">
      <c r="A355" t="s">
        <v>71</v>
      </c>
      <c r="B355" t="s">
        <v>95</v>
      </c>
      <c r="C355" t="s">
        <v>19</v>
      </c>
      <c r="D355" t="s">
        <v>148</v>
      </c>
      <c r="E355" t="s">
        <v>15</v>
      </c>
      <c r="F355" t="s">
        <v>148</v>
      </c>
      <c r="G355" t="s">
        <v>156</v>
      </c>
      <c r="H355" t="s">
        <v>157</v>
      </c>
      <c r="I355">
        <v>500</v>
      </c>
      <c r="J355"/>
    </row>
    <row r="356" spans="1:12" x14ac:dyDescent="0.2">
      <c r="A356" t="s">
        <v>27</v>
      </c>
      <c r="B356" t="s">
        <v>95</v>
      </c>
      <c r="C356" t="s">
        <v>19</v>
      </c>
      <c r="D356" t="s">
        <v>158</v>
      </c>
      <c r="E356" t="s">
        <v>15</v>
      </c>
      <c r="F356" t="s">
        <v>21</v>
      </c>
      <c r="G356" t="s">
        <v>98</v>
      </c>
      <c r="H356" t="s">
        <v>159</v>
      </c>
      <c r="I356">
        <v>500</v>
      </c>
      <c r="J356"/>
      <c r="K356" t="s">
        <v>160</v>
      </c>
      <c r="L356" t="s">
        <v>161</v>
      </c>
    </row>
    <row r="357" spans="1:12" x14ac:dyDescent="0.2">
      <c r="A357" t="s">
        <v>27</v>
      </c>
      <c r="B357" t="s">
        <v>95</v>
      </c>
      <c r="C357" t="s">
        <v>19</v>
      </c>
      <c r="D357" t="s">
        <v>158</v>
      </c>
      <c r="E357" t="s">
        <v>15</v>
      </c>
      <c r="F357" t="s">
        <v>158</v>
      </c>
      <c r="G357" t="s">
        <v>162</v>
      </c>
      <c r="H357" t="s">
        <v>163</v>
      </c>
      <c r="I357">
        <v>0.08</v>
      </c>
      <c r="J357"/>
    </row>
    <row r="358" spans="1:12" x14ac:dyDescent="0.2">
      <c r="A358" t="s">
        <v>27</v>
      </c>
      <c r="B358" t="s">
        <v>95</v>
      </c>
      <c r="C358" t="s">
        <v>19</v>
      </c>
      <c r="D358" t="s">
        <v>158</v>
      </c>
      <c r="E358" t="s">
        <v>15</v>
      </c>
      <c r="F358" t="s">
        <v>158</v>
      </c>
      <c r="G358" t="s">
        <v>162</v>
      </c>
      <c r="H358" t="s">
        <v>163</v>
      </c>
      <c r="I358">
        <v>0.38</v>
      </c>
      <c r="J358"/>
    </row>
    <row r="359" spans="1:12" x14ac:dyDescent="0.2">
      <c r="A359" t="s">
        <v>27</v>
      </c>
      <c r="B359" t="s">
        <v>95</v>
      </c>
      <c r="C359" t="s">
        <v>19</v>
      </c>
      <c r="D359" t="s">
        <v>158</v>
      </c>
      <c r="E359" t="s">
        <v>15</v>
      </c>
      <c r="F359" t="s">
        <v>24</v>
      </c>
      <c r="G359" t="s">
        <v>98</v>
      </c>
      <c r="H359" t="s">
        <v>99</v>
      </c>
      <c r="I359">
        <v>500</v>
      </c>
      <c r="J359"/>
      <c r="L359" t="s">
        <v>164</v>
      </c>
    </row>
    <row r="360" spans="1:12" x14ac:dyDescent="0.2">
      <c r="A360" t="s">
        <v>27</v>
      </c>
      <c r="B360" t="s">
        <v>125</v>
      </c>
      <c r="C360" t="s">
        <v>19</v>
      </c>
      <c r="D360" t="s">
        <v>158</v>
      </c>
      <c r="E360" t="s">
        <v>15</v>
      </c>
      <c r="F360" t="s">
        <v>24</v>
      </c>
      <c r="G360" t="s">
        <v>98</v>
      </c>
      <c r="H360" t="s">
        <v>165</v>
      </c>
      <c r="I360">
        <v>320</v>
      </c>
      <c r="J360"/>
      <c r="L360" t="s">
        <v>166</v>
      </c>
    </row>
    <row r="361" spans="1:12" x14ac:dyDescent="0.2">
      <c r="A361" t="s">
        <v>27</v>
      </c>
      <c r="B361" t="s">
        <v>95</v>
      </c>
      <c r="C361" t="s">
        <v>19</v>
      </c>
      <c r="D361" t="s">
        <v>143</v>
      </c>
      <c r="E361" t="s">
        <v>15</v>
      </c>
      <c r="F361" t="s">
        <v>143</v>
      </c>
      <c r="G361" t="s">
        <v>162</v>
      </c>
      <c r="H361"/>
      <c r="I361">
        <v>7.0000000000000007E-2</v>
      </c>
      <c r="J361"/>
    </row>
    <row r="362" spans="1:12" x14ac:dyDescent="0.2">
      <c r="A362" t="s">
        <v>27</v>
      </c>
      <c r="B362" t="s">
        <v>95</v>
      </c>
      <c r="C362" t="s">
        <v>19</v>
      </c>
      <c r="D362" t="s">
        <v>143</v>
      </c>
      <c r="E362" t="s">
        <v>15</v>
      </c>
      <c r="F362" t="s">
        <v>143</v>
      </c>
      <c r="G362" t="s">
        <v>162</v>
      </c>
      <c r="H362"/>
      <c r="I362">
        <v>0.01</v>
      </c>
      <c r="J362"/>
    </row>
    <row r="363" spans="1:12" x14ac:dyDescent="0.2">
      <c r="A363" t="s">
        <v>27</v>
      </c>
      <c r="B363" t="s">
        <v>95</v>
      </c>
      <c r="C363" t="s">
        <v>19</v>
      </c>
      <c r="D363" t="s">
        <v>167</v>
      </c>
      <c r="E363" t="s">
        <v>15</v>
      </c>
      <c r="F363" t="s">
        <v>167</v>
      </c>
      <c r="G363" t="s">
        <v>104</v>
      </c>
      <c r="H363"/>
      <c r="I363">
        <v>911</v>
      </c>
      <c r="J363"/>
      <c r="K363" t="s">
        <v>168</v>
      </c>
      <c r="L363" t="s">
        <v>169</v>
      </c>
    </row>
    <row r="364" spans="1:12" x14ac:dyDescent="0.2">
      <c r="A364" t="s">
        <v>18</v>
      </c>
      <c r="B364" t="s">
        <v>95</v>
      </c>
      <c r="C364" t="s">
        <v>19</v>
      </c>
      <c r="D364" t="s">
        <v>167</v>
      </c>
      <c r="E364" t="s">
        <v>15</v>
      </c>
      <c r="F364" t="s">
        <v>167</v>
      </c>
      <c r="G364" t="s">
        <v>104</v>
      </c>
      <c r="H364"/>
      <c r="I364">
        <v>1883</v>
      </c>
      <c r="J364"/>
      <c r="L364" t="s">
        <v>170</v>
      </c>
    </row>
    <row r="365" spans="1:12" x14ac:dyDescent="0.2">
      <c r="A365" t="s">
        <v>12</v>
      </c>
      <c r="B365" t="s">
        <v>95</v>
      </c>
      <c r="C365" t="s">
        <v>19</v>
      </c>
      <c r="D365" t="s">
        <v>167</v>
      </c>
      <c r="E365" t="s">
        <v>15</v>
      </c>
      <c r="F365" t="s">
        <v>167</v>
      </c>
      <c r="G365" t="s">
        <v>104</v>
      </c>
      <c r="H365"/>
      <c r="I365">
        <v>10530</v>
      </c>
      <c r="J365"/>
      <c r="K365" t="s">
        <v>171</v>
      </c>
      <c r="L365" t="s">
        <v>172</v>
      </c>
    </row>
    <row r="366" spans="1:12" x14ac:dyDescent="0.2">
      <c r="A366" t="s">
        <v>12</v>
      </c>
      <c r="B366" t="s">
        <v>95</v>
      </c>
      <c r="C366" t="s">
        <v>19</v>
      </c>
      <c r="D366" t="s">
        <v>167</v>
      </c>
      <c r="E366" t="s">
        <v>15</v>
      </c>
      <c r="F366" t="s">
        <v>167</v>
      </c>
      <c r="G366" t="s">
        <v>104</v>
      </c>
      <c r="H366"/>
      <c r="I366">
        <v>448</v>
      </c>
      <c r="J366"/>
      <c r="L366" t="s">
        <v>173</v>
      </c>
    </row>
    <row r="367" spans="1:12" x14ac:dyDescent="0.2">
      <c r="A367" t="s">
        <v>27</v>
      </c>
      <c r="B367" t="s">
        <v>95</v>
      </c>
      <c r="C367" t="s">
        <v>19</v>
      </c>
      <c r="D367" t="s">
        <v>167</v>
      </c>
      <c r="E367" t="s">
        <v>15</v>
      </c>
      <c r="F367" t="s">
        <v>167</v>
      </c>
      <c r="G367" t="s">
        <v>104</v>
      </c>
      <c r="H367"/>
      <c r="I367">
        <v>319</v>
      </c>
      <c r="J367"/>
      <c r="L367" t="s">
        <v>174</v>
      </c>
    </row>
    <row r="368" spans="1:12" x14ac:dyDescent="0.2">
      <c r="A368" t="s">
        <v>27</v>
      </c>
      <c r="B368" t="s">
        <v>95</v>
      </c>
      <c r="C368" t="s">
        <v>19</v>
      </c>
      <c r="D368" t="s">
        <v>167</v>
      </c>
      <c r="E368" t="s">
        <v>15</v>
      </c>
      <c r="F368" t="s">
        <v>167</v>
      </c>
      <c r="G368" t="s">
        <v>98</v>
      </c>
      <c r="H368" t="s">
        <v>175</v>
      </c>
      <c r="I368">
        <v>900</v>
      </c>
      <c r="J368"/>
      <c r="K368" t="s">
        <v>176</v>
      </c>
      <c r="L368" t="s">
        <v>177</v>
      </c>
    </row>
    <row r="369" spans="1:12" x14ac:dyDescent="0.2">
      <c r="A369" t="s">
        <v>27</v>
      </c>
      <c r="B369" t="s">
        <v>95</v>
      </c>
      <c r="C369" t="s">
        <v>19</v>
      </c>
      <c r="D369" t="s">
        <v>28</v>
      </c>
      <c r="E369" t="s">
        <v>15</v>
      </c>
      <c r="F369" t="s">
        <v>28</v>
      </c>
      <c r="G369" t="s">
        <v>178</v>
      </c>
      <c r="H369"/>
      <c r="I369">
        <v>27424.28</v>
      </c>
      <c r="J369"/>
      <c r="K369" t="s">
        <v>179</v>
      </c>
      <c r="L369" t="s">
        <v>180</v>
      </c>
    </row>
    <row r="370" spans="1:12" x14ac:dyDescent="0.2">
      <c r="A370" t="s">
        <v>27</v>
      </c>
      <c r="B370" t="s">
        <v>95</v>
      </c>
      <c r="C370" t="s">
        <v>19</v>
      </c>
      <c r="D370" t="s">
        <v>28</v>
      </c>
      <c r="E370" t="s">
        <v>15</v>
      </c>
      <c r="F370" t="s">
        <v>28</v>
      </c>
      <c r="G370" t="s">
        <v>181</v>
      </c>
      <c r="H370"/>
      <c r="I370">
        <v>1641.54</v>
      </c>
      <c r="J370"/>
      <c r="K370" t="s">
        <v>182</v>
      </c>
      <c r="L370" t="s">
        <v>183</v>
      </c>
    </row>
    <row r="371" spans="1:12" x14ac:dyDescent="0.2">
      <c r="A371" t="s">
        <v>27</v>
      </c>
      <c r="B371" t="s">
        <v>95</v>
      </c>
      <c r="C371" t="s">
        <v>19</v>
      </c>
      <c r="D371" t="s">
        <v>28</v>
      </c>
      <c r="E371" t="s">
        <v>15</v>
      </c>
      <c r="F371" t="s">
        <v>28</v>
      </c>
      <c r="G371" t="s">
        <v>178</v>
      </c>
      <c r="H371"/>
      <c r="I371">
        <v>4924.6899999999996</v>
      </c>
      <c r="J371"/>
      <c r="K371" t="s">
        <v>182</v>
      </c>
      <c r="L371" t="s">
        <v>183</v>
      </c>
    </row>
    <row r="372" spans="1:12" x14ac:dyDescent="0.2">
      <c r="A372" t="s">
        <v>27</v>
      </c>
      <c r="B372" t="s">
        <v>95</v>
      </c>
      <c r="C372" t="s">
        <v>19</v>
      </c>
      <c r="D372" t="s">
        <v>28</v>
      </c>
      <c r="E372" t="s">
        <v>15</v>
      </c>
      <c r="F372" t="s">
        <v>28</v>
      </c>
      <c r="G372" t="s">
        <v>178</v>
      </c>
      <c r="H372"/>
      <c r="I372">
        <v>13764.01</v>
      </c>
      <c r="J372"/>
      <c r="K372" t="s">
        <v>184</v>
      </c>
      <c r="L372" t="s">
        <v>185</v>
      </c>
    </row>
    <row r="373" spans="1:12" x14ac:dyDescent="0.2">
      <c r="A373" t="s">
        <v>27</v>
      </c>
      <c r="B373" t="s">
        <v>95</v>
      </c>
      <c r="C373" t="s">
        <v>19</v>
      </c>
      <c r="D373" t="s">
        <v>28</v>
      </c>
      <c r="E373" t="s">
        <v>15</v>
      </c>
      <c r="F373" t="s">
        <v>28</v>
      </c>
      <c r="G373" t="s">
        <v>107</v>
      </c>
      <c r="H373" t="s">
        <v>186</v>
      </c>
      <c r="I373">
        <v>600</v>
      </c>
      <c r="J373"/>
      <c r="K373" t="s">
        <v>187</v>
      </c>
      <c r="L373" t="s">
        <v>188</v>
      </c>
    </row>
    <row r="374" spans="1:12" x14ac:dyDescent="0.2">
      <c r="A374" t="s">
        <v>34</v>
      </c>
      <c r="B374" t="s">
        <v>95</v>
      </c>
      <c r="C374" t="s">
        <v>19</v>
      </c>
      <c r="D374" t="s">
        <v>31</v>
      </c>
      <c r="E374" t="s">
        <v>15</v>
      </c>
      <c r="F374" t="s">
        <v>31</v>
      </c>
      <c r="G374" t="s">
        <v>162</v>
      </c>
      <c r="H374"/>
      <c r="I374">
        <v>740.29</v>
      </c>
      <c r="J374"/>
    </row>
    <row r="375" spans="1:12" x14ac:dyDescent="0.2">
      <c r="A375" t="s">
        <v>27</v>
      </c>
      <c r="B375" t="s">
        <v>95</v>
      </c>
      <c r="C375" t="s">
        <v>19</v>
      </c>
      <c r="D375" t="s">
        <v>31</v>
      </c>
      <c r="E375" t="s">
        <v>15</v>
      </c>
      <c r="F375" t="s">
        <v>31</v>
      </c>
      <c r="G375" t="s">
        <v>162</v>
      </c>
      <c r="H375"/>
      <c r="I375">
        <v>0.2</v>
      </c>
      <c r="J375"/>
    </row>
    <row r="376" spans="1:12" x14ac:dyDescent="0.2">
      <c r="A376" t="s">
        <v>27</v>
      </c>
      <c r="B376" t="s">
        <v>95</v>
      </c>
      <c r="C376" t="s">
        <v>19</v>
      </c>
      <c r="D376" t="s">
        <v>31</v>
      </c>
      <c r="E376" t="s">
        <v>15</v>
      </c>
      <c r="F376" t="s">
        <v>31</v>
      </c>
      <c r="G376" t="s">
        <v>162</v>
      </c>
      <c r="H376"/>
      <c r="I376">
        <v>0.02</v>
      </c>
      <c r="J376"/>
    </row>
    <row r="377" spans="1:12" x14ac:dyDescent="0.2">
      <c r="A377" t="s">
        <v>27</v>
      </c>
      <c r="B377" t="s">
        <v>95</v>
      </c>
      <c r="C377" t="s">
        <v>19</v>
      </c>
      <c r="D377" t="s">
        <v>31</v>
      </c>
      <c r="E377" t="s">
        <v>15</v>
      </c>
      <c r="F377" t="s">
        <v>31</v>
      </c>
      <c r="G377" t="s">
        <v>162</v>
      </c>
      <c r="H377"/>
      <c r="I377">
        <v>0.16</v>
      </c>
      <c r="J377"/>
    </row>
    <row r="378" spans="1:12" x14ac:dyDescent="0.2">
      <c r="A378" t="s">
        <v>27</v>
      </c>
      <c r="B378" t="s">
        <v>95</v>
      </c>
      <c r="C378" t="s">
        <v>19</v>
      </c>
      <c r="D378" t="s">
        <v>31</v>
      </c>
      <c r="E378" t="s">
        <v>15</v>
      </c>
      <c r="F378" t="s">
        <v>31</v>
      </c>
      <c r="G378" t="s">
        <v>162</v>
      </c>
      <c r="H378"/>
      <c r="I378">
        <v>0.12</v>
      </c>
      <c r="J378"/>
    </row>
    <row r="379" spans="1:12" x14ac:dyDescent="0.2">
      <c r="A379" t="s">
        <v>27</v>
      </c>
      <c r="B379" t="s">
        <v>95</v>
      </c>
      <c r="C379" t="s">
        <v>19</v>
      </c>
      <c r="D379" t="s">
        <v>31</v>
      </c>
      <c r="E379" t="s">
        <v>15</v>
      </c>
      <c r="F379" t="s">
        <v>31</v>
      </c>
      <c r="G379" t="s">
        <v>162</v>
      </c>
      <c r="H379"/>
      <c r="I379">
        <v>0.02</v>
      </c>
      <c r="J379"/>
    </row>
    <row r="380" spans="1:12" x14ac:dyDescent="0.2">
      <c r="A380" t="s">
        <v>27</v>
      </c>
      <c r="B380" t="s">
        <v>95</v>
      </c>
      <c r="C380" t="s">
        <v>19</v>
      </c>
      <c r="D380" t="s">
        <v>31</v>
      </c>
      <c r="E380" t="s">
        <v>15</v>
      </c>
      <c r="F380" t="s">
        <v>31</v>
      </c>
      <c r="G380" t="s">
        <v>162</v>
      </c>
      <c r="H380"/>
      <c r="I380">
        <v>0.04</v>
      </c>
      <c r="J380"/>
    </row>
    <row r="381" spans="1:12" x14ac:dyDescent="0.2">
      <c r="A381" t="s">
        <v>27</v>
      </c>
      <c r="B381" t="s">
        <v>95</v>
      </c>
      <c r="C381" t="s">
        <v>19</v>
      </c>
      <c r="D381" t="s">
        <v>31</v>
      </c>
      <c r="E381" t="s">
        <v>15</v>
      </c>
      <c r="F381" t="s">
        <v>31</v>
      </c>
      <c r="G381" t="s">
        <v>162</v>
      </c>
      <c r="H381"/>
      <c r="I381">
        <v>0.14000000000000001</v>
      </c>
      <c r="J381"/>
    </row>
    <row r="382" spans="1:12" x14ac:dyDescent="0.2">
      <c r="A382" t="s">
        <v>27</v>
      </c>
      <c r="B382" t="s">
        <v>95</v>
      </c>
      <c r="C382" t="s">
        <v>19</v>
      </c>
      <c r="D382" t="s">
        <v>35</v>
      </c>
      <c r="E382" t="s">
        <v>15</v>
      </c>
      <c r="F382" t="s">
        <v>35</v>
      </c>
      <c r="G382" t="s">
        <v>162</v>
      </c>
      <c r="H382"/>
      <c r="I382">
        <v>0.04</v>
      </c>
      <c r="J382"/>
    </row>
    <row r="383" spans="1:12" x14ac:dyDescent="0.2">
      <c r="A383" t="s">
        <v>12</v>
      </c>
      <c r="B383" t="s">
        <v>95</v>
      </c>
      <c r="C383" t="s">
        <v>19</v>
      </c>
      <c r="D383" t="s">
        <v>35</v>
      </c>
      <c r="E383" t="s">
        <v>15</v>
      </c>
      <c r="F383" t="s">
        <v>35</v>
      </c>
      <c r="G383" t="s">
        <v>98</v>
      </c>
      <c r="H383"/>
      <c r="I383">
        <v>500</v>
      </c>
      <c r="J383"/>
      <c r="L383" t="s">
        <v>189</v>
      </c>
    </row>
    <row r="384" spans="1:12" x14ac:dyDescent="0.2">
      <c r="A384" t="s">
        <v>18</v>
      </c>
      <c r="B384" t="s">
        <v>95</v>
      </c>
      <c r="C384" t="s">
        <v>19</v>
      </c>
      <c r="D384" t="s">
        <v>190</v>
      </c>
      <c r="E384" t="s">
        <v>15</v>
      </c>
      <c r="F384" t="s">
        <v>191</v>
      </c>
      <c r="G384" t="s">
        <v>111</v>
      </c>
      <c r="H384" t="s">
        <v>151</v>
      </c>
      <c r="I384">
        <v>2000</v>
      </c>
      <c r="J384"/>
      <c r="K384" t="s">
        <v>192</v>
      </c>
      <c r="L384" t="s">
        <v>193</v>
      </c>
    </row>
    <row r="385" spans="1:12" x14ac:dyDescent="0.2">
      <c r="A385" t="s">
        <v>12</v>
      </c>
      <c r="B385" t="s">
        <v>95</v>
      </c>
      <c r="C385" t="s">
        <v>19</v>
      </c>
      <c r="D385" t="s">
        <v>194</v>
      </c>
      <c r="E385" t="s">
        <v>15</v>
      </c>
      <c r="F385" t="s">
        <v>194</v>
      </c>
      <c r="G385" t="s">
        <v>104</v>
      </c>
      <c r="H385"/>
      <c r="I385">
        <v>512</v>
      </c>
      <c r="J385"/>
      <c r="K385" t="s">
        <v>195</v>
      </c>
      <c r="L385" t="s">
        <v>196</v>
      </c>
    </row>
    <row r="386" spans="1:12" x14ac:dyDescent="0.2">
      <c r="A386" t="s">
        <v>18</v>
      </c>
      <c r="B386" t="s">
        <v>95</v>
      </c>
      <c r="C386" t="s">
        <v>19</v>
      </c>
      <c r="D386" t="s">
        <v>197</v>
      </c>
      <c r="E386" t="s">
        <v>15</v>
      </c>
      <c r="F386" t="s">
        <v>24</v>
      </c>
      <c r="G386" t="s">
        <v>98</v>
      </c>
      <c r="H386" t="s">
        <v>198</v>
      </c>
      <c r="I386">
        <v>530</v>
      </c>
      <c r="J386"/>
      <c r="L386" t="s">
        <v>199</v>
      </c>
    </row>
    <row r="387" spans="1:12" x14ac:dyDescent="0.2">
      <c r="A387" t="s">
        <v>27</v>
      </c>
      <c r="B387" t="s">
        <v>200</v>
      </c>
      <c r="C387" t="s">
        <v>19</v>
      </c>
      <c r="D387" t="s">
        <v>201</v>
      </c>
      <c r="E387" t="s">
        <v>15</v>
      </c>
      <c r="F387" t="s">
        <v>201</v>
      </c>
      <c r="G387" t="s">
        <v>104</v>
      </c>
      <c r="H387"/>
      <c r="I387">
        <v>128</v>
      </c>
      <c r="J387"/>
      <c r="L387" t="s">
        <v>202</v>
      </c>
    </row>
    <row r="388" spans="1:12" x14ac:dyDescent="0.2">
      <c r="A388" t="s">
        <v>18</v>
      </c>
      <c r="B388" t="s">
        <v>95</v>
      </c>
      <c r="C388" t="s">
        <v>19</v>
      </c>
      <c r="D388" t="s">
        <v>127</v>
      </c>
      <c r="E388" t="s">
        <v>15</v>
      </c>
      <c r="F388" t="s">
        <v>38</v>
      </c>
      <c r="G388" t="s">
        <v>98</v>
      </c>
      <c r="H388" t="s">
        <v>203</v>
      </c>
      <c r="I388">
        <v>450</v>
      </c>
      <c r="J388"/>
      <c r="K388" t="s">
        <v>204</v>
      </c>
      <c r="L388" t="s">
        <v>205</v>
      </c>
    </row>
    <row r="389" spans="1:12" x14ac:dyDescent="0.2">
      <c r="A389" t="s">
        <v>18</v>
      </c>
      <c r="B389" t="s">
        <v>95</v>
      </c>
      <c r="C389" t="s">
        <v>19</v>
      </c>
      <c r="D389" t="s">
        <v>127</v>
      </c>
      <c r="E389" t="s">
        <v>15</v>
      </c>
      <c r="F389" t="s">
        <v>38</v>
      </c>
      <c r="G389" t="s">
        <v>98</v>
      </c>
      <c r="H389" t="s">
        <v>206</v>
      </c>
      <c r="I389">
        <v>319</v>
      </c>
      <c r="J389"/>
      <c r="L389" t="s">
        <v>207</v>
      </c>
    </row>
    <row r="390" spans="1:12" x14ac:dyDescent="0.2">
      <c r="A390" t="s">
        <v>27</v>
      </c>
      <c r="B390" t="s">
        <v>200</v>
      </c>
      <c r="C390" t="s">
        <v>19</v>
      </c>
      <c r="D390" t="s">
        <v>127</v>
      </c>
      <c r="E390" t="s">
        <v>15</v>
      </c>
      <c r="F390" t="s">
        <v>208</v>
      </c>
      <c r="G390" t="s">
        <v>98</v>
      </c>
      <c r="H390" t="s">
        <v>151</v>
      </c>
      <c r="I390">
        <v>225</v>
      </c>
      <c r="J390"/>
      <c r="K390" t="s">
        <v>209</v>
      </c>
      <c r="L390" t="s">
        <v>210</v>
      </c>
    </row>
    <row r="391" spans="1:12" x14ac:dyDescent="0.2">
      <c r="A391" t="s">
        <v>12</v>
      </c>
      <c r="B391" t="s">
        <v>95</v>
      </c>
      <c r="C391" t="s">
        <v>19</v>
      </c>
      <c r="D391" t="s">
        <v>127</v>
      </c>
      <c r="E391" t="s">
        <v>15</v>
      </c>
      <c r="F391" t="s">
        <v>127</v>
      </c>
      <c r="G391" t="s">
        <v>211</v>
      </c>
      <c r="H391" t="s">
        <v>212</v>
      </c>
      <c r="I391">
        <v>1750</v>
      </c>
      <c r="J391"/>
    </row>
    <row r="392" spans="1:12" x14ac:dyDescent="0.2">
      <c r="A392" t="s">
        <v>18</v>
      </c>
      <c r="B392" t="s">
        <v>95</v>
      </c>
      <c r="C392" t="s">
        <v>19</v>
      </c>
      <c r="D392" t="s">
        <v>208</v>
      </c>
      <c r="E392" t="s">
        <v>97</v>
      </c>
      <c r="F392" t="s">
        <v>46</v>
      </c>
      <c r="G392" t="s">
        <v>98</v>
      </c>
      <c r="H392" t="s">
        <v>213</v>
      </c>
      <c r="I392">
        <v>375</v>
      </c>
      <c r="J392"/>
      <c r="K392" t="s">
        <v>100</v>
      </c>
      <c r="L392" t="s">
        <v>101</v>
      </c>
    </row>
    <row r="393" spans="1:12" x14ac:dyDescent="0.2">
      <c r="A393" t="s">
        <v>12</v>
      </c>
      <c r="B393" t="s">
        <v>95</v>
      </c>
      <c r="C393" t="s">
        <v>19</v>
      </c>
      <c r="D393" t="s">
        <v>214</v>
      </c>
      <c r="E393" t="s">
        <v>15</v>
      </c>
      <c r="F393" t="s">
        <v>214</v>
      </c>
      <c r="G393" t="s">
        <v>211</v>
      </c>
      <c r="H393" t="s">
        <v>212</v>
      </c>
      <c r="I393">
        <v>455</v>
      </c>
      <c r="J393"/>
    </row>
    <row r="394" spans="1:12" x14ac:dyDescent="0.2">
      <c r="A394" t="s">
        <v>215</v>
      </c>
      <c r="B394" t="s">
        <v>95</v>
      </c>
      <c r="C394" t="s">
        <v>19</v>
      </c>
      <c r="D394" t="s">
        <v>216</v>
      </c>
      <c r="E394" t="s">
        <v>42</v>
      </c>
      <c r="F394" t="s">
        <v>216</v>
      </c>
      <c r="G394" t="s">
        <v>217</v>
      </c>
      <c r="H394" t="s">
        <v>218</v>
      </c>
      <c r="I394">
        <v>5</v>
      </c>
      <c r="J394"/>
    </row>
    <row r="395" spans="1:12" x14ac:dyDescent="0.2">
      <c r="A395" t="s">
        <v>12</v>
      </c>
      <c r="B395" t="s">
        <v>95</v>
      </c>
      <c r="C395" t="s">
        <v>19</v>
      </c>
      <c r="D395" t="s">
        <v>52</v>
      </c>
      <c r="E395" t="s">
        <v>15</v>
      </c>
      <c r="F395" t="s">
        <v>208</v>
      </c>
      <c r="G395" t="s">
        <v>98</v>
      </c>
      <c r="H395" t="s">
        <v>219</v>
      </c>
      <c r="I395">
        <v>180</v>
      </c>
      <c r="J395"/>
      <c r="L395" t="s">
        <v>121</v>
      </c>
    </row>
    <row r="396" spans="1:12" x14ac:dyDescent="0.2">
      <c r="A396" t="s">
        <v>18</v>
      </c>
      <c r="B396" t="s">
        <v>125</v>
      </c>
      <c r="C396" t="s">
        <v>19</v>
      </c>
      <c r="D396" t="s">
        <v>52</v>
      </c>
      <c r="E396" t="s">
        <v>42</v>
      </c>
      <c r="F396" t="s">
        <v>52</v>
      </c>
      <c r="G396" t="s">
        <v>98</v>
      </c>
      <c r="H396" t="s">
        <v>151</v>
      </c>
      <c r="I396">
        <v>420</v>
      </c>
      <c r="J396"/>
      <c r="L396" t="s">
        <v>132</v>
      </c>
    </row>
    <row r="397" spans="1:12" x14ac:dyDescent="0.2">
      <c r="A397" t="s">
        <v>18</v>
      </c>
      <c r="B397" t="s">
        <v>125</v>
      </c>
      <c r="C397" t="s">
        <v>19</v>
      </c>
      <c r="D397" t="s">
        <v>52</v>
      </c>
      <c r="E397" t="s">
        <v>42</v>
      </c>
      <c r="F397" t="s">
        <v>52</v>
      </c>
      <c r="G397" t="s">
        <v>98</v>
      </c>
      <c r="H397" t="s">
        <v>151</v>
      </c>
      <c r="I397">
        <v>300</v>
      </c>
      <c r="J397"/>
      <c r="K397" t="s">
        <v>116</v>
      </c>
      <c r="L397" t="s">
        <v>117</v>
      </c>
    </row>
    <row r="398" spans="1:12" x14ac:dyDescent="0.2">
      <c r="A398" t="s">
        <v>27</v>
      </c>
      <c r="B398" t="s">
        <v>95</v>
      </c>
      <c r="C398" t="s">
        <v>19</v>
      </c>
      <c r="D398" t="s">
        <v>52</v>
      </c>
      <c r="E398" t="s">
        <v>42</v>
      </c>
      <c r="F398" t="s">
        <v>52</v>
      </c>
      <c r="G398" t="s">
        <v>162</v>
      </c>
      <c r="H398" t="s">
        <v>220</v>
      </c>
      <c r="I398">
        <v>0.12</v>
      </c>
      <c r="J398"/>
    </row>
    <row r="399" spans="1:12" x14ac:dyDescent="0.2">
      <c r="A399" t="s">
        <v>27</v>
      </c>
      <c r="B399" t="s">
        <v>200</v>
      </c>
      <c r="C399" t="s">
        <v>19</v>
      </c>
      <c r="D399" t="s">
        <v>52</v>
      </c>
      <c r="E399" t="s">
        <v>42</v>
      </c>
      <c r="F399" t="s">
        <v>52</v>
      </c>
      <c r="G399" t="s">
        <v>104</v>
      </c>
      <c r="H399"/>
      <c r="I399">
        <v>455.4</v>
      </c>
      <c r="J399"/>
      <c r="L399" t="s">
        <v>174</v>
      </c>
    </row>
    <row r="400" spans="1:12" x14ac:dyDescent="0.2">
      <c r="A400" t="s">
        <v>18</v>
      </c>
      <c r="B400" t="s">
        <v>95</v>
      </c>
      <c r="C400" t="s">
        <v>19</v>
      </c>
      <c r="D400" t="s">
        <v>41</v>
      </c>
      <c r="E400" t="s">
        <v>42</v>
      </c>
      <c r="F400" t="s">
        <v>52</v>
      </c>
      <c r="G400" t="s">
        <v>98</v>
      </c>
      <c r="H400" t="s">
        <v>165</v>
      </c>
      <c r="I400">
        <v>420</v>
      </c>
      <c r="J400"/>
      <c r="L400" t="s">
        <v>131</v>
      </c>
    </row>
    <row r="401" spans="1:12" x14ac:dyDescent="0.2">
      <c r="A401" t="s">
        <v>27</v>
      </c>
      <c r="B401" t="s">
        <v>110</v>
      </c>
      <c r="C401" t="s">
        <v>19</v>
      </c>
      <c r="D401" t="s">
        <v>41</v>
      </c>
      <c r="E401" t="s">
        <v>15</v>
      </c>
      <c r="F401" t="s">
        <v>41</v>
      </c>
      <c r="G401" t="s">
        <v>111</v>
      </c>
      <c r="H401" t="s">
        <v>221</v>
      </c>
      <c r="I401">
        <v>500</v>
      </c>
      <c r="J401"/>
      <c r="L401" t="s">
        <v>113</v>
      </c>
    </row>
    <row r="402" spans="1:12" x14ac:dyDescent="0.2">
      <c r="A402" t="s">
        <v>27</v>
      </c>
      <c r="B402" t="s">
        <v>95</v>
      </c>
      <c r="C402" t="s">
        <v>19</v>
      </c>
      <c r="D402" t="s">
        <v>41</v>
      </c>
      <c r="E402" t="s">
        <v>42</v>
      </c>
      <c r="F402" t="s">
        <v>41</v>
      </c>
      <c r="G402" t="s">
        <v>162</v>
      </c>
      <c r="H402" t="s">
        <v>220</v>
      </c>
      <c r="I402">
        <v>0.06</v>
      </c>
      <c r="J402"/>
    </row>
    <row r="403" spans="1:12" x14ac:dyDescent="0.2">
      <c r="A403" t="s">
        <v>27</v>
      </c>
      <c r="B403" t="s">
        <v>95</v>
      </c>
      <c r="C403" t="s">
        <v>19</v>
      </c>
      <c r="D403" t="s">
        <v>43</v>
      </c>
      <c r="E403" t="s">
        <v>42</v>
      </c>
      <c r="F403" t="s">
        <v>43</v>
      </c>
      <c r="G403" t="s">
        <v>98</v>
      </c>
      <c r="H403" t="s">
        <v>165</v>
      </c>
      <c r="I403">
        <v>270</v>
      </c>
      <c r="J403"/>
      <c r="K403" t="s">
        <v>118</v>
      </c>
      <c r="L403" t="s">
        <v>119</v>
      </c>
    </row>
    <row r="404" spans="1:12" x14ac:dyDescent="0.2">
      <c r="A404" t="s">
        <v>215</v>
      </c>
      <c r="B404" t="s">
        <v>222</v>
      </c>
      <c r="C404" t="s">
        <v>19</v>
      </c>
      <c r="D404" t="s">
        <v>43</v>
      </c>
      <c r="E404" t="s">
        <v>42</v>
      </c>
      <c r="F404" t="s">
        <v>43</v>
      </c>
      <c r="G404" t="s">
        <v>98</v>
      </c>
      <c r="H404" t="s">
        <v>223</v>
      </c>
      <c r="I404">
        <v>200</v>
      </c>
      <c r="J404"/>
      <c r="K404" t="s">
        <v>224</v>
      </c>
      <c r="L404" t="s">
        <v>225</v>
      </c>
    </row>
    <row r="405" spans="1:12" x14ac:dyDescent="0.2">
      <c r="A405" t="s">
        <v>27</v>
      </c>
      <c r="B405" t="s">
        <v>125</v>
      </c>
      <c r="C405" t="s">
        <v>19</v>
      </c>
      <c r="D405" t="s">
        <v>43</v>
      </c>
      <c r="E405" t="s">
        <v>42</v>
      </c>
      <c r="F405" t="s">
        <v>43</v>
      </c>
      <c r="G405" t="s">
        <v>104</v>
      </c>
      <c r="H405"/>
      <c r="I405">
        <v>2000</v>
      </c>
      <c r="J405"/>
      <c r="K405" t="s">
        <v>226</v>
      </c>
      <c r="L405" t="s">
        <v>227</v>
      </c>
    </row>
    <row r="406" spans="1:12" x14ac:dyDescent="0.2">
      <c r="A406" t="s">
        <v>18</v>
      </c>
      <c r="B406" t="s">
        <v>95</v>
      </c>
      <c r="C406" t="s">
        <v>19</v>
      </c>
      <c r="D406" t="s">
        <v>44</v>
      </c>
      <c r="E406" t="s">
        <v>15</v>
      </c>
      <c r="F406" t="s">
        <v>47</v>
      </c>
      <c r="G406" t="s">
        <v>98</v>
      </c>
      <c r="H406" t="s">
        <v>228</v>
      </c>
      <c r="I406">
        <v>300</v>
      </c>
      <c r="J406"/>
      <c r="L406" t="s">
        <v>134</v>
      </c>
    </row>
    <row r="407" spans="1:12" x14ac:dyDescent="0.2">
      <c r="A407" t="s">
        <v>18</v>
      </c>
      <c r="B407" t="s">
        <v>95</v>
      </c>
      <c r="C407" t="s">
        <v>19</v>
      </c>
      <c r="D407" t="s">
        <v>44</v>
      </c>
      <c r="E407" t="s">
        <v>15</v>
      </c>
      <c r="F407" t="s">
        <v>190</v>
      </c>
      <c r="G407" t="s">
        <v>98</v>
      </c>
      <c r="H407" t="s">
        <v>229</v>
      </c>
      <c r="I407">
        <v>600</v>
      </c>
      <c r="J407"/>
      <c r="L407" t="s">
        <v>136</v>
      </c>
    </row>
    <row r="408" spans="1:12" x14ac:dyDescent="0.2">
      <c r="A408" t="s">
        <v>18</v>
      </c>
      <c r="B408" t="s">
        <v>95</v>
      </c>
      <c r="C408" t="s">
        <v>19</v>
      </c>
      <c r="D408" t="s">
        <v>44</v>
      </c>
      <c r="E408" t="s">
        <v>15</v>
      </c>
      <c r="F408" t="s">
        <v>52</v>
      </c>
      <c r="G408" t="s">
        <v>98</v>
      </c>
      <c r="H408" t="s">
        <v>230</v>
      </c>
      <c r="I408">
        <v>420</v>
      </c>
      <c r="J408"/>
      <c r="K408" t="s">
        <v>138</v>
      </c>
      <c r="L408" t="s">
        <v>139</v>
      </c>
    </row>
    <row r="409" spans="1:12" x14ac:dyDescent="0.2">
      <c r="A409" t="s">
        <v>18</v>
      </c>
      <c r="B409" t="s">
        <v>95</v>
      </c>
      <c r="C409" t="s">
        <v>19</v>
      </c>
      <c r="D409" t="s">
        <v>44</v>
      </c>
      <c r="E409" t="s">
        <v>42</v>
      </c>
      <c r="F409" t="s">
        <v>44</v>
      </c>
      <c r="G409" t="s">
        <v>98</v>
      </c>
      <c r="H409"/>
      <c r="I409">
        <v>200</v>
      </c>
      <c r="J409"/>
      <c r="L409" t="s">
        <v>155</v>
      </c>
    </row>
    <row r="410" spans="1:12" x14ac:dyDescent="0.2">
      <c r="A410" t="s">
        <v>18</v>
      </c>
      <c r="B410" t="s">
        <v>125</v>
      </c>
      <c r="C410" t="s">
        <v>19</v>
      </c>
      <c r="D410" t="s">
        <v>44</v>
      </c>
      <c r="E410" t="s">
        <v>42</v>
      </c>
      <c r="F410" t="s">
        <v>44</v>
      </c>
      <c r="G410" t="s">
        <v>98</v>
      </c>
      <c r="H410" t="s">
        <v>165</v>
      </c>
      <c r="I410">
        <v>400</v>
      </c>
      <c r="J410"/>
      <c r="K410" t="s">
        <v>123</v>
      </c>
      <c r="L410" t="s">
        <v>124</v>
      </c>
    </row>
    <row r="411" spans="1:12" x14ac:dyDescent="0.2">
      <c r="A411" t="s">
        <v>18</v>
      </c>
      <c r="B411" t="s">
        <v>95</v>
      </c>
      <c r="C411" t="s">
        <v>19</v>
      </c>
      <c r="D411" t="s">
        <v>231</v>
      </c>
      <c r="E411" t="s">
        <v>15</v>
      </c>
      <c r="F411" t="s">
        <v>231</v>
      </c>
      <c r="G411" t="s">
        <v>98</v>
      </c>
      <c r="H411" t="s">
        <v>232</v>
      </c>
      <c r="I411">
        <v>1000</v>
      </c>
      <c r="J411"/>
      <c r="K411" t="s">
        <v>152</v>
      </c>
      <c r="L411" t="s">
        <v>153</v>
      </c>
    </row>
    <row r="412" spans="1:12" x14ac:dyDescent="0.2">
      <c r="A412" t="s">
        <v>18</v>
      </c>
      <c r="B412" t="s">
        <v>95</v>
      </c>
      <c r="C412" t="s">
        <v>19</v>
      </c>
      <c r="D412" t="s">
        <v>231</v>
      </c>
      <c r="E412" t="s">
        <v>15</v>
      </c>
      <c r="F412" t="s">
        <v>231</v>
      </c>
      <c r="G412" t="s">
        <v>98</v>
      </c>
      <c r="H412" t="s">
        <v>213</v>
      </c>
      <c r="I412">
        <v>634</v>
      </c>
      <c r="J412"/>
      <c r="L412" t="s">
        <v>154</v>
      </c>
    </row>
    <row r="413" spans="1:12" x14ac:dyDescent="0.2">
      <c r="A413" t="s">
        <v>27</v>
      </c>
      <c r="B413" t="s">
        <v>200</v>
      </c>
      <c r="C413" t="s">
        <v>19</v>
      </c>
      <c r="D413" t="s">
        <v>231</v>
      </c>
      <c r="E413" t="s">
        <v>42</v>
      </c>
      <c r="F413" t="s">
        <v>231</v>
      </c>
      <c r="G413" t="s">
        <v>98</v>
      </c>
      <c r="H413" t="s">
        <v>206</v>
      </c>
      <c r="I413">
        <v>545</v>
      </c>
      <c r="J413"/>
      <c r="L413" t="s">
        <v>202</v>
      </c>
    </row>
    <row r="414" spans="1:12" x14ac:dyDescent="0.2">
      <c r="A414" t="s">
        <v>27</v>
      </c>
      <c r="B414" t="s">
        <v>125</v>
      </c>
      <c r="C414" t="s">
        <v>19</v>
      </c>
      <c r="D414" t="s">
        <v>231</v>
      </c>
      <c r="E414" t="s">
        <v>42</v>
      </c>
      <c r="F414" t="s">
        <v>231</v>
      </c>
      <c r="G414" t="s">
        <v>98</v>
      </c>
      <c r="H414"/>
      <c r="I414">
        <v>1000</v>
      </c>
      <c r="J414"/>
      <c r="K414" t="s">
        <v>140</v>
      </c>
      <c r="L414" t="s">
        <v>141</v>
      </c>
    </row>
    <row r="415" spans="1:12" x14ac:dyDescent="0.2">
      <c r="A415" t="s">
        <v>12</v>
      </c>
      <c r="B415" t="s">
        <v>125</v>
      </c>
      <c r="C415" t="s">
        <v>19</v>
      </c>
      <c r="D415" t="s">
        <v>231</v>
      </c>
      <c r="E415" t="s">
        <v>42</v>
      </c>
      <c r="F415" t="s">
        <v>231</v>
      </c>
      <c r="G415" t="s">
        <v>104</v>
      </c>
      <c r="H415"/>
      <c r="I415">
        <v>5406</v>
      </c>
      <c r="J415"/>
      <c r="K415" t="s">
        <v>233</v>
      </c>
      <c r="L415" t="s">
        <v>234</v>
      </c>
    </row>
    <row r="416" spans="1:12" x14ac:dyDescent="0.2">
      <c r="A416" t="s">
        <v>12</v>
      </c>
      <c r="B416" t="s">
        <v>125</v>
      </c>
      <c r="C416" t="s">
        <v>19</v>
      </c>
      <c r="D416" t="s">
        <v>231</v>
      </c>
      <c r="E416" t="s">
        <v>42</v>
      </c>
      <c r="F416" t="s">
        <v>231</v>
      </c>
      <c r="G416" t="s">
        <v>104</v>
      </c>
      <c r="H416"/>
      <c r="I416">
        <v>1595</v>
      </c>
      <c r="J416"/>
      <c r="K416" t="s">
        <v>235</v>
      </c>
      <c r="L416" t="s">
        <v>236</v>
      </c>
    </row>
    <row r="417" spans="1:12" x14ac:dyDescent="0.2">
      <c r="A417" t="s">
        <v>27</v>
      </c>
      <c r="B417" t="s">
        <v>95</v>
      </c>
      <c r="C417" t="s">
        <v>19</v>
      </c>
      <c r="D417" t="s">
        <v>231</v>
      </c>
      <c r="E417" t="s">
        <v>42</v>
      </c>
      <c r="F417" t="s">
        <v>231</v>
      </c>
      <c r="G417" t="s">
        <v>98</v>
      </c>
      <c r="H417" t="s">
        <v>212</v>
      </c>
      <c r="I417">
        <v>500</v>
      </c>
      <c r="J417"/>
      <c r="L417" t="s">
        <v>173</v>
      </c>
    </row>
    <row r="418" spans="1:12" x14ac:dyDescent="0.2">
      <c r="A418" t="s">
        <v>27</v>
      </c>
      <c r="B418" t="s">
        <v>95</v>
      </c>
      <c r="C418" t="s">
        <v>19</v>
      </c>
      <c r="D418" t="s">
        <v>47</v>
      </c>
      <c r="E418" t="s">
        <v>15</v>
      </c>
      <c r="F418" t="s">
        <v>231</v>
      </c>
      <c r="G418" t="s">
        <v>98</v>
      </c>
      <c r="H418" t="s">
        <v>237</v>
      </c>
      <c r="I418">
        <v>500</v>
      </c>
      <c r="J418"/>
      <c r="K418" t="s">
        <v>160</v>
      </c>
      <c r="L418" t="s">
        <v>161</v>
      </c>
    </row>
    <row r="419" spans="1:12" x14ac:dyDescent="0.2">
      <c r="A419" t="s">
        <v>27</v>
      </c>
      <c r="B419" t="s">
        <v>95</v>
      </c>
      <c r="C419" t="s">
        <v>19</v>
      </c>
      <c r="D419" t="s">
        <v>47</v>
      </c>
      <c r="E419" t="s">
        <v>15</v>
      </c>
      <c r="F419" t="s">
        <v>47</v>
      </c>
      <c r="G419" t="s">
        <v>98</v>
      </c>
      <c r="H419" t="s">
        <v>213</v>
      </c>
      <c r="I419">
        <v>500</v>
      </c>
      <c r="J419"/>
      <c r="L419" t="s">
        <v>164</v>
      </c>
    </row>
    <row r="420" spans="1:12" x14ac:dyDescent="0.2">
      <c r="A420" t="s">
        <v>27</v>
      </c>
      <c r="B420" t="s">
        <v>125</v>
      </c>
      <c r="C420" t="s">
        <v>19</v>
      </c>
      <c r="D420" t="s">
        <v>47</v>
      </c>
      <c r="E420" t="s">
        <v>15</v>
      </c>
      <c r="F420" t="s">
        <v>47</v>
      </c>
      <c r="G420" t="s">
        <v>98</v>
      </c>
      <c r="H420" t="s">
        <v>238</v>
      </c>
      <c r="I420">
        <v>320</v>
      </c>
      <c r="J420"/>
      <c r="L420" t="s">
        <v>166</v>
      </c>
    </row>
    <row r="421" spans="1:12" x14ac:dyDescent="0.2">
      <c r="A421" t="s">
        <v>71</v>
      </c>
      <c r="B421" t="s">
        <v>95</v>
      </c>
      <c r="C421" t="s">
        <v>19</v>
      </c>
      <c r="D421" t="s">
        <v>47</v>
      </c>
      <c r="E421" t="s">
        <v>42</v>
      </c>
      <c r="F421" t="s">
        <v>47</v>
      </c>
      <c r="G421" t="s">
        <v>156</v>
      </c>
      <c r="H421" t="s">
        <v>239</v>
      </c>
      <c r="I421">
        <v>500</v>
      </c>
      <c r="J421"/>
    </row>
    <row r="422" spans="1:12" x14ac:dyDescent="0.2">
      <c r="A422" t="s">
        <v>27</v>
      </c>
      <c r="B422" t="s">
        <v>95</v>
      </c>
      <c r="C422" t="s">
        <v>19</v>
      </c>
      <c r="D422" t="s">
        <v>46</v>
      </c>
      <c r="E422" t="s">
        <v>42</v>
      </c>
      <c r="F422" t="s">
        <v>46</v>
      </c>
      <c r="G422" t="s">
        <v>162</v>
      </c>
      <c r="H422" t="s">
        <v>220</v>
      </c>
      <c r="I422">
        <v>0.04</v>
      </c>
      <c r="J422"/>
    </row>
    <row r="423" spans="1:12" x14ac:dyDescent="0.2">
      <c r="A423" t="s">
        <v>12</v>
      </c>
      <c r="B423" t="s">
        <v>125</v>
      </c>
      <c r="C423" t="s">
        <v>19</v>
      </c>
      <c r="D423" t="s">
        <v>48</v>
      </c>
      <c r="E423" t="s">
        <v>42</v>
      </c>
      <c r="F423" t="s">
        <v>48</v>
      </c>
      <c r="G423" t="s">
        <v>107</v>
      </c>
      <c r="H423"/>
      <c r="I423">
        <v>18299.86</v>
      </c>
      <c r="J423"/>
      <c r="K423" t="s">
        <v>240</v>
      </c>
      <c r="L423" t="s">
        <v>241</v>
      </c>
    </row>
    <row r="424" spans="1:12" x14ac:dyDescent="0.2">
      <c r="A424" t="s">
        <v>12</v>
      </c>
      <c r="B424" t="s">
        <v>125</v>
      </c>
      <c r="C424" t="s">
        <v>19</v>
      </c>
      <c r="D424" t="s">
        <v>51</v>
      </c>
      <c r="E424" t="s">
        <v>42</v>
      </c>
      <c r="F424" t="s">
        <v>51</v>
      </c>
      <c r="G424" t="s">
        <v>104</v>
      </c>
      <c r="H424"/>
      <c r="I424">
        <v>3115</v>
      </c>
      <c r="J424"/>
      <c r="K424" t="s">
        <v>242</v>
      </c>
      <c r="L424" t="s">
        <v>243</v>
      </c>
    </row>
    <row r="425" spans="1:12" x14ac:dyDescent="0.2">
      <c r="A425" t="s">
        <v>71</v>
      </c>
      <c r="B425" t="s">
        <v>125</v>
      </c>
      <c r="C425" t="s">
        <v>19</v>
      </c>
      <c r="D425" t="s">
        <v>51</v>
      </c>
      <c r="E425" t="s">
        <v>42</v>
      </c>
      <c r="F425" t="s">
        <v>51</v>
      </c>
      <c r="G425" t="s">
        <v>104</v>
      </c>
      <c r="H425"/>
      <c r="I425">
        <v>5000</v>
      </c>
      <c r="J425"/>
      <c r="K425" t="s">
        <v>242</v>
      </c>
      <c r="L425" t="s">
        <v>243</v>
      </c>
    </row>
    <row r="426" spans="1:12" x14ac:dyDescent="0.2">
      <c r="A426" t="s">
        <v>27</v>
      </c>
      <c r="B426" t="s">
        <v>95</v>
      </c>
      <c r="C426" t="s">
        <v>19</v>
      </c>
      <c r="D426" t="s">
        <v>54</v>
      </c>
      <c r="E426" t="s">
        <v>42</v>
      </c>
      <c r="F426" t="s">
        <v>48</v>
      </c>
      <c r="G426" t="s">
        <v>98</v>
      </c>
      <c r="H426" t="s">
        <v>206</v>
      </c>
      <c r="I426">
        <v>900</v>
      </c>
      <c r="J426"/>
      <c r="K426" t="s">
        <v>176</v>
      </c>
      <c r="L426" t="s">
        <v>177</v>
      </c>
    </row>
    <row r="427" spans="1:12" x14ac:dyDescent="0.2">
      <c r="A427" t="s">
        <v>215</v>
      </c>
      <c r="B427" t="s">
        <v>200</v>
      </c>
      <c r="C427" t="s">
        <v>19</v>
      </c>
      <c r="D427" t="s">
        <v>54</v>
      </c>
      <c r="E427" t="s">
        <v>42</v>
      </c>
      <c r="F427" t="s">
        <v>54</v>
      </c>
      <c r="G427" t="s">
        <v>107</v>
      </c>
      <c r="H427" t="s">
        <v>244</v>
      </c>
      <c r="I427">
        <v>948</v>
      </c>
      <c r="J427"/>
      <c r="K427" t="s">
        <v>146</v>
      </c>
      <c r="L427" t="s">
        <v>147</v>
      </c>
    </row>
    <row r="428" spans="1:12" x14ac:dyDescent="0.2">
      <c r="A428" t="s">
        <v>27</v>
      </c>
      <c r="B428" t="s">
        <v>245</v>
      </c>
      <c r="C428" t="s">
        <v>19</v>
      </c>
      <c r="D428" t="s">
        <v>56</v>
      </c>
      <c r="E428" t="s">
        <v>42</v>
      </c>
      <c r="F428" t="s">
        <v>56</v>
      </c>
      <c r="G428" t="s">
        <v>107</v>
      </c>
      <c r="H428" t="s">
        <v>120</v>
      </c>
      <c r="I428">
        <v>600</v>
      </c>
      <c r="J428"/>
      <c r="K428" t="s">
        <v>187</v>
      </c>
      <c r="L428" t="s">
        <v>188</v>
      </c>
    </row>
    <row r="429" spans="1:12" x14ac:dyDescent="0.2">
      <c r="A429" t="s">
        <v>27</v>
      </c>
      <c r="B429" t="s">
        <v>125</v>
      </c>
      <c r="C429" t="s">
        <v>19</v>
      </c>
      <c r="D429" t="s">
        <v>56</v>
      </c>
      <c r="E429" t="s">
        <v>42</v>
      </c>
      <c r="F429" t="s">
        <v>56</v>
      </c>
      <c r="G429" t="s">
        <v>107</v>
      </c>
      <c r="H429" t="s">
        <v>246</v>
      </c>
      <c r="I429">
        <v>6531.91</v>
      </c>
      <c r="J429"/>
      <c r="K429" t="s">
        <v>247</v>
      </c>
      <c r="L429" t="s">
        <v>248</v>
      </c>
    </row>
    <row r="430" spans="1:12" x14ac:dyDescent="0.2">
      <c r="A430" t="s">
        <v>27</v>
      </c>
      <c r="B430" t="s">
        <v>125</v>
      </c>
      <c r="C430" t="s">
        <v>19</v>
      </c>
      <c r="D430" t="s">
        <v>56</v>
      </c>
      <c r="E430" t="s">
        <v>42</v>
      </c>
      <c r="F430" t="s">
        <v>56</v>
      </c>
      <c r="G430" t="s">
        <v>181</v>
      </c>
      <c r="H430" t="s">
        <v>249</v>
      </c>
      <c r="I430">
        <v>2177.29</v>
      </c>
      <c r="J430"/>
      <c r="K430" t="s">
        <v>247</v>
      </c>
      <c r="L430" t="s">
        <v>248</v>
      </c>
    </row>
    <row r="431" spans="1:12" x14ac:dyDescent="0.2">
      <c r="A431" t="s">
        <v>12</v>
      </c>
      <c r="B431" t="s">
        <v>125</v>
      </c>
      <c r="C431" t="s">
        <v>19</v>
      </c>
      <c r="D431" t="s">
        <v>56</v>
      </c>
      <c r="E431" t="s">
        <v>42</v>
      </c>
      <c r="F431" t="s">
        <v>56</v>
      </c>
      <c r="G431" t="s">
        <v>107</v>
      </c>
      <c r="H431" t="s">
        <v>250</v>
      </c>
      <c r="I431">
        <v>8763.7999999999993</v>
      </c>
      <c r="J431"/>
      <c r="K431" t="s">
        <v>251</v>
      </c>
      <c r="L431" t="s">
        <v>252</v>
      </c>
    </row>
    <row r="432" spans="1:12" x14ac:dyDescent="0.2">
      <c r="A432" t="s">
        <v>12</v>
      </c>
      <c r="B432" t="s">
        <v>200</v>
      </c>
      <c r="C432" t="s">
        <v>19</v>
      </c>
      <c r="D432" t="s">
        <v>49</v>
      </c>
      <c r="E432" t="s">
        <v>42</v>
      </c>
      <c r="F432" t="s">
        <v>49</v>
      </c>
      <c r="G432" t="s">
        <v>98</v>
      </c>
      <c r="H432"/>
      <c r="I432">
        <v>500</v>
      </c>
      <c r="J432"/>
      <c r="L432" t="s">
        <v>189</v>
      </c>
    </row>
    <row r="433" spans="1:12" x14ac:dyDescent="0.2">
      <c r="A433" t="s">
        <v>27</v>
      </c>
      <c r="B433" t="s">
        <v>125</v>
      </c>
      <c r="C433" t="s">
        <v>19</v>
      </c>
      <c r="D433" t="s">
        <v>59</v>
      </c>
      <c r="E433" t="s">
        <v>42</v>
      </c>
      <c r="F433" t="s">
        <v>59</v>
      </c>
      <c r="G433" t="s">
        <v>104</v>
      </c>
      <c r="H433"/>
      <c r="I433">
        <v>740</v>
      </c>
      <c r="J433"/>
      <c r="K433" t="s">
        <v>179</v>
      </c>
      <c r="L433" t="s">
        <v>180</v>
      </c>
    </row>
    <row r="434" spans="1:12" x14ac:dyDescent="0.2">
      <c r="A434" t="s">
        <v>27</v>
      </c>
      <c r="B434" t="s">
        <v>200</v>
      </c>
      <c r="C434" t="s">
        <v>19</v>
      </c>
      <c r="D434" t="s">
        <v>253</v>
      </c>
      <c r="E434" t="s">
        <v>42</v>
      </c>
      <c r="F434" t="s">
        <v>253</v>
      </c>
      <c r="G434" t="s">
        <v>104</v>
      </c>
      <c r="H434"/>
      <c r="I434">
        <v>5000</v>
      </c>
      <c r="J434"/>
      <c r="K434" t="s">
        <v>254</v>
      </c>
      <c r="L434" t="s">
        <v>255</v>
      </c>
    </row>
    <row r="435" spans="1:12" x14ac:dyDescent="0.2">
      <c r="A435" t="s">
        <v>27</v>
      </c>
      <c r="B435" t="s">
        <v>95</v>
      </c>
      <c r="C435" t="s">
        <v>19</v>
      </c>
      <c r="D435" t="s">
        <v>253</v>
      </c>
      <c r="E435" t="s">
        <v>42</v>
      </c>
      <c r="F435" t="s">
        <v>253</v>
      </c>
      <c r="G435" t="s">
        <v>162</v>
      </c>
      <c r="H435" t="s">
        <v>27</v>
      </c>
      <c r="I435">
        <v>0.06</v>
      </c>
      <c r="J435"/>
    </row>
    <row r="436" spans="1:12" x14ac:dyDescent="0.2">
      <c r="A436" t="s">
        <v>18</v>
      </c>
      <c r="B436" t="s">
        <v>95</v>
      </c>
      <c r="C436" t="s">
        <v>19</v>
      </c>
      <c r="D436" t="s">
        <v>61</v>
      </c>
      <c r="E436" t="s">
        <v>15</v>
      </c>
      <c r="F436" t="s">
        <v>256</v>
      </c>
      <c r="G436" t="s">
        <v>111</v>
      </c>
      <c r="H436" t="s">
        <v>232</v>
      </c>
      <c r="I436">
        <v>2000</v>
      </c>
      <c r="J436"/>
      <c r="K436" t="s">
        <v>192</v>
      </c>
      <c r="L436" t="s">
        <v>193</v>
      </c>
    </row>
    <row r="437" spans="1:12" x14ac:dyDescent="0.2">
      <c r="A437" t="s">
        <v>18</v>
      </c>
      <c r="B437" t="s">
        <v>125</v>
      </c>
      <c r="C437" t="s">
        <v>19</v>
      </c>
      <c r="D437" t="s">
        <v>62</v>
      </c>
      <c r="E437" t="s">
        <v>15</v>
      </c>
      <c r="F437" t="s">
        <v>257</v>
      </c>
      <c r="G437" t="s">
        <v>98</v>
      </c>
      <c r="H437" t="s">
        <v>258</v>
      </c>
      <c r="I437">
        <v>225</v>
      </c>
      <c r="J437"/>
      <c r="L437" t="s">
        <v>129</v>
      </c>
    </row>
    <row r="438" spans="1:12" x14ac:dyDescent="0.2">
      <c r="A438" t="s">
        <v>27</v>
      </c>
      <c r="B438" t="s">
        <v>125</v>
      </c>
      <c r="C438" t="s">
        <v>19</v>
      </c>
      <c r="D438" t="s">
        <v>62</v>
      </c>
      <c r="E438" t="s">
        <v>42</v>
      </c>
      <c r="F438" t="s">
        <v>62</v>
      </c>
      <c r="G438" t="s">
        <v>104</v>
      </c>
      <c r="H438"/>
      <c r="I438">
        <v>1761</v>
      </c>
      <c r="J438"/>
      <c r="K438" t="s">
        <v>259</v>
      </c>
      <c r="L438" t="s">
        <v>260</v>
      </c>
    </row>
    <row r="439" spans="1:12" x14ac:dyDescent="0.2">
      <c r="A439" t="s">
        <v>27</v>
      </c>
      <c r="B439" t="s">
        <v>95</v>
      </c>
      <c r="C439" t="s">
        <v>19</v>
      </c>
      <c r="D439" t="s">
        <v>62</v>
      </c>
      <c r="E439" t="s">
        <v>42</v>
      </c>
      <c r="F439" t="s">
        <v>62</v>
      </c>
      <c r="G439" t="s">
        <v>162</v>
      </c>
      <c r="H439" t="s">
        <v>27</v>
      </c>
      <c r="I439">
        <v>0.06</v>
      </c>
      <c r="J439"/>
    </row>
    <row r="440" spans="1:12" x14ac:dyDescent="0.2">
      <c r="A440" t="s">
        <v>18</v>
      </c>
      <c r="B440" t="s">
        <v>95</v>
      </c>
      <c r="C440" t="s">
        <v>19</v>
      </c>
      <c r="D440" t="s">
        <v>256</v>
      </c>
      <c r="E440" t="s">
        <v>15</v>
      </c>
      <c r="F440" t="s">
        <v>44</v>
      </c>
      <c r="G440" t="s">
        <v>98</v>
      </c>
      <c r="H440" t="s">
        <v>261</v>
      </c>
      <c r="I440">
        <v>530</v>
      </c>
      <c r="J440"/>
      <c r="L440" t="s">
        <v>199</v>
      </c>
    </row>
    <row r="441" spans="1:12" x14ac:dyDescent="0.2">
      <c r="A441" t="s">
        <v>215</v>
      </c>
      <c r="B441" t="s">
        <v>125</v>
      </c>
      <c r="C441" t="s">
        <v>19</v>
      </c>
      <c r="D441" t="s">
        <v>256</v>
      </c>
      <c r="E441" t="s">
        <v>42</v>
      </c>
      <c r="F441" t="s">
        <v>256</v>
      </c>
      <c r="G441" t="s">
        <v>104</v>
      </c>
      <c r="H441" t="s">
        <v>215</v>
      </c>
      <c r="I441">
        <v>1823</v>
      </c>
      <c r="J441"/>
      <c r="K441" t="s">
        <v>262</v>
      </c>
      <c r="L441" t="s">
        <v>147</v>
      </c>
    </row>
    <row r="442" spans="1:12" x14ac:dyDescent="0.2">
      <c r="A442" t="s">
        <v>71</v>
      </c>
      <c r="B442" t="s">
        <v>125</v>
      </c>
      <c r="C442" t="s">
        <v>19</v>
      </c>
      <c r="D442" t="s">
        <v>256</v>
      </c>
      <c r="E442" t="s">
        <v>42</v>
      </c>
      <c r="F442" t="s">
        <v>256</v>
      </c>
      <c r="G442" t="s">
        <v>104</v>
      </c>
      <c r="H442"/>
      <c r="I442">
        <v>13375</v>
      </c>
      <c r="J442"/>
      <c r="K442" t="s">
        <v>263</v>
      </c>
      <c r="L442" t="s">
        <v>264</v>
      </c>
    </row>
    <row r="443" spans="1:12" x14ac:dyDescent="0.2">
      <c r="A443" t="s">
        <v>27</v>
      </c>
      <c r="B443" t="s">
        <v>95</v>
      </c>
      <c r="C443" t="s">
        <v>19</v>
      </c>
      <c r="D443" t="s">
        <v>257</v>
      </c>
      <c r="E443" t="s">
        <v>42</v>
      </c>
      <c r="F443" t="s">
        <v>257</v>
      </c>
      <c r="G443" t="s">
        <v>162</v>
      </c>
      <c r="H443" t="s">
        <v>220</v>
      </c>
      <c r="I443">
        <v>0.04</v>
      </c>
      <c r="J443"/>
    </row>
    <row r="444" spans="1:12" x14ac:dyDescent="0.2">
      <c r="A444" t="s">
        <v>71</v>
      </c>
      <c r="B444" t="s">
        <v>125</v>
      </c>
      <c r="C444" t="s">
        <v>19</v>
      </c>
      <c r="D444" t="s">
        <v>265</v>
      </c>
      <c r="E444" t="s">
        <v>42</v>
      </c>
      <c r="F444" t="s">
        <v>256</v>
      </c>
      <c r="G444" t="s">
        <v>104</v>
      </c>
      <c r="H444" t="s">
        <v>266</v>
      </c>
      <c r="I444">
        <v>3000</v>
      </c>
      <c r="J444"/>
      <c r="K444" t="s">
        <v>267</v>
      </c>
      <c r="L444" t="s">
        <v>268</v>
      </c>
    </row>
    <row r="445" spans="1:12" x14ac:dyDescent="0.2">
      <c r="A445" t="s">
        <v>27</v>
      </c>
      <c r="B445" t="s">
        <v>200</v>
      </c>
      <c r="C445" t="s">
        <v>19</v>
      </c>
      <c r="D445" t="s">
        <v>269</v>
      </c>
      <c r="E445" t="s">
        <v>42</v>
      </c>
      <c r="F445" t="s">
        <v>63</v>
      </c>
      <c r="G445" t="s">
        <v>104</v>
      </c>
      <c r="H445"/>
      <c r="I445">
        <v>6000</v>
      </c>
      <c r="J445"/>
      <c r="L445" t="s">
        <v>270</v>
      </c>
    </row>
    <row r="446" spans="1:12" x14ac:dyDescent="0.2">
      <c r="A446" t="s">
        <v>27</v>
      </c>
      <c r="B446" t="s">
        <v>110</v>
      </c>
      <c r="C446" t="s">
        <v>19</v>
      </c>
      <c r="D446" t="s">
        <v>269</v>
      </c>
      <c r="E446" t="s">
        <v>42</v>
      </c>
      <c r="F446" t="s">
        <v>269</v>
      </c>
      <c r="G446" t="s">
        <v>181</v>
      </c>
      <c r="H446"/>
      <c r="I446">
        <v>1000</v>
      </c>
      <c r="J446"/>
      <c r="K446" t="s">
        <v>271</v>
      </c>
      <c r="L446" t="s">
        <v>272</v>
      </c>
    </row>
    <row r="447" spans="1:12" x14ac:dyDescent="0.2">
      <c r="A447" t="s">
        <v>12</v>
      </c>
      <c r="B447" t="s">
        <v>95</v>
      </c>
      <c r="C447" t="s">
        <v>19</v>
      </c>
      <c r="D447" t="s">
        <v>269</v>
      </c>
      <c r="E447" t="s">
        <v>42</v>
      </c>
      <c r="F447" t="s">
        <v>269</v>
      </c>
      <c r="G447" t="s">
        <v>211</v>
      </c>
      <c r="H447" t="s">
        <v>273</v>
      </c>
      <c r="I447">
        <v>516</v>
      </c>
      <c r="J447"/>
    </row>
    <row r="448" spans="1:12" x14ac:dyDescent="0.2">
      <c r="A448" t="s">
        <v>18</v>
      </c>
      <c r="B448" t="s">
        <v>95</v>
      </c>
      <c r="C448" t="s">
        <v>19</v>
      </c>
      <c r="D448" t="s">
        <v>274</v>
      </c>
      <c r="E448" t="s">
        <v>15</v>
      </c>
      <c r="F448" t="s">
        <v>62</v>
      </c>
      <c r="G448" t="s">
        <v>98</v>
      </c>
      <c r="H448" t="s">
        <v>275</v>
      </c>
      <c r="I448">
        <v>450</v>
      </c>
      <c r="J448"/>
      <c r="K448" t="s">
        <v>204</v>
      </c>
      <c r="L448" t="s">
        <v>205</v>
      </c>
    </row>
    <row r="449" spans="1:12" x14ac:dyDescent="0.2">
      <c r="A449" t="s">
        <v>18</v>
      </c>
      <c r="B449" t="s">
        <v>95</v>
      </c>
      <c r="C449" t="s">
        <v>19</v>
      </c>
      <c r="D449" t="s">
        <v>274</v>
      </c>
      <c r="E449" t="s">
        <v>15</v>
      </c>
      <c r="F449" t="s">
        <v>62</v>
      </c>
      <c r="G449" t="s">
        <v>98</v>
      </c>
      <c r="H449" t="s">
        <v>276</v>
      </c>
      <c r="I449">
        <v>319</v>
      </c>
      <c r="J449"/>
      <c r="L449" t="s">
        <v>207</v>
      </c>
    </row>
    <row r="450" spans="1:12" x14ac:dyDescent="0.2">
      <c r="A450" t="s">
        <v>18</v>
      </c>
      <c r="B450" t="s">
        <v>125</v>
      </c>
      <c r="C450" t="s">
        <v>19</v>
      </c>
      <c r="D450" t="s">
        <v>274</v>
      </c>
      <c r="E450" t="s">
        <v>42</v>
      </c>
      <c r="F450" t="s">
        <v>52</v>
      </c>
      <c r="G450" t="s">
        <v>98</v>
      </c>
      <c r="H450" t="s">
        <v>277</v>
      </c>
      <c r="I450">
        <v>490</v>
      </c>
      <c r="J450"/>
      <c r="L450" t="s">
        <v>103</v>
      </c>
    </row>
    <row r="451" spans="1:12" x14ac:dyDescent="0.2">
      <c r="A451" t="s">
        <v>27</v>
      </c>
      <c r="B451" t="s">
        <v>200</v>
      </c>
      <c r="C451" t="s">
        <v>19</v>
      </c>
      <c r="D451" t="s">
        <v>274</v>
      </c>
      <c r="E451" t="s">
        <v>15</v>
      </c>
      <c r="G451" t="s">
        <v>98</v>
      </c>
      <c r="H451" t="s">
        <v>232</v>
      </c>
      <c r="I451">
        <v>225</v>
      </c>
      <c r="J451"/>
      <c r="K451" t="s">
        <v>209</v>
      </c>
      <c r="L451" t="s">
        <v>210</v>
      </c>
    </row>
    <row r="452" spans="1:12" x14ac:dyDescent="0.2">
      <c r="A452" t="s">
        <v>27</v>
      </c>
      <c r="B452" t="s">
        <v>95</v>
      </c>
      <c r="C452" t="s">
        <v>19</v>
      </c>
      <c r="D452" t="s">
        <v>278</v>
      </c>
      <c r="E452" t="s">
        <v>15</v>
      </c>
      <c r="F452" t="s">
        <v>63</v>
      </c>
      <c r="G452" t="s">
        <v>107</v>
      </c>
      <c r="H452"/>
      <c r="I452">
        <v>9080</v>
      </c>
      <c r="J452"/>
      <c r="K452" t="s">
        <v>279</v>
      </c>
      <c r="L452" t="s">
        <v>280</v>
      </c>
    </row>
    <row r="453" spans="1:12" x14ac:dyDescent="0.2">
      <c r="A453" t="s">
        <v>18</v>
      </c>
      <c r="B453" t="s">
        <v>95</v>
      </c>
      <c r="C453" t="s">
        <v>19</v>
      </c>
      <c r="D453" t="s">
        <v>278</v>
      </c>
      <c r="E453" t="s">
        <v>97</v>
      </c>
      <c r="F453" t="s">
        <v>73</v>
      </c>
      <c r="G453" t="s">
        <v>98</v>
      </c>
      <c r="H453" t="s">
        <v>281</v>
      </c>
      <c r="I453">
        <v>375</v>
      </c>
      <c r="J453"/>
      <c r="K453" t="s">
        <v>100</v>
      </c>
      <c r="L453" t="s">
        <v>101</v>
      </c>
    </row>
    <row r="454" spans="1:12" x14ac:dyDescent="0.2">
      <c r="A454" t="s">
        <v>27</v>
      </c>
      <c r="B454" t="s">
        <v>125</v>
      </c>
      <c r="C454" t="s">
        <v>19</v>
      </c>
      <c r="D454" t="s">
        <v>278</v>
      </c>
      <c r="E454" t="s">
        <v>42</v>
      </c>
      <c r="F454" t="s">
        <v>282</v>
      </c>
      <c r="G454" t="s">
        <v>98</v>
      </c>
      <c r="H454" t="s">
        <v>283</v>
      </c>
      <c r="I454">
        <v>500</v>
      </c>
      <c r="J454"/>
      <c r="K454" t="s">
        <v>226</v>
      </c>
      <c r="L454" t="s">
        <v>227</v>
      </c>
    </row>
    <row r="455" spans="1:12" x14ac:dyDescent="0.2">
      <c r="A455" t="s">
        <v>71</v>
      </c>
      <c r="B455" t="s">
        <v>125</v>
      </c>
      <c r="C455" t="s">
        <v>19</v>
      </c>
      <c r="D455" t="s">
        <v>63</v>
      </c>
      <c r="E455" t="s">
        <v>64</v>
      </c>
      <c r="F455" t="s">
        <v>66</v>
      </c>
      <c r="G455" t="s">
        <v>98</v>
      </c>
      <c r="H455" t="s">
        <v>203</v>
      </c>
      <c r="I455">
        <v>500</v>
      </c>
      <c r="J455"/>
      <c r="L455" t="s">
        <v>284</v>
      </c>
    </row>
    <row r="456" spans="1:12" x14ac:dyDescent="0.2">
      <c r="A456" t="s">
        <v>18</v>
      </c>
      <c r="B456" t="s">
        <v>125</v>
      </c>
      <c r="C456" t="s">
        <v>19</v>
      </c>
      <c r="D456" t="s">
        <v>282</v>
      </c>
      <c r="E456" t="s">
        <v>42</v>
      </c>
      <c r="F456" t="s">
        <v>282</v>
      </c>
      <c r="G456" t="s">
        <v>98</v>
      </c>
      <c r="H456" t="s">
        <v>232</v>
      </c>
      <c r="I456">
        <v>300</v>
      </c>
      <c r="J456"/>
      <c r="K456" t="s">
        <v>116</v>
      </c>
      <c r="L456" t="s">
        <v>117</v>
      </c>
    </row>
    <row r="457" spans="1:12" x14ac:dyDescent="0.2">
      <c r="A457" t="s">
        <v>215</v>
      </c>
      <c r="B457" t="s">
        <v>125</v>
      </c>
      <c r="C457" t="s">
        <v>19</v>
      </c>
      <c r="D457" t="s">
        <v>282</v>
      </c>
      <c r="E457" t="s">
        <v>64</v>
      </c>
      <c r="F457" t="s">
        <v>63</v>
      </c>
      <c r="G457" t="s">
        <v>104</v>
      </c>
      <c r="H457"/>
      <c r="I457">
        <v>456</v>
      </c>
      <c r="J457"/>
      <c r="L457" t="s">
        <v>285</v>
      </c>
    </row>
    <row r="458" spans="1:12" x14ac:dyDescent="0.2">
      <c r="A458" t="s">
        <v>12</v>
      </c>
      <c r="B458" t="s">
        <v>110</v>
      </c>
      <c r="C458" t="s">
        <v>19</v>
      </c>
      <c r="D458" t="s">
        <v>282</v>
      </c>
      <c r="E458" t="s">
        <v>64</v>
      </c>
      <c r="F458" t="s">
        <v>282</v>
      </c>
      <c r="G458" t="s">
        <v>107</v>
      </c>
      <c r="H458"/>
      <c r="I458">
        <v>2000</v>
      </c>
      <c r="J458"/>
      <c r="K458" t="s">
        <v>271</v>
      </c>
      <c r="L458" t="s">
        <v>272</v>
      </c>
    </row>
    <row r="459" spans="1:12" x14ac:dyDescent="0.2">
      <c r="A459" t="s">
        <v>12</v>
      </c>
      <c r="B459" t="s">
        <v>95</v>
      </c>
      <c r="C459" t="s">
        <v>19</v>
      </c>
      <c r="D459" t="s">
        <v>65</v>
      </c>
      <c r="E459" t="s">
        <v>15</v>
      </c>
      <c r="F459" t="s">
        <v>265</v>
      </c>
      <c r="G459" t="s">
        <v>98</v>
      </c>
      <c r="H459" t="s">
        <v>286</v>
      </c>
      <c r="I459">
        <v>180</v>
      </c>
      <c r="J459"/>
      <c r="L459" t="s">
        <v>121</v>
      </c>
    </row>
    <row r="460" spans="1:12" x14ac:dyDescent="0.2">
      <c r="A460" t="s">
        <v>18</v>
      </c>
      <c r="B460" t="s">
        <v>125</v>
      </c>
      <c r="C460" t="s">
        <v>19</v>
      </c>
      <c r="D460" t="s">
        <v>65</v>
      </c>
      <c r="E460" t="s">
        <v>42</v>
      </c>
      <c r="F460" t="s">
        <v>66</v>
      </c>
      <c r="G460" t="s">
        <v>98</v>
      </c>
      <c r="H460" t="s">
        <v>232</v>
      </c>
      <c r="I460">
        <v>420</v>
      </c>
      <c r="J460"/>
      <c r="L460" t="s">
        <v>132</v>
      </c>
    </row>
    <row r="461" spans="1:12" x14ac:dyDescent="0.2">
      <c r="A461" t="s">
        <v>27</v>
      </c>
      <c r="B461" t="s">
        <v>110</v>
      </c>
      <c r="C461" t="s">
        <v>19</v>
      </c>
      <c r="D461" t="s">
        <v>65</v>
      </c>
      <c r="E461" t="s">
        <v>15</v>
      </c>
      <c r="F461" t="s">
        <v>63</v>
      </c>
      <c r="G461" t="s">
        <v>111</v>
      </c>
      <c r="H461" t="s">
        <v>287</v>
      </c>
      <c r="I461">
        <v>500</v>
      </c>
      <c r="J461"/>
      <c r="L461" t="s">
        <v>113</v>
      </c>
    </row>
    <row r="462" spans="1:12" x14ac:dyDescent="0.2">
      <c r="A462" t="s">
        <v>18</v>
      </c>
      <c r="B462" t="s">
        <v>125</v>
      </c>
      <c r="C462" t="s">
        <v>19</v>
      </c>
      <c r="D462" t="s">
        <v>65</v>
      </c>
      <c r="E462" t="s">
        <v>64</v>
      </c>
      <c r="F462" t="s">
        <v>63</v>
      </c>
      <c r="G462" t="s">
        <v>98</v>
      </c>
      <c r="H462" t="s">
        <v>288</v>
      </c>
      <c r="I462">
        <v>490</v>
      </c>
      <c r="J462"/>
      <c r="L462" t="s">
        <v>103</v>
      </c>
    </row>
    <row r="463" spans="1:12" x14ac:dyDescent="0.2">
      <c r="A463" t="s">
        <v>27</v>
      </c>
      <c r="B463" t="s">
        <v>95</v>
      </c>
      <c r="C463" t="s">
        <v>19</v>
      </c>
      <c r="D463" t="s">
        <v>65</v>
      </c>
      <c r="E463" t="s">
        <v>64</v>
      </c>
      <c r="F463" t="s">
        <v>65</v>
      </c>
      <c r="G463" t="s">
        <v>162</v>
      </c>
      <c r="H463"/>
      <c r="I463">
        <v>0.28000000000000003</v>
      </c>
      <c r="J463"/>
    </row>
    <row r="464" spans="1:12" x14ac:dyDescent="0.2">
      <c r="A464" t="s">
        <v>18</v>
      </c>
      <c r="B464" t="s">
        <v>95</v>
      </c>
      <c r="C464" t="s">
        <v>19</v>
      </c>
      <c r="D464" t="s">
        <v>66</v>
      </c>
      <c r="E464" t="s">
        <v>42</v>
      </c>
      <c r="F464" t="s">
        <v>63</v>
      </c>
      <c r="G464" t="s">
        <v>98</v>
      </c>
      <c r="H464" t="s">
        <v>238</v>
      </c>
      <c r="I464">
        <v>420</v>
      </c>
      <c r="J464"/>
      <c r="L464" t="s">
        <v>131</v>
      </c>
    </row>
    <row r="465" spans="1:12" x14ac:dyDescent="0.2">
      <c r="A465" t="s">
        <v>27</v>
      </c>
      <c r="B465" t="s">
        <v>95</v>
      </c>
      <c r="C465" t="s">
        <v>19</v>
      </c>
      <c r="D465" t="s">
        <v>66</v>
      </c>
      <c r="E465" t="s">
        <v>64</v>
      </c>
      <c r="F465" t="s">
        <v>66</v>
      </c>
      <c r="G465" t="s">
        <v>162</v>
      </c>
      <c r="H465"/>
      <c r="I465">
        <v>0.03</v>
      </c>
      <c r="J465"/>
    </row>
    <row r="466" spans="1:12" x14ac:dyDescent="0.2">
      <c r="A466" t="s">
        <v>27</v>
      </c>
      <c r="B466" t="s">
        <v>95</v>
      </c>
      <c r="C466" t="s">
        <v>19</v>
      </c>
      <c r="D466" t="s">
        <v>289</v>
      </c>
      <c r="E466" t="s">
        <v>42</v>
      </c>
      <c r="F466" t="s">
        <v>289</v>
      </c>
      <c r="G466" t="s">
        <v>98</v>
      </c>
      <c r="H466" t="s">
        <v>238</v>
      </c>
      <c r="I466">
        <v>270</v>
      </c>
      <c r="J466"/>
      <c r="K466" t="s">
        <v>118</v>
      </c>
      <c r="L466" t="s">
        <v>119</v>
      </c>
    </row>
    <row r="467" spans="1:12" x14ac:dyDescent="0.2">
      <c r="A467" t="s">
        <v>215</v>
      </c>
      <c r="B467" t="s">
        <v>222</v>
      </c>
      <c r="C467" t="s">
        <v>19</v>
      </c>
      <c r="D467" t="s">
        <v>289</v>
      </c>
      <c r="E467" t="s">
        <v>42</v>
      </c>
      <c r="F467" t="s">
        <v>289</v>
      </c>
      <c r="G467" t="s">
        <v>98</v>
      </c>
      <c r="H467" t="s">
        <v>290</v>
      </c>
      <c r="I467">
        <v>200</v>
      </c>
      <c r="J467"/>
      <c r="K467" t="s">
        <v>224</v>
      </c>
      <c r="L467" t="s">
        <v>225</v>
      </c>
    </row>
    <row r="468" spans="1:12" x14ac:dyDescent="0.2">
      <c r="A468" t="s">
        <v>27</v>
      </c>
      <c r="B468" t="s">
        <v>125</v>
      </c>
      <c r="C468" t="s">
        <v>19</v>
      </c>
      <c r="D468" t="s">
        <v>289</v>
      </c>
      <c r="E468" t="s">
        <v>64</v>
      </c>
      <c r="F468" t="s">
        <v>289</v>
      </c>
      <c r="G468" t="s">
        <v>104</v>
      </c>
      <c r="H468" t="s">
        <v>291</v>
      </c>
      <c r="I468">
        <v>2428</v>
      </c>
      <c r="J468"/>
      <c r="K468" t="s">
        <v>267</v>
      </c>
      <c r="L468" t="s">
        <v>268</v>
      </c>
    </row>
    <row r="469" spans="1:12" x14ac:dyDescent="0.2">
      <c r="A469" t="s">
        <v>18</v>
      </c>
      <c r="B469" t="s">
        <v>95</v>
      </c>
      <c r="C469" t="s">
        <v>19</v>
      </c>
      <c r="D469" t="s">
        <v>67</v>
      </c>
      <c r="E469" t="s">
        <v>15</v>
      </c>
      <c r="F469" t="s">
        <v>292</v>
      </c>
      <c r="G469" t="s">
        <v>98</v>
      </c>
      <c r="H469" t="s">
        <v>293</v>
      </c>
      <c r="I469">
        <v>300</v>
      </c>
      <c r="J469"/>
      <c r="L469" t="s">
        <v>134</v>
      </c>
    </row>
    <row r="470" spans="1:12" x14ac:dyDescent="0.2">
      <c r="A470" t="s">
        <v>71</v>
      </c>
      <c r="B470" t="s">
        <v>95</v>
      </c>
      <c r="C470" t="s">
        <v>19</v>
      </c>
      <c r="D470" t="s">
        <v>67</v>
      </c>
      <c r="E470" t="s">
        <v>15</v>
      </c>
      <c r="F470" t="s">
        <v>62</v>
      </c>
      <c r="G470" t="s">
        <v>98</v>
      </c>
      <c r="H470" t="s">
        <v>294</v>
      </c>
      <c r="I470">
        <v>600</v>
      </c>
      <c r="J470"/>
      <c r="L470" t="s">
        <v>136</v>
      </c>
    </row>
    <row r="471" spans="1:12" x14ac:dyDescent="0.2">
      <c r="A471" t="s">
        <v>18</v>
      </c>
      <c r="B471" t="s">
        <v>95</v>
      </c>
      <c r="C471" t="s">
        <v>19</v>
      </c>
      <c r="D471" t="s">
        <v>67</v>
      </c>
      <c r="E471" t="s">
        <v>15</v>
      </c>
      <c r="F471" t="s">
        <v>289</v>
      </c>
      <c r="G471" t="s">
        <v>98</v>
      </c>
      <c r="H471" t="s">
        <v>295</v>
      </c>
      <c r="I471">
        <v>420</v>
      </c>
      <c r="J471"/>
      <c r="K471" t="s">
        <v>138</v>
      </c>
      <c r="L471" t="s">
        <v>139</v>
      </c>
    </row>
    <row r="472" spans="1:12" x14ac:dyDescent="0.2">
      <c r="A472" t="s">
        <v>18</v>
      </c>
      <c r="B472" t="s">
        <v>125</v>
      </c>
      <c r="C472" t="s">
        <v>19</v>
      </c>
      <c r="D472" t="s">
        <v>67</v>
      </c>
      <c r="E472" t="s">
        <v>42</v>
      </c>
      <c r="F472" t="s">
        <v>289</v>
      </c>
      <c r="G472" t="s">
        <v>98</v>
      </c>
      <c r="H472" t="s">
        <v>238</v>
      </c>
      <c r="I472">
        <v>400</v>
      </c>
      <c r="J472"/>
      <c r="K472" t="s">
        <v>123</v>
      </c>
      <c r="L472" t="s">
        <v>124</v>
      </c>
    </row>
    <row r="473" spans="1:12" x14ac:dyDescent="0.2">
      <c r="A473" t="s">
        <v>18</v>
      </c>
      <c r="B473" t="s">
        <v>95</v>
      </c>
      <c r="C473" t="s">
        <v>19</v>
      </c>
      <c r="D473" t="s">
        <v>296</v>
      </c>
      <c r="E473" t="s">
        <v>15</v>
      </c>
      <c r="F473" t="s">
        <v>68</v>
      </c>
      <c r="G473" t="s">
        <v>98</v>
      </c>
      <c r="H473" t="s">
        <v>297</v>
      </c>
      <c r="I473">
        <v>1000</v>
      </c>
      <c r="J473"/>
      <c r="K473" t="s">
        <v>152</v>
      </c>
      <c r="L473" t="s">
        <v>153</v>
      </c>
    </row>
    <row r="474" spans="1:12" x14ac:dyDescent="0.2">
      <c r="A474" t="s">
        <v>18</v>
      </c>
      <c r="B474" t="s">
        <v>95</v>
      </c>
      <c r="C474" t="s">
        <v>19</v>
      </c>
      <c r="D474" t="s">
        <v>296</v>
      </c>
      <c r="E474" t="s">
        <v>15</v>
      </c>
      <c r="F474" t="s">
        <v>68</v>
      </c>
      <c r="G474" t="s">
        <v>98</v>
      </c>
      <c r="H474" t="s">
        <v>281</v>
      </c>
      <c r="I474">
        <v>634</v>
      </c>
      <c r="J474"/>
      <c r="L474" t="s">
        <v>154</v>
      </c>
    </row>
    <row r="475" spans="1:12" x14ac:dyDescent="0.2">
      <c r="A475" t="s">
        <v>71</v>
      </c>
      <c r="B475" t="s">
        <v>200</v>
      </c>
      <c r="C475" t="s">
        <v>19</v>
      </c>
      <c r="D475" t="s">
        <v>296</v>
      </c>
      <c r="E475" t="s">
        <v>42</v>
      </c>
      <c r="F475" t="s">
        <v>66</v>
      </c>
      <c r="G475" t="s">
        <v>98</v>
      </c>
      <c r="H475" t="s">
        <v>276</v>
      </c>
      <c r="I475">
        <v>500</v>
      </c>
      <c r="J475"/>
      <c r="L475" t="s">
        <v>202</v>
      </c>
    </row>
    <row r="476" spans="1:12" x14ac:dyDescent="0.2">
      <c r="A476" t="s">
        <v>27</v>
      </c>
      <c r="B476" t="s">
        <v>125</v>
      </c>
      <c r="C476" t="s">
        <v>19</v>
      </c>
      <c r="D476" t="s">
        <v>68</v>
      </c>
      <c r="E476" t="s">
        <v>64</v>
      </c>
      <c r="F476" t="s">
        <v>292</v>
      </c>
      <c r="G476" t="s">
        <v>98</v>
      </c>
      <c r="H476"/>
      <c r="I476">
        <v>1000</v>
      </c>
      <c r="J476"/>
      <c r="K476" t="s">
        <v>140</v>
      </c>
      <c r="L476" t="s">
        <v>141</v>
      </c>
    </row>
    <row r="477" spans="1:12" x14ac:dyDescent="0.2">
      <c r="A477" t="s">
        <v>27</v>
      </c>
      <c r="B477" t="s">
        <v>125</v>
      </c>
      <c r="C477" t="s">
        <v>19</v>
      </c>
      <c r="D477" t="s">
        <v>292</v>
      </c>
      <c r="E477" t="s">
        <v>64</v>
      </c>
      <c r="F477" t="s">
        <v>292</v>
      </c>
      <c r="G477" t="s">
        <v>104</v>
      </c>
      <c r="H477" t="s">
        <v>298</v>
      </c>
      <c r="I477">
        <v>4000</v>
      </c>
      <c r="J477"/>
      <c r="K477" t="s">
        <v>299</v>
      </c>
      <c r="L477" t="s">
        <v>300</v>
      </c>
    </row>
    <row r="478" spans="1:12" x14ac:dyDescent="0.2">
      <c r="A478" t="s">
        <v>27</v>
      </c>
      <c r="B478" t="s">
        <v>95</v>
      </c>
      <c r="C478" t="s">
        <v>19</v>
      </c>
      <c r="D478" t="s">
        <v>69</v>
      </c>
      <c r="E478" t="s">
        <v>15</v>
      </c>
      <c r="F478" t="s">
        <v>292</v>
      </c>
      <c r="G478" t="s">
        <v>98</v>
      </c>
      <c r="H478" t="s">
        <v>281</v>
      </c>
      <c r="I478">
        <v>500</v>
      </c>
      <c r="J478"/>
      <c r="L478" t="s">
        <v>164</v>
      </c>
    </row>
    <row r="479" spans="1:12" x14ac:dyDescent="0.2">
      <c r="A479" t="s">
        <v>27</v>
      </c>
      <c r="B479" t="s">
        <v>125</v>
      </c>
      <c r="C479" t="s">
        <v>19</v>
      </c>
      <c r="D479" t="s">
        <v>69</v>
      </c>
      <c r="E479" t="s">
        <v>15</v>
      </c>
      <c r="F479" t="s">
        <v>292</v>
      </c>
      <c r="G479" t="s">
        <v>98</v>
      </c>
      <c r="H479" t="s">
        <v>302</v>
      </c>
      <c r="I479">
        <v>320</v>
      </c>
      <c r="J479"/>
      <c r="L479" t="s">
        <v>166</v>
      </c>
    </row>
    <row r="480" spans="1:12" x14ac:dyDescent="0.2">
      <c r="A480" t="s">
        <v>71</v>
      </c>
      <c r="B480" t="s">
        <v>95</v>
      </c>
      <c r="C480" t="s">
        <v>19</v>
      </c>
      <c r="D480" t="s">
        <v>69</v>
      </c>
      <c r="E480" t="s">
        <v>64</v>
      </c>
      <c r="F480" t="s">
        <v>69</v>
      </c>
      <c r="G480" t="s">
        <v>156</v>
      </c>
      <c r="H480" t="s">
        <v>239</v>
      </c>
      <c r="I480">
        <v>500</v>
      </c>
      <c r="J480"/>
    </row>
    <row r="481" spans="1:12" x14ac:dyDescent="0.2">
      <c r="A481" t="s">
        <v>12</v>
      </c>
      <c r="B481" t="s">
        <v>125</v>
      </c>
      <c r="C481" t="s">
        <v>19</v>
      </c>
      <c r="D481" t="s">
        <v>69</v>
      </c>
      <c r="E481" t="s">
        <v>64</v>
      </c>
      <c r="F481" t="s">
        <v>69</v>
      </c>
      <c r="G481" t="s">
        <v>104</v>
      </c>
      <c r="H481" t="s">
        <v>303</v>
      </c>
      <c r="I481">
        <v>3000</v>
      </c>
      <c r="J481"/>
      <c r="K481" t="s">
        <v>304</v>
      </c>
      <c r="L481" t="s">
        <v>305</v>
      </c>
    </row>
    <row r="482" spans="1:12" x14ac:dyDescent="0.2">
      <c r="A482" t="s">
        <v>27</v>
      </c>
      <c r="B482" t="s">
        <v>200</v>
      </c>
      <c r="C482" t="s">
        <v>19</v>
      </c>
      <c r="D482" t="s">
        <v>69</v>
      </c>
      <c r="E482" t="s">
        <v>64</v>
      </c>
      <c r="F482" t="s">
        <v>69</v>
      </c>
      <c r="G482" t="s">
        <v>104</v>
      </c>
      <c r="H482"/>
      <c r="I482">
        <v>6000</v>
      </c>
      <c r="J482"/>
      <c r="K482" t="s">
        <v>306</v>
      </c>
      <c r="L482" t="s">
        <v>307</v>
      </c>
    </row>
    <row r="483" spans="1:12" x14ac:dyDescent="0.2">
      <c r="A483" t="s">
        <v>27</v>
      </c>
      <c r="B483" t="s">
        <v>245</v>
      </c>
      <c r="C483" t="s">
        <v>19</v>
      </c>
      <c r="D483" t="s">
        <v>69</v>
      </c>
      <c r="E483" t="s">
        <v>64</v>
      </c>
      <c r="F483" t="s">
        <v>69</v>
      </c>
      <c r="G483" t="s">
        <v>98</v>
      </c>
      <c r="H483"/>
      <c r="I483">
        <v>500</v>
      </c>
      <c r="J483"/>
      <c r="K483" t="s">
        <v>108</v>
      </c>
      <c r="L483" t="s">
        <v>109</v>
      </c>
    </row>
    <row r="484" spans="1:12" x14ac:dyDescent="0.2">
      <c r="A484" t="s">
        <v>27</v>
      </c>
      <c r="B484" t="s">
        <v>95</v>
      </c>
      <c r="C484" t="s">
        <v>19</v>
      </c>
      <c r="D484" t="s">
        <v>73</v>
      </c>
      <c r="E484" t="s">
        <v>64</v>
      </c>
      <c r="F484" t="s">
        <v>73</v>
      </c>
      <c r="G484" t="s">
        <v>162</v>
      </c>
      <c r="H484" t="s">
        <v>308</v>
      </c>
      <c r="I484">
        <v>0.1</v>
      </c>
      <c r="J484"/>
    </row>
    <row r="485" spans="1:12" x14ac:dyDescent="0.2">
      <c r="A485" t="s">
        <v>27</v>
      </c>
      <c r="B485" t="s">
        <v>200</v>
      </c>
      <c r="C485" t="s">
        <v>19</v>
      </c>
      <c r="D485" t="s">
        <v>74</v>
      </c>
      <c r="E485" t="s">
        <v>64</v>
      </c>
      <c r="F485" t="s">
        <v>309</v>
      </c>
      <c r="G485" t="s">
        <v>107</v>
      </c>
      <c r="H485" t="s">
        <v>310</v>
      </c>
      <c r="I485">
        <v>8044.11</v>
      </c>
      <c r="J485"/>
      <c r="K485" t="s">
        <v>311</v>
      </c>
      <c r="L485" t="s">
        <v>312</v>
      </c>
    </row>
    <row r="486" spans="1:12" x14ac:dyDescent="0.2">
      <c r="A486" t="s">
        <v>27</v>
      </c>
      <c r="B486" t="s">
        <v>95</v>
      </c>
      <c r="C486" t="s">
        <v>19</v>
      </c>
      <c r="D486" t="s">
        <v>76</v>
      </c>
      <c r="E486" t="s">
        <v>42</v>
      </c>
      <c r="F486" t="s">
        <v>309</v>
      </c>
      <c r="G486" t="s">
        <v>98</v>
      </c>
      <c r="H486" t="s">
        <v>276</v>
      </c>
      <c r="I486">
        <v>900</v>
      </c>
      <c r="J486"/>
      <c r="K486" t="s">
        <v>176</v>
      </c>
      <c r="L486" t="s">
        <v>177</v>
      </c>
    </row>
    <row r="487" spans="1:12" x14ac:dyDescent="0.2">
      <c r="A487" t="s">
        <v>215</v>
      </c>
      <c r="B487" t="s">
        <v>222</v>
      </c>
      <c r="C487" t="s">
        <v>19</v>
      </c>
      <c r="D487" t="s">
        <v>76</v>
      </c>
      <c r="E487" t="s">
        <v>64</v>
      </c>
      <c r="F487" t="s">
        <v>76</v>
      </c>
      <c r="G487" t="s">
        <v>111</v>
      </c>
      <c r="H487"/>
      <c r="I487">
        <v>2500</v>
      </c>
      <c r="J487"/>
      <c r="K487" t="s">
        <v>313</v>
      </c>
      <c r="L487" t="s">
        <v>314</v>
      </c>
    </row>
    <row r="488" spans="1:12" x14ac:dyDescent="0.2">
      <c r="A488" t="s">
        <v>27</v>
      </c>
      <c r="B488" t="s">
        <v>125</v>
      </c>
      <c r="C488" t="s">
        <v>19</v>
      </c>
      <c r="D488" t="s">
        <v>76</v>
      </c>
      <c r="E488" t="s">
        <v>64</v>
      </c>
      <c r="F488" t="s">
        <v>76</v>
      </c>
      <c r="G488" t="s">
        <v>107</v>
      </c>
      <c r="H488"/>
      <c r="I488">
        <v>11135.93</v>
      </c>
      <c r="J488"/>
      <c r="K488" t="s">
        <v>315</v>
      </c>
      <c r="L488" t="s">
        <v>316</v>
      </c>
    </row>
    <row r="489" spans="1:12" x14ac:dyDescent="0.2">
      <c r="A489" t="s">
        <v>27</v>
      </c>
      <c r="B489" t="s">
        <v>200</v>
      </c>
      <c r="C489" t="s">
        <v>19</v>
      </c>
      <c r="D489" t="s">
        <v>76</v>
      </c>
      <c r="E489" t="s">
        <v>64</v>
      </c>
      <c r="F489" t="s">
        <v>76</v>
      </c>
      <c r="G489" t="s">
        <v>98</v>
      </c>
      <c r="H489" t="s">
        <v>283</v>
      </c>
      <c r="I489">
        <v>400</v>
      </c>
      <c r="J489"/>
      <c r="L489" t="s">
        <v>270</v>
      </c>
    </row>
    <row r="490" spans="1:12" x14ac:dyDescent="0.2">
      <c r="A490" t="s">
        <v>12</v>
      </c>
      <c r="B490" t="s">
        <v>200</v>
      </c>
      <c r="C490" t="s">
        <v>19</v>
      </c>
      <c r="D490" t="s">
        <v>76</v>
      </c>
      <c r="E490" t="s">
        <v>64</v>
      </c>
      <c r="F490" t="s">
        <v>76</v>
      </c>
      <c r="G490" t="s">
        <v>98</v>
      </c>
      <c r="H490" t="s">
        <v>120</v>
      </c>
      <c r="I490">
        <v>500</v>
      </c>
      <c r="J490"/>
      <c r="L490" t="s">
        <v>189</v>
      </c>
    </row>
    <row r="491" spans="1:12" x14ac:dyDescent="0.2">
      <c r="A491" t="s">
        <v>27</v>
      </c>
      <c r="B491" t="s">
        <v>245</v>
      </c>
      <c r="C491" t="s">
        <v>19</v>
      </c>
      <c r="D491" t="s">
        <v>317</v>
      </c>
      <c r="E491" t="s">
        <v>42</v>
      </c>
      <c r="F491" t="s">
        <v>317</v>
      </c>
      <c r="G491" t="s">
        <v>107</v>
      </c>
      <c r="H491" t="s">
        <v>219</v>
      </c>
      <c r="I491">
        <v>600</v>
      </c>
      <c r="J491"/>
      <c r="K491" t="s">
        <v>187</v>
      </c>
      <c r="L491" t="s">
        <v>188</v>
      </c>
    </row>
    <row r="492" spans="1:12" x14ac:dyDescent="0.2">
      <c r="A492" t="s">
        <v>27</v>
      </c>
      <c r="B492" t="s">
        <v>200</v>
      </c>
      <c r="C492" t="s">
        <v>19</v>
      </c>
      <c r="D492" t="s">
        <v>317</v>
      </c>
      <c r="E492" t="s">
        <v>64</v>
      </c>
      <c r="F492" t="s">
        <v>317</v>
      </c>
      <c r="G492" t="s">
        <v>98</v>
      </c>
      <c r="H492" t="s">
        <v>318</v>
      </c>
      <c r="I492">
        <v>150</v>
      </c>
      <c r="J492"/>
      <c r="L492" t="s">
        <v>202</v>
      </c>
    </row>
    <row r="493" spans="1:12" x14ac:dyDescent="0.2">
      <c r="A493" t="s">
        <v>27</v>
      </c>
      <c r="B493" t="s">
        <v>125</v>
      </c>
      <c r="C493" t="s">
        <v>19</v>
      </c>
      <c r="D493" t="s">
        <v>78</v>
      </c>
      <c r="E493" t="s">
        <v>64</v>
      </c>
      <c r="F493" t="s">
        <v>78</v>
      </c>
      <c r="G493" t="s">
        <v>111</v>
      </c>
      <c r="H493"/>
      <c r="I493">
        <v>1500</v>
      </c>
      <c r="J493"/>
      <c r="K493" t="s">
        <v>319</v>
      </c>
      <c r="L493" t="s">
        <v>320</v>
      </c>
    </row>
    <row r="494" spans="1:12" x14ac:dyDescent="0.2">
      <c r="A494" t="s">
        <v>27</v>
      </c>
      <c r="B494" t="s">
        <v>95</v>
      </c>
      <c r="C494" t="s">
        <v>19</v>
      </c>
      <c r="D494" t="s">
        <v>78</v>
      </c>
      <c r="E494" t="s">
        <v>64</v>
      </c>
      <c r="F494" t="s">
        <v>78</v>
      </c>
      <c r="G494" t="s">
        <v>162</v>
      </c>
      <c r="H494" t="s">
        <v>220</v>
      </c>
      <c r="I494">
        <v>0.21</v>
      </c>
      <c r="J494"/>
    </row>
    <row r="495" spans="1:12" x14ac:dyDescent="0.2">
      <c r="A495" t="s">
        <v>12</v>
      </c>
      <c r="B495" t="s">
        <v>125</v>
      </c>
      <c r="C495" t="s">
        <v>19</v>
      </c>
      <c r="D495" t="s">
        <v>78</v>
      </c>
      <c r="E495" t="s">
        <v>64</v>
      </c>
      <c r="F495" t="s">
        <v>78</v>
      </c>
      <c r="G495" t="s">
        <v>107</v>
      </c>
      <c r="H495"/>
      <c r="I495">
        <v>5000</v>
      </c>
      <c r="J495"/>
      <c r="K495" t="s">
        <v>304</v>
      </c>
      <c r="L495" t="s">
        <v>305</v>
      </c>
    </row>
    <row r="496" spans="1:12" x14ac:dyDescent="0.2">
      <c r="A496" t="s">
        <v>12</v>
      </c>
      <c r="B496" t="s">
        <v>125</v>
      </c>
      <c r="C496" t="s">
        <v>19</v>
      </c>
      <c r="D496" t="s">
        <v>77</v>
      </c>
      <c r="E496" t="s">
        <v>64</v>
      </c>
      <c r="F496" t="s">
        <v>77</v>
      </c>
      <c r="G496" t="s">
        <v>107</v>
      </c>
      <c r="H496"/>
      <c r="I496">
        <v>5485.01</v>
      </c>
      <c r="J496"/>
      <c r="K496" t="s">
        <v>321</v>
      </c>
      <c r="L496" t="s">
        <v>322</v>
      </c>
    </row>
    <row r="497" spans="1:12" x14ac:dyDescent="0.2">
      <c r="A497" t="s">
        <v>34</v>
      </c>
      <c r="B497" t="s">
        <v>95</v>
      </c>
      <c r="C497" t="s">
        <v>19</v>
      </c>
      <c r="D497" t="s">
        <v>77</v>
      </c>
      <c r="E497" t="s">
        <v>64</v>
      </c>
      <c r="F497" t="s">
        <v>77</v>
      </c>
      <c r="G497" t="s">
        <v>162</v>
      </c>
      <c r="H497" t="s">
        <v>323</v>
      </c>
      <c r="I497">
        <v>2715.06</v>
      </c>
      <c r="J497"/>
    </row>
    <row r="498" spans="1:12" x14ac:dyDescent="0.2">
      <c r="A498" t="s">
        <v>27</v>
      </c>
      <c r="B498" t="s">
        <v>95</v>
      </c>
      <c r="C498" t="s">
        <v>19</v>
      </c>
      <c r="D498" t="s">
        <v>77</v>
      </c>
      <c r="E498" t="s">
        <v>84</v>
      </c>
      <c r="F498" t="s">
        <v>77</v>
      </c>
      <c r="G498" t="s">
        <v>162</v>
      </c>
      <c r="H498" t="s">
        <v>308</v>
      </c>
      <c r="I498">
        <v>0.01</v>
      </c>
      <c r="J498"/>
    </row>
    <row r="499" spans="1:12" x14ac:dyDescent="0.2">
      <c r="A499" t="s">
        <v>18</v>
      </c>
      <c r="B499" t="s">
        <v>324</v>
      </c>
      <c r="C499" t="s">
        <v>19</v>
      </c>
      <c r="D499" t="s">
        <v>325</v>
      </c>
      <c r="E499" t="s">
        <v>15</v>
      </c>
      <c r="F499" t="s">
        <v>326</v>
      </c>
      <c r="G499" t="s">
        <v>111</v>
      </c>
      <c r="H499" t="s">
        <v>297</v>
      </c>
      <c r="I499">
        <v>2000</v>
      </c>
      <c r="J499"/>
      <c r="K499" t="s">
        <v>192</v>
      </c>
      <c r="L499" t="s">
        <v>193</v>
      </c>
    </row>
    <row r="500" spans="1:12" x14ac:dyDescent="0.2">
      <c r="A500" t="s">
        <v>18</v>
      </c>
      <c r="B500" t="s">
        <v>95</v>
      </c>
      <c r="C500" t="s">
        <v>19</v>
      </c>
      <c r="D500" t="s">
        <v>327</v>
      </c>
      <c r="E500" t="s">
        <v>15</v>
      </c>
      <c r="F500" t="s">
        <v>68</v>
      </c>
      <c r="G500" t="s">
        <v>98</v>
      </c>
      <c r="H500" t="s">
        <v>328</v>
      </c>
      <c r="I500">
        <v>530</v>
      </c>
      <c r="J500"/>
      <c r="L500" t="s">
        <v>199</v>
      </c>
    </row>
    <row r="501" spans="1:12" x14ac:dyDescent="0.2">
      <c r="A501" t="s">
        <v>215</v>
      </c>
      <c r="B501" t="s">
        <v>200</v>
      </c>
      <c r="C501" t="s">
        <v>19</v>
      </c>
      <c r="D501" t="s">
        <v>326</v>
      </c>
      <c r="E501" t="s">
        <v>64</v>
      </c>
      <c r="G501" t="s">
        <v>98</v>
      </c>
      <c r="H501"/>
      <c r="I501">
        <v>493</v>
      </c>
      <c r="J501"/>
      <c r="L501" t="s">
        <v>170</v>
      </c>
    </row>
    <row r="502" spans="1:12" x14ac:dyDescent="0.2">
      <c r="A502" t="s">
        <v>27</v>
      </c>
      <c r="B502" t="s">
        <v>200</v>
      </c>
      <c r="C502" t="s">
        <v>19</v>
      </c>
      <c r="D502" t="s">
        <v>326</v>
      </c>
      <c r="E502" t="s">
        <v>64</v>
      </c>
      <c r="F502" t="s">
        <v>326</v>
      </c>
      <c r="G502" t="s">
        <v>104</v>
      </c>
      <c r="H502"/>
      <c r="I502">
        <v>4000</v>
      </c>
      <c r="J502"/>
      <c r="K502" t="s">
        <v>329</v>
      </c>
      <c r="L502" t="s">
        <v>330</v>
      </c>
    </row>
    <row r="503" spans="1:12" x14ac:dyDescent="0.2">
      <c r="A503" t="s">
        <v>18</v>
      </c>
      <c r="B503" t="s">
        <v>95</v>
      </c>
      <c r="C503" t="s">
        <v>19</v>
      </c>
      <c r="D503" t="s">
        <v>331</v>
      </c>
      <c r="E503" t="s">
        <v>15</v>
      </c>
      <c r="F503" t="s">
        <v>331</v>
      </c>
      <c r="G503" t="s">
        <v>98</v>
      </c>
      <c r="H503" t="s">
        <v>332</v>
      </c>
      <c r="I503">
        <v>450</v>
      </c>
      <c r="J503"/>
      <c r="K503" t="s">
        <v>204</v>
      </c>
      <c r="L503" t="s">
        <v>205</v>
      </c>
    </row>
    <row r="504" spans="1:12" x14ac:dyDescent="0.2">
      <c r="A504" t="s">
        <v>18</v>
      </c>
      <c r="B504" t="s">
        <v>95</v>
      </c>
      <c r="C504" t="s">
        <v>19</v>
      </c>
      <c r="D504" t="s">
        <v>331</v>
      </c>
      <c r="E504" t="s">
        <v>15</v>
      </c>
      <c r="F504" t="s">
        <v>325</v>
      </c>
      <c r="G504" t="s">
        <v>98</v>
      </c>
      <c r="H504" t="s">
        <v>333</v>
      </c>
      <c r="I504">
        <v>319</v>
      </c>
      <c r="J504"/>
      <c r="L504" t="s">
        <v>207</v>
      </c>
    </row>
    <row r="505" spans="1:12" x14ac:dyDescent="0.2">
      <c r="A505" t="s">
        <v>18</v>
      </c>
      <c r="B505" t="s">
        <v>125</v>
      </c>
      <c r="C505" t="s">
        <v>19</v>
      </c>
      <c r="D505" t="s">
        <v>331</v>
      </c>
      <c r="E505" t="s">
        <v>42</v>
      </c>
      <c r="F505" t="s">
        <v>334</v>
      </c>
      <c r="G505" t="s">
        <v>98</v>
      </c>
      <c r="H505" t="s">
        <v>335</v>
      </c>
      <c r="I505">
        <v>490</v>
      </c>
      <c r="J505"/>
      <c r="L505" t="s">
        <v>103</v>
      </c>
    </row>
    <row r="506" spans="1:12" x14ac:dyDescent="0.2">
      <c r="A506" t="s">
        <v>27</v>
      </c>
      <c r="B506" t="s">
        <v>200</v>
      </c>
      <c r="C506" t="s">
        <v>19</v>
      </c>
      <c r="D506" t="s">
        <v>331</v>
      </c>
      <c r="E506" t="s">
        <v>15</v>
      </c>
      <c r="F506" t="s">
        <v>331</v>
      </c>
      <c r="G506" t="s">
        <v>98</v>
      </c>
      <c r="H506" t="s">
        <v>297</v>
      </c>
      <c r="I506">
        <v>225</v>
      </c>
      <c r="J506"/>
      <c r="K506" t="s">
        <v>209</v>
      </c>
      <c r="L506" t="s">
        <v>210</v>
      </c>
    </row>
    <row r="507" spans="1:12" x14ac:dyDescent="0.2">
      <c r="A507" t="s">
        <v>27</v>
      </c>
      <c r="B507" t="s">
        <v>125</v>
      </c>
      <c r="C507" t="s">
        <v>19</v>
      </c>
      <c r="D507" t="s">
        <v>331</v>
      </c>
      <c r="E507" t="s">
        <v>84</v>
      </c>
      <c r="F507" t="s">
        <v>331</v>
      </c>
      <c r="G507" t="s">
        <v>104</v>
      </c>
      <c r="H507"/>
      <c r="I507">
        <v>1822</v>
      </c>
      <c r="J507"/>
      <c r="K507" t="s">
        <v>336</v>
      </c>
      <c r="L507" t="s">
        <v>337</v>
      </c>
    </row>
    <row r="508" spans="1:12" x14ac:dyDescent="0.2">
      <c r="A508" t="s">
        <v>18</v>
      </c>
      <c r="B508" t="s">
        <v>125</v>
      </c>
      <c r="C508" t="s">
        <v>19</v>
      </c>
      <c r="D508" t="s">
        <v>339</v>
      </c>
      <c r="E508" t="s">
        <v>42</v>
      </c>
      <c r="F508" t="s">
        <v>331</v>
      </c>
      <c r="G508" t="s">
        <v>98</v>
      </c>
      <c r="H508" t="s">
        <v>297</v>
      </c>
      <c r="I508">
        <v>300</v>
      </c>
      <c r="J508"/>
      <c r="K508" t="s">
        <v>116</v>
      </c>
      <c r="L508" t="s">
        <v>117</v>
      </c>
    </row>
    <row r="509" spans="1:12" x14ac:dyDescent="0.2">
      <c r="A509" t="s">
        <v>12</v>
      </c>
      <c r="B509" t="s">
        <v>95</v>
      </c>
      <c r="C509" t="s">
        <v>19</v>
      </c>
      <c r="D509" t="s">
        <v>343</v>
      </c>
      <c r="E509" t="s">
        <v>15</v>
      </c>
      <c r="F509" t="s">
        <v>334</v>
      </c>
      <c r="G509" t="s">
        <v>98</v>
      </c>
      <c r="H509" t="s">
        <v>344</v>
      </c>
      <c r="I509">
        <v>180</v>
      </c>
      <c r="J509"/>
      <c r="L509" t="s">
        <v>121</v>
      </c>
    </row>
    <row r="510" spans="1:12" x14ac:dyDescent="0.2">
      <c r="A510" t="s">
        <v>18</v>
      </c>
      <c r="B510" t="s">
        <v>95</v>
      </c>
      <c r="C510" t="s">
        <v>19</v>
      </c>
      <c r="D510" t="s">
        <v>83</v>
      </c>
      <c r="E510" t="s">
        <v>15</v>
      </c>
      <c r="F510" t="s">
        <v>190</v>
      </c>
      <c r="G510" t="s">
        <v>98</v>
      </c>
      <c r="H510" t="s">
        <v>347</v>
      </c>
      <c r="I510">
        <v>600</v>
      </c>
      <c r="J510"/>
      <c r="L510" t="s">
        <v>136</v>
      </c>
    </row>
    <row r="511" spans="1:12" x14ac:dyDescent="0.2">
      <c r="A511" t="s">
        <v>18</v>
      </c>
      <c r="B511" t="s">
        <v>95</v>
      </c>
      <c r="C511" t="s">
        <v>19</v>
      </c>
      <c r="D511" t="s">
        <v>361</v>
      </c>
      <c r="E511" t="s">
        <v>15</v>
      </c>
      <c r="F511" t="s">
        <v>190</v>
      </c>
      <c r="G511" t="s">
        <v>98</v>
      </c>
      <c r="H511" t="s">
        <v>362</v>
      </c>
      <c r="I511">
        <v>600</v>
      </c>
      <c r="J511"/>
      <c r="L511" t="s">
        <v>136</v>
      </c>
    </row>
    <row r="512" spans="1:12" x14ac:dyDescent="0.2">
      <c r="A512" t="s">
        <v>71</v>
      </c>
      <c r="B512" t="s">
        <v>95</v>
      </c>
      <c r="C512" t="s">
        <v>19</v>
      </c>
      <c r="D512" t="s">
        <v>363</v>
      </c>
      <c r="E512" t="s">
        <v>15</v>
      </c>
      <c r="F512" t="s">
        <v>62</v>
      </c>
      <c r="G512" t="s">
        <v>98</v>
      </c>
      <c r="H512" t="s">
        <v>364</v>
      </c>
      <c r="I512">
        <v>600</v>
      </c>
      <c r="J512"/>
      <c r="L512" t="s">
        <v>136</v>
      </c>
    </row>
    <row r="513" spans="1:12" x14ac:dyDescent="0.2">
      <c r="A513" t="s">
        <v>71</v>
      </c>
      <c r="B513" t="s">
        <v>95</v>
      </c>
      <c r="C513" t="s">
        <v>19</v>
      </c>
      <c r="D513" t="s">
        <v>365</v>
      </c>
      <c r="E513" t="s">
        <v>15</v>
      </c>
      <c r="F513" t="s">
        <v>62</v>
      </c>
      <c r="G513" t="s">
        <v>98</v>
      </c>
      <c r="H513" t="s">
        <v>366</v>
      </c>
      <c r="I513">
        <v>600</v>
      </c>
      <c r="J513"/>
      <c r="L513" t="s">
        <v>136</v>
      </c>
    </row>
    <row r="514" spans="1:12" x14ac:dyDescent="0.2">
      <c r="A514" t="s">
        <v>71</v>
      </c>
      <c r="B514" t="s">
        <v>95</v>
      </c>
      <c r="C514" t="s">
        <v>19</v>
      </c>
      <c r="D514" t="s">
        <v>367</v>
      </c>
      <c r="E514" t="s">
        <v>15</v>
      </c>
      <c r="F514" t="s">
        <v>62</v>
      </c>
      <c r="G514" t="s">
        <v>98</v>
      </c>
      <c r="H514" t="s">
        <v>368</v>
      </c>
      <c r="I514">
        <v>600</v>
      </c>
      <c r="J514"/>
      <c r="L514" t="s">
        <v>136</v>
      </c>
    </row>
    <row r="515" spans="1:12" x14ac:dyDescent="0.2">
      <c r="A515" t="s">
        <v>71</v>
      </c>
      <c r="B515" t="s">
        <v>95</v>
      </c>
      <c r="C515" t="s">
        <v>19</v>
      </c>
      <c r="D515" t="s">
        <v>369</v>
      </c>
      <c r="E515" t="s">
        <v>15</v>
      </c>
      <c r="F515" t="s">
        <v>62</v>
      </c>
      <c r="G515" t="s">
        <v>98</v>
      </c>
      <c r="H515" t="s">
        <v>370</v>
      </c>
      <c r="I515">
        <v>600</v>
      </c>
      <c r="J515"/>
      <c r="L515" t="s">
        <v>136</v>
      </c>
    </row>
    <row r="516" spans="1:12" x14ac:dyDescent="0.2">
      <c r="A516" t="s">
        <v>71</v>
      </c>
      <c r="B516" t="s">
        <v>95</v>
      </c>
      <c r="C516" t="s">
        <v>19</v>
      </c>
      <c r="D516" t="s">
        <v>371</v>
      </c>
      <c r="E516" t="s">
        <v>15</v>
      </c>
      <c r="F516" t="s">
        <v>62</v>
      </c>
      <c r="G516" t="s">
        <v>98</v>
      </c>
      <c r="H516" t="s">
        <v>372</v>
      </c>
      <c r="I516">
        <v>600</v>
      </c>
      <c r="J516"/>
      <c r="L516" t="s">
        <v>136</v>
      </c>
    </row>
    <row r="517" spans="1:12" x14ac:dyDescent="0.2">
      <c r="A517" t="s">
        <v>71</v>
      </c>
      <c r="B517" t="s">
        <v>95</v>
      </c>
      <c r="C517" t="s">
        <v>19</v>
      </c>
      <c r="D517" t="s">
        <v>373</v>
      </c>
      <c r="E517" t="s">
        <v>15</v>
      </c>
      <c r="F517" t="s">
        <v>62</v>
      </c>
      <c r="G517" t="s">
        <v>98</v>
      </c>
      <c r="H517" t="s">
        <v>374</v>
      </c>
      <c r="I517">
        <v>600</v>
      </c>
      <c r="J517"/>
      <c r="L517" t="s">
        <v>136</v>
      </c>
    </row>
    <row r="518" spans="1:12" x14ac:dyDescent="0.2">
      <c r="A518" t="s">
        <v>71</v>
      </c>
      <c r="B518" t="s">
        <v>95</v>
      </c>
      <c r="C518" t="s">
        <v>19</v>
      </c>
      <c r="D518" t="s">
        <v>375</v>
      </c>
      <c r="E518" t="s">
        <v>15</v>
      </c>
      <c r="F518" t="s">
        <v>62</v>
      </c>
      <c r="G518" t="s">
        <v>98</v>
      </c>
      <c r="H518" t="s">
        <v>376</v>
      </c>
      <c r="I518">
        <v>600</v>
      </c>
      <c r="J518"/>
      <c r="L518" t="s">
        <v>136</v>
      </c>
    </row>
    <row r="519" spans="1:12" x14ac:dyDescent="0.2">
      <c r="A519" t="s">
        <v>71</v>
      </c>
      <c r="B519" t="s">
        <v>95</v>
      </c>
      <c r="C519" t="s">
        <v>19</v>
      </c>
      <c r="D519" t="s">
        <v>377</v>
      </c>
      <c r="E519" t="s">
        <v>15</v>
      </c>
      <c r="F519" t="s">
        <v>62</v>
      </c>
      <c r="G519" t="s">
        <v>98</v>
      </c>
      <c r="H519" t="s">
        <v>378</v>
      </c>
      <c r="I519">
        <v>600</v>
      </c>
      <c r="J519"/>
      <c r="L519" t="s">
        <v>136</v>
      </c>
    </row>
    <row r="520" spans="1:12" x14ac:dyDescent="0.2">
      <c r="A520" t="s">
        <v>58</v>
      </c>
      <c r="B520" t="s">
        <v>95</v>
      </c>
      <c r="C520" t="s">
        <v>13</v>
      </c>
      <c r="D520" t="s">
        <v>14</v>
      </c>
      <c r="E520" t="s">
        <v>15</v>
      </c>
      <c r="F520" t="s">
        <v>14</v>
      </c>
      <c r="G520" t="s">
        <v>379</v>
      </c>
      <c r="H520" t="s">
        <v>380</v>
      </c>
      <c r="I520"/>
      <c r="J520">
        <v>5720</v>
      </c>
    </row>
    <row r="521" spans="1:12" x14ac:dyDescent="0.2">
      <c r="A521" t="s">
        <v>18</v>
      </c>
      <c r="B521" t="s">
        <v>95</v>
      </c>
      <c r="C521" t="s">
        <v>13</v>
      </c>
      <c r="D521" t="s">
        <v>114</v>
      </c>
      <c r="E521" t="s">
        <v>15</v>
      </c>
      <c r="F521" t="s">
        <v>114</v>
      </c>
      <c r="G521" t="s">
        <v>379</v>
      </c>
      <c r="H521" t="s">
        <v>381</v>
      </c>
      <c r="I521"/>
      <c r="J521">
        <v>702</v>
      </c>
    </row>
    <row r="522" spans="1:12" x14ac:dyDescent="0.2">
      <c r="A522" t="s">
        <v>18</v>
      </c>
      <c r="B522" t="s">
        <v>95</v>
      </c>
      <c r="C522" t="s">
        <v>13</v>
      </c>
      <c r="D522" t="s">
        <v>114</v>
      </c>
      <c r="E522" t="s">
        <v>15</v>
      </c>
      <c r="F522" t="s">
        <v>114</v>
      </c>
      <c r="G522" t="s">
        <v>379</v>
      </c>
      <c r="H522" t="s">
        <v>382</v>
      </c>
      <c r="I522"/>
      <c r="J522">
        <v>2310</v>
      </c>
    </row>
    <row r="523" spans="1:12" x14ac:dyDescent="0.2">
      <c r="A523" t="s">
        <v>18</v>
      </c>
      <c r="B523" t="s">
        <v>95</v>
      </c>
      <c r="C523" t="s">
        <v>13</v>
      </c>
      <c r="D523" t="s">
        <v>114</v>
      </c>
      <c r="E523" t="s">
        <v>15</v>
      </c>
      <c r="F523" t="s">
        <v>114</v>
      </c>
      <c r="G523" t="s">
        <v>379</v>
      </c>
      <c r="H523" t="s">
        <v>383</v>
      </c>
      <c r="I523"/>
      <c r="J523">
        <v>402.1</v>
      </c>
    </row>
    <row r="524" spans="1:12" x14ac:dyDescent="0.2">
      <c r="A524" t="s">
        <v>18</v>
      </c>
      <c r="B524" t="s">
        <v>95</v>
      </c>
      <c r="C524" t="s">
        <v>13</v>
      </c>
      <c r="D524" t="s">
        <v>114</v>
      </c>
      <c r="E524" t="s">
        <v>15</v>
      </c>
      <c r="F524" t="s">
        <v>114</v>
      </c>
      <c r="G524" t="s">
        <v>379</v>
      </c>
      <c r="H524" t="s">
        <v>384</v>
      </c>
      <c r="I524"/>
      <c r="J524">
        <v>1750</v>
      </c>
    </row>
    <row r="525" spans="1:12" x14ac:dyDescent="0.2">
      <c r="A525" t="s">
        <v>58</v>
      </c>
      <c r="B525" t="s">
        <v>95</v>
      </c>
      <c r="C525" t="s">
        <v>13</v>
      </c>
      <c r="D525" t="s">
        <v>114</v>
      </c>
      <c r="E525" t="s">
        <v>15</v>
      </c>
      <c r="F525" t="s">
        <v>114</v>
      </c>
      <c r="G525" t="s">
        <v>379</v>
      </c>
      <c r="H525" t="s">
        <v>385</v>
      </c>
      <c r="I525"/>
      <c r="J525">
        <v>1600</v>
      </c>
    </row>
    <row r="526" spans="1:12" x14ac:dyDescent="0.2">
      <c r="A526" t="s">
        <v>71</v>
      </c>
      <c r="B526" t="s">
        <v>95</v>
      </c>
      <c r="C526" t="s">
        <v>13</v>
      </c>
      <c r="D526" t="s">
        <v>114</v>
      </c>
      <c r="E526" t="s">
        <v>15</v>
      </c>
      <c r="F526" t="s">
        <v>114</v>
      </c>
      <c r="G526" t="s">
        <v>379</v>
      </c>
      <c r="H526" t="s">
        <v>386</v>
      </c>
      <c r="I526"/>
      <c r="J526">
        <v>2093</v>
      </c>
    </row>
    <row r="527" spans="1:12" x14ac:dyDescent="0.2">
      <c r="A527" t="s">
        <v>71</v>
      </c>
      <c r="B527" t="s">
        <v>95</v>
      </c>
      <c r="C527" t="s">
        <v>13</v>
      </c>
      <c r="D527" t="s">
        <v>114</v>
      </c>
      <c r="E527" t="s">
        <v>15</v>
      </c>
      <c r="F527" t="s">
        <v>114</v>
      </c>
      <c r="G527" t="s">
        <v>379</v>
      </c>
      <c r="H527" t="s">
        <v>387</v>
      </c>
      <c r="I527"/>
      <c r="J527">
        <v>1552.5</v>
      </c>
    </row>
    <row r="528" spans="1:12" x14ac:dyDescent="0.2">
      <c r="A528" t="s">
        <v>71</v>
      </c>
      <c r="B528" t="s">
        <v>95</v>
      </c>
      <c r="C528" t="s">
        <v>13</v>
      </c>
      <c r="D528" t="s">
        <v>114</v>
      </c>
      <c r="E528" t="s">
        <v>15</v>
      </c>
      <c r="F528" t="s">
        <v>114</v>
      </c>
      <c r="G528" t="s">
        <v>379</v>
      </c>
      <c r="H528" t="s">
        <v>388</v>
      </c>
      <c r="I528"/>
      <c r="J528">
        <v>1825</v>
      </c>
    </row>
    <row r="529" spans="1:10" x14ac:dyDescent="0.2">
      <c r="A529" t="s">
        <v>71</v>
      </c>
      <c r="B529" t="s">
        <v>95</v>
      </c>
      <c r="C529" t="s">
        <v>13</v>
      </c>
      <c r="D529" t="s">
        <v>114</v>
      </c>
      <c r="E529" t="s">
        <v>15</v>
      </c>
      <c r="F529" t="s">
        <v>114</v>
      </c>
      <c r="G529" t="s">
        <v>379</v>
      </c>
      <c r="H529" t="s">
        <v>389</v>
      </c>
      <c r="I529"/>
      <c r="J529">
        <v>1260</v>
      </c>
    </row>
    <row r="530" spans="1:10" x14ac:dyDescent="0.2">
      <c r="A530" t="s">
        <v>71</v>
      </c>
      <c r="B530" t="s">
        <v>95</v>
      </c>
      <c r="C530" t="s">
        <v>13</v>
      </c>
      <c r="D530" t="s">
        <v>114</v>
      </c>
      <c r="E530" t="s">
        <v>15</v>
      </c>
      <c r="F530" t="s">
        <v>114</v>
      </c>
      <c r="G530" t="s">
        <v>379</v>
      </c>
      <c r="H530" t="s">
        <v>388</v>
      </c>
      <c r="I530"/>
      <c r="J530">
        <v>1825</v>
      </c>
    </row>
    <row r="531" spans="1:10" x14ac:dyDescent="0.2">
      <c r="A531" t="s">
        <v>71</v>
      </c>
      <c r="B531" t="s">
        <v>95</v>
      </c>
      <c r="C531" t="s">
        <v>13</v>
      </c>
      <c r="D531" t="s">
        <v>114</v>
      </c>
      <c r="E531" t="s">
        <v>15</v>
      </c>
      <c r="F531" t="s">
        <v>114</v>
      </c>
      <c r="G531" t="s">
        <v>379</v>
      </c>
      <c r="H531" t="s">
        <v>389</v>
      </c>
      <c r="I531"/>
      <c r="J531">
        <v>1260</v>
      </c>
    </row>
    <row r="532" spans="1:10" x14ac:dyDescent="0.2">
      <c r="A532" t="s">
        <v>18</v>
      </c>
      <c r="B532" t="s">
        <v>95</v>
      </c>
      <c r="C532" t="s">
        <v>13</v>
      </c>
      <c r="D532" t="s">
        <v>28</v>
      </c>
      <c r="E532" t="s">
        <v>15</v>
      </c>
      <c r="F532" t="s">
        <v>28</v>
      </c>
      <c r="G532" t="s">
        <v>379</v>
      </c>
      <c r="H532" t="s">
        <v>390</v>
      </c>
      <c r="I532"/>
      <c r="J532">
        <v>600</v>
      </c>
    </row>
    <row r="533" spans="1:10" x14ac:dyDescent="0.2">
      <c r="A533" t="s">
        <v>58</v>
      </c>
      <c r="B533" t="s">
        <v>95</v>
      </c>
      <c r="C533" t="s">
        <v>13</v>
      </c>
      <c r="D533" t="s">
        <v>391</v>
      </c>
      <c r="E533" t="s">
        <v>15</v>
      </c>
      <c r="F533" t="s">
        <v>391</v>
      </c>
      <c r="G533" t="s">
        <v>379</v>
      </c>
      <c r="H533" t="s">
        <v>389</v>
      </c>
      <c r="I533"/>
      <c r="J533">
        <v>3200</v>
      </c>
    </row>
    <row r="534" spans="1:10" x14ac:dyDescent="0.2">
      <c r="A534" t="s">
        <v>18</v>
      </c>
      <c r="B534" t="s">
        <v>95</v>
      </c>
      <c r="C534" t="s">
        <v>13</v>
      </c>
      <c r="D534" t="s">
        <v>38</v>
      </c>
      <c r="E534" t="s">
        <v>15</v>
      </c>
      <c r="F534" t="s">
        <v>38</v>
      </c>
      <c r="G534" t="s">
        <v>379</v>
      </c>
      <c r="H534" t="s">
        <v>392</v>
      </c>
      <c r="I534"/>
      <c r="J534">
        <v>39</v>
      </c>
    </row>
    <row r="535" spans="1:10" x14ac:dyDescent="0.2">
      <c r="A535" t="s">
        <v>18</v>
      </c>
      <c r="B535" t="s">
        <v>95</v>
      </c>
      <c r="C535" t="s">
        <v>13</v>
      </c>
      <c r="D535" t="s">
        <v>52</v>
      </c>
      <c r="E535" t="s">
        <v>42</v>
      </c>
      <c r="F535" t="s">
        <v>52</v>
      </c>
      <c r="G535" t="s">
        <v>379</v>
      </c>
      <c r="H535" t="s">
        <v>393</v>
      </c>
      <c r="I535"/>
      <c r="J535">
        <v>492</v>
      </c>
    </row>
    <row r="536" spans="1:10" x14ac:dyDescent="0.2">
      <c r="A536" t="s">
        <v>18</v>
      </c>
      <c r="B536" t="s">
        <v>95</v>
      </c>
      <c r="C536" t="s">
        <v>13</v>
      </c>
      <c r="D536" t="s">
        <v>52</v>
      </c>
      <c r="E536" t="s">
        <v>42</v>
      </c>
      <c r="F536" t="s">
        <v>52</v>
      </c>
      <c r="G536" t="s">
        <v>379</v>
      </c>
      <c r="H536" t="s">
        <v>394</v>
      </c>
      <c r="I536"/>
      <c r="J536">
        <v>1622.2</v>
      </c>
    </row>
    <row r="537" spans="1:10" x14ac:dyDescent="0.2">
      <c r="A537" t="s">
        <v>18</v>
      </c>
      <c r="B537" t="s">
        <v>95</v>
      </c>
      <c r="C537" t="s">
        <v>13</v>
      </c>
      <c r="D537" t="s">
        <v>52</v>
      </c>
      <c r="E537" t="s">
        <v>42</v>
      </c>
      <c r="F537" t="s">
        <v>52</v>
      </c>
      <c r="G537" t="s">
        <v>379</v>
      </c>
      <c r="H537" t="s">
        <v>395</v>
      </c>
      <c r="I537"/>
      <c r="J537">
        <v>1792</v>
      </c>
    </row>
    <row r="538" spans="1:10" x14ac:dyDescent="0.2">
      <c r="A538" t="s">
        <v>18</v>
      </c>
      <c r="B538" t="s">
        <v>95</v>
      </c>
      <c r="C538" t="s">
        <v>13</v>
      </c>
      <c r="D538" t="s">
        <v>52</v>
      </c>
      <c r="E538" t="s">
        <v>42</v>
      </c>
      <c r="F538" t="s">
        <v>52</v>
      </c>
      <c r="G538" t="s">
        <v>379</v>
      </c>
      <c r="H538" t="s">
        <v>396</v>
      </c>
      <c r="I538"/>
      <c r="J538">
        <v>2500</v>
      </c>
    </row>
    <row r="539" spans="1:10" x14ac:dyDescent="0.2">
      <c r="A539" t="s">
        <v>18</v>
      </c>
      <c r="B539" t="s">
        <v>95</v>
      </c>
      <c r="C539" t="s">
        <v>13</v>
      </c>
      <c r="D539" t="s">
        <v>52</v>
      </c>
      <c r="E539" t="s">
        <v>42</v>
      </c>
      <c r="F539" t="s">
        <v>52</v>
      </c>
      <c r="G539" t="s">
        <v>379</v>
      </c>
      <c r="H539" t="s">
        <v>382</v>
      </c>
      <c r="I539"/>
      <c r="J539">
        <v>2310</v>
      </c>
    </row>
    <row r="540" spans="1:10" x14ac:dyDescent="0.2">
      <c r="A540" t="s">
        <v>18</v>
      </c>
      <c r="B540" t="s">
        <v>95</v>
      </c>
      <c r="C540" t="s">
        <v>13</v>
      </c>
      <c r="D540" t="s">
        <v>52</v>
      </c>
      <c r="E540" t="s">
        <v>42</v>
      </c>
      <c r="F540" t="s">
        <v>52</v>
      </c>
      <c r="G540" t="s">
        <v>379</v>
      </c>
      <c r="H540" t="s">
        <v>397</v>
      </c>
      <c r="I540"/>
      <c r="J540">
        <v>2100</v>
      </c>
    </row>
    <row r="541" spans="1:10" x14ac:dyDescent="0.2">
      <c r="A541" t="s">
        <v>18</v>
      </c>
      <c r="B541" t="s">
        <v>95</v>
      </c>
      <c r="C541" t="s">
        <v>13</v>
      </c>
      <c r="D541" t="s">
        <v>52</v>
      </c>
      <c r="E541" t="s">
        <v>42</v>
      </c>
      <c r="F541" t="s">
        <v>52</v>
      </c>
      <c r="G541" t="s">
        <v>379</v>
      </c>
      <c r="H541" t="s">
        <v>398</v>
      </c>
      <c r="I541"/>
      <c r="J541">
        <v>216.5</v>
      </c>
    </row>
    <row r="542" spans="1:10" x14ac:dyDescent="0.2">
      <c r="A542" t="s">
        <v>18</v>
      </c>
      <c r="B542" t="s">
        <v>95</v>
      </c>
      <c r="C542" t="s">
        <v>13</v>
      </c>
      <c r="D542" t="s">
        <v>52</v>
      </c>
      <c r="E542" t="s">
        <v>42</v>
      </c>
      <c r="F542" t="s">
        <v>52</v>
      </c>
      <c r="G542" t="s">
        <v>379</v>
      </c>
      <c r="H542" t="s">
        <v>386</v>
      </c>
      <c r="I542"/>
      <c r="J542">
        <v>1930</v>
      </c>
    </row>
    <row r="543" spans="1:10" x14ac:dyDescent="0.2">
      <c r="A543" t="s">
        <v>27</v>
      </c>
      <c r="B543" t="s">
        <v>95</v>
      </c>
      <c r="C543" t="s">
        <v>13</v>
      </c>
      <c r="D543" t="s">
        <v>52</v>
      </c>
      <c r="E543" t="s">
        <v>42</v>
      </c>
      <c r="F543" t="s">
        <v>52</v>
      </c>
      <c r="G543" t="s">
        <v>379</v>
      </c>
      <c r="H543" t="s">
        <v>399</v>
      </c>
      <c r="I543"/>
      <c r="J543">
        <v>1169.4000000000001</v>
      </c>
    </row>
    <row r="544" spans="1:10" x14ac:dyDescent="0.2">
      <c r="A544" t="s">
        <v>18</v>
      </c>
      <c r="B544" t="s">
        <v>95</v>
      </c>
      <c r="C544" t="s">
        <v>13</v>
      </c>
      <c r="D544" t="s">
        <v>43</v>
      </c>
      <c r="E544" t="s">
        <v>42</v>
      </c>
      <c r="F544" t="s">
        <v>43</v>
      </c>
      <c r="G544" t="s">
        <v>379</v>
      </c>
      <c r="H544" t="s">
        <v>400</v>
      </c>
      <c r="I544"/>
      <c r="J544">
        <v>4172.97</v>
      </c>
    </row>
    <row r="545" spans="1:12" x14ac:dyDescent="0.2">
      <c r="A545" t="s">
        <v>18</v>
      </c>
      <c r="B545" t="s">
        <v>95</v>
      </c>
      <c r="C545" t="s">
        <v>13</v>
      </c>
      <c r="D545" t="s">
        <v>43</v>
      </c>
      <c r="E545" t="s">
        <v>42</v>
      </c>
      <c r="F545" t="s">
        <v>43</v>
      </c>
      <c r="G545" t="s">
        <v>379</v>
      </c>
      <c r="H545" t="s">
        <v>400</v>
      </c>
      <c r="I545"/>
      <c r="J545">
        <v>950</v>
      </c>
    </row>
    <row r="546" spans="1:12" x14ac:dyDescent="0.2">
      <c r="A546" t="s">
        <v>18</v>
      </c>
      <c r="B546" t="s">
        <v>95</v>
      </c>
      <c r="C546" t="s">
        <v>13</v>
      </c>
      <c r="D546" t="s">
        <v>401</v>
      </c>
      <c r="E546" t="s">
        <v>42</v>
      </c>
      <c r="F546" t="s">
        <v>401</v>
      </c>
      <c r="G546" t="s">
        <v>379</v>
      </c>
      <c r="H546" t="s">
        <v>402</v>
      </c>
      <c r="I546"/>
      <c r="J546">
        <v>400</v>
      </c>
    </row>
    <row r="547" spans="1:12" x14ac:dyDescent="0.2">
      <c r="A547" t="s">
        <v>18</v>
      </c>
      <c r="B547" t="s">
        <v>95</v>
      </c>
      <c r="C547" t="s">
        <v>13</v>
      </c>
      <c r="D547" t="s">
        <v>49</v>
      </c>
      <c r="E547" t="s">
        <v>42</v>
      </c>
      <c r="F547" t="s">
        <v>49</v>
      </c>
      <c r="G547" t="s">
        <v>379</v>
      </c>
      <c r="H547" t="s">
        <v>403</v>
      </c>
      <c r="I547"/>
      <c r="J547">
        <v>300</v>
      </c>
    </row>
    <row r="548" spans="1:12" x14ac:dyDescent="0.2">
      <c r="A548" t="s">
        <v>18</v>
      </c>
      <c r="B548" t="s">
        <v>95</v>
      </c>
      <c r="C548" t="s">
        <v>13</v>
      </c>
      <c r="D548" t="s">
        <v>59</v>
      </c>
      <c r="E548" t="s">
        <v>42</v>
      </c>
      <c r="F548" t="s">
        <v>59</v>
      </c>
      <c r="G548" t="s">
        <v>404</v>
      </c>
      <c r="H548" t="s">
        <v>405</v>
      </c>
      <c r="I548"/>
      <c r="J548">
        <v>380</v>
      </c>
      <c r="L548" t="s">
        <v>381</v>
      </c>
    </row>
    <row r="549" spans="1:12" x14ac:dyDescent="0.2">
      <c r="A549" t="s">
        <v>18</v>
      </c>
      <c r="B549" t="s">
        <v>95</v>
      </c>
      <c r="C549" t="s">
        <v>13</v>
      </c>
      <c r="D549" t="s">
        <v>59</v>
      </c>
      <c r="E549" t="s">
        <v>42</v>
      </c>
      <c r="F549" t="s">
        <v>59</v>
      </c>
      <c r="G549" t="s">
        <v>404</v>
      </c>
      <c r="H549" t="s">
        <v>405</v>
      </c>
      <c r="I549"/>
      <c r="J549">
        <v>429</v>
      </c>
      <c r="L549" t="s">
        <v>395</v>
      </c>
    </row>
    <row r="550" spans="1:12" x14ac:dyDescent="0.2">
      <c r="A550" t="s">
        <v>18</v>
      </c>
      <c r="B550" t="s">
        <v>95</v>
      </c>
      <c r="C550" t="s">
        <v>13</v>
      </c>
      <c r="D550" t="s">
        <v>59</v>
      </c>
      <c r="E550" t="s">
        <v>42</v>
      </c>
      <c r="F550" t="s">
        <v>59</v>
      </c>
      <c r="G550" t="s">
        <v>404</v>
      </c>
      <c r="H550" t="s">
        <v>405</v>
      </c>
      <c r="I550"/>
      <c r="J550">
        <v>569</v>
      </c>
      <c r="L550" t="s">
        <v>406</v>
      </c>
    </row>
    <row r="551" spans="1:12" x14ac:dyDescent="0.2">
      <c r="A551" t="s">
        <v>18</v>
      </c>
      <c r="B551" t="s">
        <v>95</v>
      </c>
      <c r="C551" t="s">
        <v>13</v>
      </c>
      <c r="D551" t="s">
        <v>59</v>
      </c>
      <c r="E551" t="s">
        <v>42</v>
      </c>
      <c r="F551" t="s">
        <v>59</v>
      </c>
      <c r="G551" t="s">
        <v>404</v>
      </c>
      <c r="H551" t="s">
        <v>407</v>
      </c>
      <c r="I551"/>
      <c r="J551">
        <v>135</v>
      </c>
      <c r="L551" t="s">
        <v>408</v>
      </c>
    </row>
    <row r="552" spans="1:12" x14ac:dyDescent="0.2">
      <c r="A552" t="s">
        <v>18</v>
      </c>
      <c r="B552" t="s">
        <v>95</v>
      </c>
      <c r="C552" t="s">
        <v>13</v>
      </c>
      <c r="D552" t="s">
        <v>59</v>
      </c>
      <c r="E552" t="s">
        <v>42</v>
      </c>
      <c r="F552" t="s">
        <v>59</v>
      </c>
      <c r="G552" t="s">
        <v>404</v>
      </c>
      <c r="H552" t="s">
        <v>407</v>
      </c>
      <c r="I552"/>
      <c r="J552">
        <v>263</v>
      </c>
      <c r="L552" t="s">
        <v>409</v>
      </c>
    </row>
    <row r="553" spans="1:12" x14ac:dyDescent="0.2">
      <c r="A553" t="s">
        <v>18</v>
      </c>
      <c r="B553" t="s">
        <v>95</v>
      </c>
      <c r="C553" t="s">
        <v>13</v>
      </c>
      <c r="D553" t="s">
        <v>59</v>
      </c>
      <c r="E553" t="s">
        <v>42</v>
      </c>
      <c r="F553" t="s">
        <v>59</v>
      </c>
      <c r="G553" t="s">
        <v>404</v>
      </c>
      <c r="H553" t="s">
        <v>405</v>
      </c>
      <c r="I553"/>
      <c r="J553">
        <v>930</v>
      </c>
      <c r="L553" t="s">
        <v>410</v>
      </c>
    </row>
    <row r="554" spans="1:12" x14ac:dyDescent="0.2">
      <c r="A554" t="s">
        <v>71</v>
      </c>
      <c r="B554" t="s">
        <v>95</v>
      </c>
      <c r="C554" t="s">
        <v>13</v>
      </c>
      <c r="D554" t="s">
        <v>66</v>
      </c>
      <c r="E554" t="s">
        <v>64</v>
      </c>
      <c r="F554" t="s">
        <v>66</v>
      </c>
      <c r="G554" t="s">
        <v>411</v>
      </c>
      <c r="H554" t="s">
        <v>412</v>
      </c>
      <c r="I554"/>
      <c r="J554">
        <v>1518</v>
      </c>
    </row>
    <row r="555" spans="1:12" x14ac:dyDescent="0.2">
      <c r="A555" t="s">
        <v>18</v>
      </c>
      <c r="B555" t="s">
        <v>95</v>
      </c>
      <c r="C555" t="s">
        <v>13</v>
      </c>
      <c r="D555" t="s">
        <v>66</v>
      </c>
      <c r="E555" t="s">
        <v>42</v>
      </c>
      <c r="F555" t="s">
        <v>66</v>
      </c>
      <c r="G555" t="s">
        <v>379</v>
      </c>
      <c r="H555" t="s">
        <v>413</v>
      </c>
      <c r="I555"/>
      <c r="J555">
        <v>1521</v>
      </c>
      <c r="L555" t="s">
        <v>406</v>
      </c>
    </row>
    <row r="556" spans="1:12" x14ac:dyDescent="0.2">
      <c r="A556" t="s">
        <v>18</v>
      </c>
      <c r="B556" t="s">
        <v>95</v>
      </c>
      <c r="C556" t="s">
        <v>13</v>
      </c>
      <c r="D556" t="s">
        <v>66</v>
      </c>
      <c r="E556" t="s">
        <v>64</v>
      </c>
      <c r="F556" t="s">
        <v>66</v>
      </c>
      <c r="G556" t="s">
        <v>379</v>
      </c>
      <c r="H556" t="s">
        <v>413</v>
      </c>
      <c r="I556"/>
      <c r="J556">
        <v>1720</v>
      </c>
      <c r="L556" t="s">
        <v>395</v>
      </c>
    </row>
    <row r="557" spans="1:12" x14ac:dyDescent="0.2">
      <c r="A557" t="s">
        <v>18</v>
      </c>
      <c r="B557" t="s">
        <v>95</v>
      </c>
      <c r="C557" t="s">
        <v>13</v>
      </c>
      <c r="D557" t="s">
        <v>66</v>
      </c>
      <c r="E557" t="s">
        <v>42</v>
      </c>
      <c r="F557" t="s">
        <v>66</v>
      </c>
      <c r="G557" t="s">
        <v>379</v>
      </c>
      <c r="H557" t="s">
        <v>414</v>
      </c>
      <c r="I557"/>
      <c r="J557">
        <v>2310</v>
      </c>
      <c r="L557" t="s">
        <v>382</v>
      </c>
    </row>
    <row r="558" spans="1:12" x14ac:dyDescent="0.2">
      <c r="A558" t="s">
        <v>18</v>
      </c>
      <c r="B558" t="s">
        <v>95</v>
      </c>
      <c r="C558" t="s">
        <v>13</v>
      </c>
      <c r="D558" t="s">
        <v>66</v>
      </c>
      <c r="E558" t="s">
        <v>42</v>
      </c>
      <c r="F558" t="s">
        <v>66</v>
      </c>
      <c r="G558" t="s">
        <v>379</v>
      </c>
      <c r="H558" t="s">
        <v>413</v>
      </c>
      <c r="I558"/>
      <c r="J558">
        <v>863</v>
      </c>
      <c r="L558" t="s">
        <v>409</v>
      </c>
    </row>
    <row r="559" spans="1:12" x14ac:dyDescent="0.2">
      <c r="A559" t="s">
        <v>18</v>
      </c>
      <c r="B559" t="s">
        <v>95</v>
      </c>
      <c r="C559" t="s">
        <v>13</v>
      </c>
      <c r="D559" t="s">
        <v>66</v>
      </c>
      <c r="E559" t="s">
        <v>42</v>
      </c>
      <c r="F559" t="s">
        <v>66</v>
      </c>
      <c r="G559" t="s">
        <v>379</v>
      </c>
      <c r="H559" t="s">
        <v>415</v>
      </c>
      <c r="I559"/>
      <c r="J559">
        <v>1308</v>
      </c>
      <c r="L559" t="s">
        <v>381</v>
      </c>
    </row>
    <row r="560" spans="1:12" x14ac:dyDescent="0.2">
      <c r="A560" t="s">
        <v>12</v>
      </c>
      <c r="B560" t="s">
        <v>95</v>
      </c>
      <c r="C560" t="s">
        <v>13</v>
      </c>
      <c r="D560" t="s">
        <v>416</v>
      </c>
      <c r="E560" t="s">
        <v>84</v>
      </c>
      <c r="F560" t="s">
        <v>416</v>
      </c>
      <c r="G560" t="s">
        <v>404</v>
      </c>
      <c r="H560" t="s">
        <v>417</v>
      </c>
      <c r="I560"/>
      <c r="J560">
        <v>497</v>
      </c>
      <c r="L560" t="s">
        <v>395</v>
      </c>
    </row>
    <row r="561" spans="1:12" x14ac:dyDescent="0.2">
      <c r="A561" t="s">
        <v>12</v>
      </c>
      <c r="B561" t="s">
        <v>95</v>
      </c>
      <c r="C561" t="s">
        <v>13</v>
      </c>
      <c r="D561" t="s">
        <v>416</v>
      </c>
      <c r="E561" t="s">
        <v>84</v>
      </c>
      <c r="F561" t="s">
        <v>416</v>
      </c>
      <c r="G561" t="s">
        <v>404</v>
      </c>
      <c r="H561" t="s">
        <v>417</v>
      </c>
      <c r="I561"/>
      <c r="J561">
        <v>601</v>
      </c>
      <c r="L561" t="s">
        <v>406</v>
      </c>
    </row>
    <row r="562" spans="1:12" x14ac:dyDescent="0.2">
      <c r="A562" t="s">
        <v>12</v>
      </c>
      <c r="B562" t="s">
        <v>95</v>
      </c>
      <c r="C562" t="s">
        <v>13</v>
      </c>
      <c r="D562" t="s">
        <v>416</v>
      </c>
      <c r="E562" t="s">
        <v>84</v>
      </c>
      <c r="F562" t="s">
        <v>416</v>
      </c>
      <c r="G562" t="s">
        <v>404</v>
      </c>
      <c r="H562" t="s">
        <v>417</v>
      </c>
      <c r="I562"/>
      <c r="J562">
        <v>322</v>
      </c>
      <c r="L562" t="s">
        <v>381</v>
      </c>
    </row>
    <row r="563" spans="1:12" x14ac:dyDescent="0.2">
      <c r="A563" t="s">
        <v>12</v>
      </c>
      <c r="B563" t="s">
        <v>95</v>
      </c>
      <c r="C563" t="s">
        <v>13</v>
      </c>
      <c r="D563" t="s">
        <v>416</v>
      </c>
      <c r="E563" t="s">
        <v>84</v>
      </c>
      <c r="F563" t="s">
        <v>416</v>
      </c>
      <c r="G563" t="s">
        <v>404</v>
      </c>
      <c r="H563" t="s">
        <v>417</v>
      </c>
      <c r="I563"/>
      <c r="J563">
        <v>930</v>
      </c>
      <c r="L563" t="s">
        <v>410</v>
      </c>
    </row>
    <row r="564" spans="1:12" x14ac:dyDescent="0.2">
      <c r="A564" t="s">
        <v>12</v>
      </c>
      <c r="B564" t="s">
        <v>95</v>
      </c>
      <c r="C564" t="s">
        <v>13</v>
      </c>
      <c r="D564" t="s">
        <v>416</v>
      </c>
      <c r="E564" t="s">
        <v>84</v>
      </c>
      <c r="F564" t="s">
        <v>416</v>
      </c>
      <c r="G564" t="s">
        <v>418</v>
      </c>
      <c r="H564" t="s">
        <v>419</v>
      </c>
      <c r="I564"/>
      <c r="J564">
        <v>600</v>
      </c>
      <c r="L564" t="s">
        <v>410</v>
      </c>
    </row>
    <row r="565" spans="1:12" x14ac:dyDescent="0.2">
      <c r="A565" t="s">
        <v>18</v>
      </c>
      <c r="B565" t="s">
        <v>95</v>
      </c>
      <c r="C565" t="s">
        <v>13</v>
      </c>
      <c r="D565" t="s">
        <v>421</v>
      </c>
      <c r="E565" t="s">
        <v>84</v>
      </c>
      <c r="F565" t="s">
        <v>421</v>
      </c>
      <c r="G565" t="s">
        <v>379</v>
      </c>
      <c r="H565" t="s">
        <v>422</v>
      </c>
      <c r="I565"/>
      <c r="J565">
        <v>800</v>
      </c>
      <c r="L565" t="s">
        <v>381</v>
      </c>
    </row>
    <row r="566" spans="1:12" x14ac:dyDescent="0.2">
      <c r="A566" t="s">
        <v>12</v>
      </c>
      <c r="B566" t="s">
        <v>95</v>
      </c>
      <c r="C566" t="s">
        <v>13</v>
      </c>
      <c r="D566" t="s">
        <v>35</v>
      </c>
      <c r="E566" t="s">
        <v>15</v>
      </c>
      <c r="F566" t="s">
        <v>35</v>
      </c>
      <c r="G566" t="s">
        <v>423</v>
      </c>
      <c r="H566"/>
      <c r="I566"/>
      <c r="J566">
        <v>319.44</v>
      </c>
    </row>
    <row r="567" spans="1:12" x14ac:dyDescent="0.2">
      <c r="A567" t="s">
        <v>18</v>
      </c>
      <c r="B567" t="s">
        <v>95</v>
      </c>
      <c r="C567" t="s">
        <v>13</v>
      </c>
      <c r="D567" t="s">
        <v>60</v>
      </c>
      <c r="E567" t="s">
        <v>42</v>
      </c>
      <c r="F567" t="s">
        <v>56</v>
      </c>
      <c r="G567" t="s">
        <v>423</v>
      </c>
      <c r="H567"/>
      <c r="I567"/>
      <c r="J567">
        <v>346.01</v>
      </c>
    </row>
    <row r="568" spans="1:12" x14ac:dyDescent="0.2">
      <c r="A568" t="s">
        <v>18</v>
      </c>
      <c r="B568" t="s">
        <v>95</v>
      </c>
      <c r="C568" t="s">
        <v>13</v>
      </c>
      <c r="D568" t="s">
        <v>73</v>
      </c>
      <c r="E568" t="s">
        <v>64</v>
      </c>
      <c r="F568" t="s">
        <v>73</v>
      </c>
      <c r="G568" t="s">
        <v>423</v>
      </c>
      <c r="H568" t="s">
        <v>424</v>
      </c>
      <c r="I568"/>
      <c r="J568">
        <v>154.63999999999999</v>
      </c>
    </row>
    <row r="569" spans="1:12" x14ac:dyDescent="0.2">
      <c r="A569" t="s">
        <v>18</v>
      </c>
      <c r="B569" t="s">
        <v>95</v>
      </c>
      <c r="C569" t="s">
        <v>13</v>
      </c>
      <c r="D569" t="s">
        <v>79</v>
      </c>
      <c r="E569" t="s">
        <v>64</v>
      </c>
      <c r="F569" t="s">
        <v>73</v>
      </c>
      <c r="G569" t="s">
        <v>423</v>
      </c>
      <c r="H569"/>
      <c r="I569"/>
      <c r="J569">
        <v>452.56</v>
      </c>
    </row>
    <row r="570" spans="1:12" x14ac:dyDescent="0.2">
      <c r="A570" t="s">
        <v>27</v>
      </c>
      <c r="B570" t="s">
        <v>95</v>
      </c>
      <c r="C570" t="s">
        <v>13</v>
      </c>
      <c r="D570" t="s">
        <v>114</v>
      </c>
      <c r="E570" t="s">
        <v>15</v>
      </c>
      <c r="F570" t="s">
        <v>114</v>
      </c>
      <c r="G570" t="s">
        <v>425</v>
      </c>
      <c r="H570" t="s">
        <v>426</v>
      </c>
      <c r="I570"/>
      <c r="J570">
        <v>412.64</v>
      </c>
    </row>
    <row r="571" spans="1:12" x14ac:dyDescent="0.2">
      <c r="A571" t="s">
        <v>27</v>
      </c>
      <c r="B571" t="s">
        <v>95</v>
      </c>
      <c r="C571" t="s">
        <v>13</v>
      </c>
      <c r="D571" t="s">
        <v>114</v>
      </c>
      <c r="E571" t="s">
        <v>15</v>
      </c>
      <c r="F571" t="s">
        <v>114</v>
      </c>
      <c r="G571" t="s">
        <v>425</v>
      </c>
      <c r="H571" t="s">
        <v>427</v>
      </c>
      <c r="I571"/>
      <c r="J571">
        <v>412.64</v>
      </c>
    </row>
    <row r="572" spans="1:12" x14ac:dyDescent="0.2">
      <c r="A572" t="s">
        <v>18</v>
      </c>
      <c r="B572" t="s">
        <v>95</v>
      </c>
      <c r="C572" t="s">
        <v>13</v>
      </c>
      <c r="D572" t="s">
        <v>21</v>
      </c>
      <c r="E572" t="s">
        <v>15</v>
      </c>
      <c r="F572" t="s">
        <v>21</v>
      </c>
      <c r="G572" t="s">
        <v>428</v>
      </c>
      <c r="H572" t="s">
        <v>429</v>
      </c>
      <c r="I572"/>
      <c r="J572">
        <v>282.58</v>
      </c>
    </row>
    <row r="573" spans="1:12" x14ac:dyDescent="0.2">
      <c r="A573" t="s">
        <v>12</v>
      </c>
      <c r="B573" t="s">
        <v>95</v>
      </c>
      <c r="C573" t="s">
        <v>13</v>
      </c>
      <c r="D573" t="s">
        <v>35</v>
      </c>
      <c r="E573" t="s">
        <v>15</v>
      </c>
      <c r="F573" t="s">
        <v>35</v>
      </c>
      <c r="G573" t="s">
        <v>430</v>
      </c>
      <c r="H573"/>
      <c r="I573"/>
      <c r="J573">
        <v>3738.6</v>
      </c>
    </row>
    <row r="574" spans="1:12" x14ac:dyDescent="0.2">
      <c r="A574" t="s">
        <v>12</v>
      </c>
      <c r="B574" t="s">
        <v>95</v>
      </c>
      <c r="C574" t="s">
        <v>13</v>
      </c>
      <c r="D574" t="s">
        <v>35</v>
      </c>
      <c r="E574" t="s">
        <v>15</v>
      </c>
      <c r="F574" t="s">
        <v>35</v>
      </c>
      <c r="G574" t="s">
        <v>431</v>
      </c>
      <c r="H574"/>
      <c r="I574"/>
      <c r="J574">
        <v>13448.03</v>
      </c>
    </row>
    <row r="575" spans="1:12" x14ac:dyDescent="0.2">
      <c r="A575" t="s">
        <v>27</v>
      </c>
      <c r="B575" t="s">
        <v>95</v>
      </c>
      <c r="C575" t="s">
        <v>13</v>
      </c>
      <c r="D575" t="s">
        <v>41</v>
      </c>
      <c r="E575" t="s">
        <v>42</v>
      </c>
      <c r="F575" t="s">
        <v>41</v>
      </c>
      <c r="G575" t="s">
        <v>425</v>
      </c>
      <c r="H575" t="s">
        <v>432</v>
      </c>
      <c r="I575"/>
      <c r="J575">
        <v>555.9</v>
      </c>
    </row>
    <row r="576" spans="1:12" x14ac:dyDescent="0.2">
      <c r="A576" t="s">
        <v>27</v>
      </c>
      <c r="B576" t="s">
        <v>95</v>
      </c>
      <c r="C576" t="s">
        <v>13</v>
      </c>
      <c r="D576" t="s">
        <v>41</v>
      </c>
      <c r="E576" t="s">
        <v>42</v>
      </c>
      <c r="F576" t="s">
        <v>41</v>
      </c>
      <c r="G576" t="s">
        <v>425</v>
      </c>
      <c r="H576" t="s">
        <v>433</v>
      </c>
      <c r="I576"/>
      <c r="J576">
        <v>555.9</v>
      </c>
    </row>
    <row r="577" spans="1:10" x14ac:dyDescent="0.2">
      <c r="A577" t="s">
        <v>18</v>
      </c>
      <c r="B577" t="s">
        <v>95</v>
      </c>
      <c r="C577" t="s">
        <v>13</v>
      </c>
      <c r="D577" t="s">
        <v>44</v>
      </c>
      <c r="E577" t="s">
        <v>42</v>
      </c>
      <c r="F577" t="s">
        <v>231</v>
      </c>
      <c r="G577" t="s">
        <v>428</v>
      </c>
      <c r="H577" t="s">
        <v>434</v>
      </c>
      <c r="I577"/>
      <c r="J577">
        <v>282.58</v>
      </c>
    </row>
    <row r="578" spans="1:10" x14ac:dyDescent="0.2">
      <c r="A578" t="s">
        <v>18</v>
      </c>
      <c r="B578" t="s">
        <v>95</v>
      </c>
      <c r="C578" t="s">
        <v>13</v>
      </c>
      <c r="D578" t="s">
        <v>60</v>
      </c>
      <c r="E578" t="s">
        <v>42</v>
      </c>
      <c r="F578" t="s">
        <v>56</v>
      </c>
      <c r="G578" t="s">
        <v>430</v>
      </c>
      <c r="H578"/>
      <c r="I578"/>
      <c r="J578">
        <v>2165.61</v>
      </c>
    </row>
    <row r="579" spans="1:10" x14ac:dyDescent="0.2">
      <c r="A579" t="s">
        <v>27</v>
      </c>
      <c r="B579" t="s">
        <v>95</v>
      </c>
      <c r="C579" t="s">
        <v>13</v>
      </c>
      <c r="D579" t="s">
        <v>253</v>
      </c>
      <c r="E579" t="s">
        <v>42</v>
      </c>
      <c r="F579" t="s">
        <v>253</v>
      </c>
      <c r="G579" t="s">
        <v>431</v>
      </c>
      <c r="H579"/>
      <c r="I579"/>
      <c r="J579">
        <v>8013.48</v>
      </c>
    </row>
    <row r="580" spans="1:10" x14ac:dyDescent="0.2">
      <c r="A580" t="s">
        <v>18</v>
      </c>
      <c r="B580" t="s">
        <v>95</v>
      </c>
      <c r="C580" t="s">
        <v>13</v>
      </c>
      <c r="D580" t="s">
        <v>79</v>
      </c>
      <c r="E580" t="s">
        <v>64</v>
      </c>
      <c r="F580" t="s">
        <v>73</v>
      </c>
      <c r="G580" t="s">
        <v>430</v>
      </c>
      <c r="H580"/>
      <c r="I580"/>
      <c r="J580">
        <v>2070.9699999999998</v>
      </c>
    </row>
    <row r="581" spans="1:10" x14ac:dyDescent="0.2">
      <c r="A581" t="s">
        <v>27</v>
      </c>
      <c r="B581" t="s">
        <v>95</v>
      </c>
      <c r="C581" t="s">
        <v>13</v>
      </c>
      <c r="D581" t="s">
        <v>79</v>
      </c>
      <c r="E581" t="s">
        <v>64</v>
      </c>
      <c r="F581" t="s">
        <v>73</v>
      </c>
      <c r="G581" t="s">
        <v>431</v>
      </c>
      <c r="H581"/>
      <c r="I581"/>
      <c r="J581">
        <v>6243.13</v>
      </c>
    </row>
    <row r="582" spans="1:10" x14ac:dyDescent="0.2">
      <c r="A582" t="s">
        <v>18</v>
      </c>
      <c r="B582" t="s">
        <v>95</v>
      </c>
      <c r="C582" t="s">
        <v>13</v>
      </c>
      <c r="D582" t="s">
        <v>91</v>
      </c>
      <c r="E582" t="s">
        <v>64</v>
      </c>
      <c r="F582" t="s">
        <v>73</v>
      </c>
      <c r="G582" t="s">
        <v>430</v>
      </c>
      <c r="H582" t="s">
        <v>424</v>
      </c>
      <c r="I582"/>
      <c r="J582">
        <v>1025.1300000000001</v>
      </c>
    </row>
    <row r="583" spans="1:10" x14ac:dyDescent="0.2">
      <c r="A583" t="s">
        <v>18</v>
      </c>
      <c r="B583" t="s">
        <v>95</v>
      </c>
      <c r="C583" t="s">
        <v>13</v>
      </c>
      <c r="D583" t="s">
        <v>14</v>
      </c>
      <c r="E583" t="s">
        <v>15</v>
      </c>
      <c r="F583" t="s">
        <v>14</v>
      </c>
      <c r="G583" t="s">
        <v>435</v>
      </c>
      <c r="H583" t="s">
        <v>436</v>
      </c>
      <c r="I583"/>
      <c r="J583">
        <v>500</v>
      </c>
    </row>
    <row r="584" spans="1:10" x14ac:dyDescent="0.2">
      <c r="A584" t="s">
        <v>18</v>
      </c>
      <c r="B584" t="s">
        <v>95</v>
      </c>
      <c r="C584" t="s">
        <v>13</v>
      </c>
      <c r="D584" t="s">
        <v>14</v>
      </c>
      <c r="E584" t="s">
        <v>15</v>
      </c>
      <c r="F584" t="s">
        <v>14</v>
      </c>
      <c r="G584" t="s">
        <v>435</v>
      </c>
      <c r="H584" t="s">
        <v>437</v>
      </c>
      <c r="I584"/>
      <c r="J584">
        <v>250</v>
      </c>
    </row>
    <row r="585" spans="1:10" x14ac:dyDescent="0.2">
      <c r="A585" t="s">
        <v>18</v>
      </c>
      <c r="B585" t="s">
        <v>95</v>
      </c>
      <c r="C585" t="s">
        <v>13</v>
      </c>
      <c r="D585" t="s">
        <v>21</v>
      </c>
      <c r="E585" t="s">
        <v>15</v>
      </c>
      <c r="F585" t="s">
        <v>21</v>
      </c>
      <c r="G585" t="s">
        <v>438</v>
      </c>
      <c r="H585" t="s">
        <v>439</v>
      </c>
      <c r="I585"/>
      <c r="J585">
        <v>130</v>
      </c>
    </row>
    <row r="586" spans="1:10" x14ac:dyDescent="0.2">
      <c r="A586" t="s">
        <v>27</v>
      </c>
      <c r="B586" t="s">
        <v>95</v>
      </c>
      <c r="C586" t="s">
        <v>13</v>
      </c>
      <c r="D586" t="s">
        <v>21</v>
      </c>
      <c r="E586" t="s">
        <v>15</v>
      </c>
      <c r="F586" t="s">
        <v>21</v>
      </c>
      <c r="G586" t="s">
        <v>440</v>
      </c>
      <c r="H586" t="s">
        <v>441</v>
      </c>
      <c r="I586"/>
      <c r="J586">
        <v>127.26</v>
      </c>
    </row>
    <row r="587" spans="1:10" x14ac:dyDescent="0.2">
      <c r="A587" t="s">
        <v>18</v>
      </c>
      <c r="B587" t="s">
        <v>95</v>
      </c>
      <c r="C587" t="s">
        <v>13</v>
      </c>
      <c r="D587" t="s">
        <v>24</v>
      </c>
      <c r="E587" t="s">
        <v>15</v>
      </c>
      <c r="F587" t="s">
        <v>24</v>
      </c>
      <c r="G587" t="s">
        <v>442</v>
      </c>
      <c r="H587"/>
      <c r="I587"/>
      <c r="J587">
        <v>660.79</v>
      </c>
    </row>
    <row r="588" spans="1:10" x14ac:dyDescent="0.2">
      <c r="A588" t="s">
        <v>18</v>
      </c>
      <c r="B588" t="s">
        <v>95</v>
      </c>
      <c r="C588" t="s">
        <v>13</v>
      </c>
      <c r="D588" t="s">
        <v>148</v>
      </c>
      <c r="E588" t="s">
        <v>15</v>
      </c>
      <c r="F588" t="s">
        <v>148</v>
      </c>
      <c r="G588" t="s">
        <v>443</v>
      </c>
      <c r="H588" t="s">
        <v>444</v>
      </c>
      <c r="I588"/>
      <c r="J588">
        <v>7</v>
      </c>
    </row>
    <row r="589" spans="1:10" x14ac:dyDescent="0.2">
      <c r="A589" t="s">
        <v>71</v>
      </c>
      <c r="B589" t="s">
        <v>95</v>
      </c>
      <c r="C589" t="s">
        <v>13</v>
      </c>
      <c r="D589" t="s">
        <v>158</v>
      </c>
      <c r="E589" t="s">
        <v>15</v>
      </c>
      <c r="F589" t="s">
        <v>158</v>
      </c>
      <c r="G589" t="s">
        <v>445</v>
      </c>
      <c r="H589" t="s">
        <v>446</v>
      </c>
      <c r="I589"/>
      <c r="J589">
        <v>1500</v>
      </c>
    </row>
    <row r="590" spans="1:10" x14ac:dyDescent="0.2">
      <c r="A590" t="s">
        <v>27</v>
      </c>
      <c r="B590" t="s">
        <v>95</v>
      </c>
      <c r="C590" t="s">
        <v>13</v>
      </c>
      <c r="D590" t="s">
        <v>158</v>
      </c>
      <c r="E590" t="s">
        <v>15</v>
      </c>
      <c r="F590" t="s">
        <v>158</v>
      </c>
      <c r="G590" t="s">
        <v>445</v>
      </c>
      <c r="H590" t="s">
        <v>447</v>
      </c>
      <c r="I590"/>
      <c r="J590">
        <v>385</v>
      </c>
    </row>
    <row r="591" spans="1:10" x14ac:dyDescent="0.2">
      <c r="A591" t="s">
        <v>18</v>
      </c>
      <c r="B591" t="s">
        <v>95</v>
      </c>
      <c r="C591" t="s">
        <v>13</v>
      </c>
      <c r="D591" t="s">
        <v>158</v>
      </c>
      <c r="E591" t="s">
        <v>15</v>
      </c>
      <c r="F591" t="s">
        <v>158</v>
      </c>
      <c r="G591" t="s">
        <v>442</v>
      </c>
      <c r="H591" t="s">
        <v>448</v>
      </c>
      <c r="I591"/>
      <c r="J591">
        <v>1100</v>
      </c>
    </row>
    <row r="592" spans="1:10" x14ac:dyDescent="0.2">
      <c r="A592" t="s">
        <v>27</v>
      </c>
      <c r="B592" t="s">
        <v>95</v>
      </c>
      <c r="C592" t="s">
        <v>13</v>
      </c>
      <c r="D592" t="s">
        <v>158</v>
      </c>
      <c r="E592" t="s">
        <v>15</v>
      </c>
      <c r="F592" t="s">
        <v>158</v>
      </c>
      <c r="G592" t="s">
        <v>449</v>
      </c>
      <c r="H592" t="s">
        <v>450</v>
      </c>
      <c r="I592"/>
      <c r="J592">
        <v>2384</v>
      </c>
    </row>
    <row r="593" spans="1:10" x14ac:dyDescent="0.2">
      <c r="A593" t="s">
        <v>27</v>
      </c>
      <c r="B593" t="s">
        <v>95</v>
      </c>
      <c r="C593" t="s">
        <v>13</v>
      </c>
      <c r="D593" t="s">
        <v>158</v>
      </c>
      <c r="E593" t="s">
        <v>15</v>
      </c>
      <c r="F593" t="s">
        <v>158</v>
      </c>
      <c r="G593" t="s">
        <v>451</v>
      </c>
      <c r="H593" t="s">
        <v>452</v>
      </c>
      <c r="I593"/>
      <c r="J593">
        <v>94.9</v>
      </c>
    </row>
    <row r="594" spans="1:10" x14ac:dyDescent="0.2">
      <c r="A594" t="s">
        <v>27</v>
      </c>
      <c r="B594" t="s">
        <v>95</v>
      </c>
      <c r="C594" t="s">
        <v>13</v>
      </c>
      <c r="D594" t="s">
        <v>143</v>
      </c>
      <c r="E594" t="s">
        <v>15</v>
      </c>
      <c r="F594" t="s">
        <v>143</v>
      </c>
      <c r="G594" t="s">
        <v>442</v>
      </c>
      <c r="H594" t="s">
        <v>453</v>
      </c>
      <c r="I594"/>
      <c r="J594">
        <v>996.99</v>
      </c>
    </row>
    <row r="595" spans="1:10" x14ac:dyDescent="0.2">
      <c r="A595" t="s">
        <v>18</v>
      </c>
      <c r="B595" t="s">
        <v>95</v>
      </c>
      <c r="C595" t="s">
        <v>13</v>
      </c>
      <c r="D595" t="s">
        <v>143</v>
      </c>
      <c r="E595" t="s">
        <v>15</v>
      </c>
      <c r="F595" t="s">
        <v>143</v>
      </c>
      <c r="G595" t="s">
        <v>443</v>
      </c>
      <c r="H595" t="s">
        <v>454</v>
      </c>
      <c r="I595"/>
      <c r="J595">
        <v>22</v>
      </c>
    </row>
    <row r="596" spans="1:10" x14ac:dyDescent="0.2">
      <c r="A596" t="s">
        <v>18</v>
      </c>
      <c r="B596" t="s">
        <v>95</v>
      </c>
      <c r="C596" t="s">
        <v>13</v>
      </c>
      <c r="D596" t="s">
        <v>29</v>
      </c>
      <c r="E596" t="s">
        <v>15</v>
      </c>
      <c r="F596" t="s">
        <v>29</v>
      </c>
      <c r="G596" t="s">
        <v>438</v>
      </c>
      <c r="H596" t="s">
        <v>455</v>
      </c>
      <c r="I596"/>
      <c r="J596">
        <v>60</v>
      </c>
    </row>
    <row r="597" spans="1:10" x14ac:dyDescent="0.2">
      <c r="A597" t="s">
        <v>12</v>
      </c>
      <c r="B597" t="s">
        <v>95</v>
      </c>
      <c r="C597" t="s">
        <v>13</v>
      </c>
      <c r="D597" t="s">
        <v>29</v>
      </c>
      <c r="E597" t="s">
        <v>15</v>
      </c>
      <c r="F597" t="s">
        <v>29</v>
      </c>
      <c r="G597" t="s">
        <v>443</v>
      </c>
      <c r="H597" t="s">
        <v>444</v>
      </c>
      <c r="I597"/>
      <c r="J597">
        <v>101.7</v>
      </c>
    </row>
    <row r="598" spans="1:10" x14ac:dyDescent="0.2">
      <c r="A598" t="s">
        <v>18</v>
      </c>
      <c r="B598" t="s">
        <v>95</v>
      </c>
      <c r="C598" t="s">
        <v>13</v>
      </c>
      <c r="D598" t="s">
        <v>31</v>
      </c>
      <c r="E598" t="s">
        <v>15</v>
      </c>
      <c r="F598" t="s">
        <v>31</v>
      </c>
      <c r="G598" t="s">
        <v>445</v>
      </c>
      <c r="H598" t="s">
        <v>456</v>
      </c>
      <c r="I598"/>
      <c r="J598">
        <v>397</v>
      </c>
    </row>
    <row r="599" spans="1:10" x14ac:dyDescent="0.2">
      <c r="A599" t="s">
        <v>18</v>
      </c>
      <c r="B599" t="s">
        <v>95</v>
      </c>
      <c r="C599" t="s">
        <v>13</v>
      </c>
      <c r="D599" t="s">
        <v>457</v>
      </c>
      <c r="E599" t="s">
        <v>15</v>
      </c>
      <c r="F599" t="s">
        <v>457</v>
      </c>
      <c r="G599" t="s">
        <v>458</v>
      </c>
      <c r="H599" t="s">
        <v>459</v>
      </c>
      <c r="I599"/>
      <c r="J599">
        <v>83.8</v>
      </c>
    </row>
    <row r="600" spans="1:10" x14ac:dyDescent="0.2">
      <c r="A600" t="s">
        <v>12</v>
      </c>
      <c r="B600" t="s">
        <v>95</v>
      </c>
      <c r="C600" t="s">
        <v>13</v>
      </c>
      <c r="D600" t="s">
        <v>457</v>
      </c>
      <c r="E600" t="s">
        <v>15</v>
      </c>
      <c r="F600" t="s">
        <v>457</v>
      </c>
      <c r="G600" t="s">
        <v>443</v>
      </c>
      <c r="H600" t="s">
        <v>444</v>
      </c>
      <c r="I600"/>
      <c r="J600">
        <v>91.51</v>
      </c>
    </row>
    <row r="601" spans="1:10" x14ac:dyDescent="0.2">
      <c r="A601" t="s">
        <v>18</v>
      </c>
      <c r="B601" t="s">
        <v>95</v>
      </c>
      <c r="C601" t="s">
        <v>13</v>
      </c>
      <c r="D601" t="s">
        <v>191</v>
      </c>
      <c r="E601" t="s">
        <v>15</v>
      </c>
      <c r="F601" t="s">
        <v>191</v>
      </c>
      <c r="G601" t="s">
        <v>458</v>
      </c>
      <c r="H601" t="s">
        <v>460</v>
      </c>
      <c r="I601"/>
      <c r="J601">
        <v>100</v>
      </c>
    </row>
    <row r="602" spans="1:10" x14ac:dyDescent="0.2">
      <c r="A602" t="s">
        <v>18</v>
      </c>
      <c r="B602" t="s">
        <v>95</v>
      </c>
      <c r="C602" t="s">
        <v>13</v>
      </c>
      <c r="D602" t="s">
        <v>191</v>
      </c>
      <c r="E602" t="s">
        <v>15</v>
      </c>
      <c r="F602" t="s">
        <v>190</v>
      </c>
      <c r="G602" t="s">
        <v>445</v>
      </c>
      <c r="H602" t="s">
        <v>461</v>
      </c>
      <c r="I602"/>
      <c r="J602">
        <v>744.84</v>
      </c>
    </row>
    <row r="603" spans="1:10" x14ac:dyDescent="0.2">
      <c r="A603" t="s">
        <v>18</v>
      </c>
      <c r="B603" t="s">
        <v>95</v>
      </c>
      <c r="C603" t="s">
        <v>13</v>
      </c>
      <c r="D603" t="s">
        <v>391</v>
      </c>
      <c r="E603" t="s">
        <v>15</v>
      </c>
      <c r="F603" t="s">
        <v>391</v>
      </c>
      <c r="G603" t="s">
        <v>443</v>
      </c>
      <c r="H603" t="s">
        <v>462</v>
      </c>
      <c r="I603"/>
      <c r="J603">
        <v>110</v>
      </c>
    </row>
    <row r="604" spans="1:10" x14ac:dyDescent="0.2">
      <c r="A604" t="s">
        <v>18</v>
      </c>
      <c r="B604" t="s">
        <v>95</v>
      </c>
      <c r="C604" t="s">
        <v>13</v>
      </c>
      <c r="D604" t="s">
        <v>194</v>
      </c>
      <c r="E604" t="s">
        <v>15</v>
      </c>
      <c r="F604" t="s">
        <v>194</v>
      </c>
      <c r="G604" t="s">
        <v>438</v>
      </c>
      <c r="H604" t="s">
        <v>463</v>
      </c>
      <c r="I604"/>
      <c r="J604">
        <v>250</v>
      </c>
    </row>
    <row r="605" spans="1:10" x14ac:dyDescent="0.2">
      <c r="A605" t="s">
        <v>18</v>
      </c>
      <c r="B605" t="s">
        <v>95</v>
      </c>
      <c r="C605" t="s">
        <v>13</v>
      </c>
      <c r="D605" t="s">
        <v>194</v>
      </c>
      <c r="E605" t="s">
        <v>15</v>
      </c>
      <c r="F605" t="s">
        <v>194</v>
      </c>
      <c r="G605" t="s">
        <v>451</v>
      </c>
      <c r="H605" t="s">
        <v>464</v>
      </c>
      <c r="I605"/>
      <c r="J605">
        <v>156.88</v>
      </c>
    </row>
    <row r="606" spans="1:10" x14ac:dyDescent="0.2">
      <c r="A606" t="s">
        <v>18</v>
      </c>
      <c r="B606" t="s">
        <v>95</v>
      </c>
      <c r="C606" t="s">
        <v>13</v>
      </c>
      <c r="D606" t="s">
        <v>194</v>
      </c>
      <c r="E606" t="s">
        <v>15</v>
      </c>
      <c r="F606" t="s">
        <v>194</v>
      </c>
      <c r="G606" t="s">
        <v>445</v>
      </c>
      <c r="H606" t="s">
        <v>465</v>
      </c>
      <c r="I606"/>
      <c r="J606">
        <v>482.06</v>
      </c>
    </row>
    <row r="607" spans="1:10" x14ac:dyDescent="0.2">
      <c r="A607" t="s">
        <v>12</v>
      </c>
      <c r="B607" t="s">
        <v>95</v>
      </c>
      <c r="C607" t="s">
        <v>13</v>
      </c>
      <c r="D607" t="s">
        <v>197</v>
      </c>
      <c r="E607" t="s">
        <v>15</v>
      </c>
      <c r="F607" t="s">
        <v>197</v>
      </c>
      <c r="G607" t="s">
        <v>443</v>
      </c>
      <c r="H607" t="s">
        <v>444</v>
      </c>
      <c r="I607"/>
      <c r="J607">
        <v>22.28</v>
      </c>
    </row>
    <row r="608" spans="1:10" x14ac:dyDescent="0.2">
      <c r="A608" t="s">
        <v>18</v>
      </c>
      <c r="B608" t="s">
        <v>95</v>
      </c>
      <c r="C608" t="s">
        <v>13</v>
      </c>
      <c r="D608" t="s">
        <v>38</v>
      </c>
      <c r="E608" t="s">
        <v>15</v>
      </c>
      <c r="F608" t="s">
        <v>38</v>
      </c>
      <c r="G608" t="s">
        <v>458</v>
      </c>
      <c r="H608" t="s">
        <v>466</v>
      </c>
      <c r="I608"/>
      <c r="J608">
        <v>100</v>
      </c>
    </row>
    <row r="609" spans="1:10" x14ac:dyDescent="0.2">
      <c r="A609" t="s">
        <v>18</v>
      </c>
      <c r="B609" t="s">
        <v>95</v>
      </c>
      <c r="C609" t="s">
        <v>13</v>
      </c>
      <c r="D609" t="s">
        <v>38</v>
      </c>
      <c r="E609" t="s">
        <v>15</v>
      </c>
      <c r="F609" t="s">
        <v>38</v>
      </c>
      <c r="G609" t="s">
        <v>458</v>
      </c>
      <c r="H609" t="s">
        <v>467</v>
      </c>
      <c r="I609"/>
      <c r="J609">
        <v>150</v>
      </c>
    </row>
    <row r="610" spans="1:10" x14ac:dyDescent="0.2">
      <c r="A610" t="s">
        <v>18</v>
      </c>
      <c r="B610" t="s">
        <v>95</v>
      </c>
      <c r="C610" t="s">
        <v>13</v>
      </c>
      <c r="D610" t="s">
        <v>38</v>
      </c>
      <c r="E610" t="s">
        <v>15</v>
      </c>
      <c r="F610" t="s">
        <v>38</v>
      </c>
      <c r="G610" t="s">
        <v>458</v>
      </c>
      <c r="H610" t="s">
        <v>468</v>
      </c>
      <c r="I610"/>
      <c r="J610">
        <v>100</v>
      </c>
    </row>
    <row r="611" spans="1:10" x14ac:dyDescent="0.2">
      <c r="A611" t="s">
        <v>27</v>
      </c>
      <c r="B611" t="s">
        <v>95</v>
      </c>
      <c r="C611" t="s">
        <v>13</v>
      </c>
      <c r="D611" t="s">
        <v>38</v>
      </c>
      <c r="E611" t="s">
        <v>42</v>
      </c>
      <c r="F611" t="s">
        <v>38</v>
      </c>
      <c r="G611" t="s">
        <v>442</v>
      </c>
      <c r="H611" t="s">
        <v>453</v>
      </c>
      <c r="I611"/>
      <c r="J611">
        <v>1007.31</v>
      </c>
    </row>
    <row r="612" spans="1:10" x14ac:dyDescent="0.2">
      <c r="A612" t="s">
        <v>18</v>
      </c>
      <c r="B612" t="s">
        <v>95</v>
      </c>
      <c r="C612" t="s">
        <v>13</v>
      </c>
      <c r="D612" t="s">
        <v>201</v>
      </c>
      <c r="E612" t="s">
        <v>15</v>
      </c>
      <c r="F612" t="s">
        <v>201</v>
      </c>
      <c r="G612" t="s">
        <v>469</v>
      </c>
      <c r="H612" t="s">
        <v>470</v>
      </c>
      <c r="I612"/>
      <c r="J612">
        <v>10.5</v>
      </c>
    </row>
    <row r="613" spans="1:10" x14ac:dyDescent="0.2">
      <c r="A613" t="s">
        <v>18</v>
      </c>
      <c r="B613" t="s">
        <v>95</v>
      </c>
      <c r="C613" t="s">
        <v>13</v>
      </c>
      <c r="D613" t="s">
        <v>201</v>
      </c>
      <c r="E613" t="s">
        <v>15</v>
      </c>
      <c r="F613" t="s">
        <v>201</v>
      </c>
      <c r="G613" t="s">
        <v>458</v>
      </c>
      <c r="H613" t="s">
        <v>471</v>
      </c>
      <c r="I613"/>
      <c r="J613">
        <v>430</v>
      </c>
    </row>
    <row r="614" spans="1:10" x14ac:dyDescent="0.2">
      <c r="A614" t="s">
        <v>18</v>
      </c>
      <c r="B614" t="s">
        <v>95</v>
      </c>
      <c r="C614" t="s">
        <v>13</v>
      </c>
      <c r="D614" t="s">
        <v>127</v>
      </c>
      <c r="E614" t="s">
        <v>42</v>
      </c>
      <c r="F614" t="s">
        <v>127</v>
      </c>
      <c r="G614" t="s">
        <v>458</v>
      </c>
      <c r="H614" t="s">
        <v>472</v>
      </c>
      <c r="I614"/>
      <c r="J614">
        <v>60</v>
      </c>
    </row>
    <row r="615" spans="1:10" x14ac:dyDescent="0.2">
      <c r="A615" t="s">
        <v>18</v>
      </c>
      <c r="B615" t="s">
        <v>95</v>
      </c>
      <c r="C615" t="s">
        <v>13</v>
      </c>
      <c r="D615" t="s">
        <v>127</v>
      </c>
      <c r="E615" t="s">
        <v>42</v>
      </c>
      <c r="F615" t="s">
        <v>127</v>
      </c>
      <c r="G615" t="s">
        <v>438</v>
      </c>
      <c r="H615" t="s">
        <v>473</v>
      </c>
      <c r="I615"/>
      <c r="J615">
        <v>110</v>
      </c>
    </row>
    <row r="616" spans="1:10" x14ac:dyDescent="0.2">
      <c r="A616" t="s">
        <v>18</v>
      </c>
      <c r="B616" t="s">
        <v>95</v>
      </c>
      <c r="C616" t="s">
        <v>13</v>
      </c>
      <c r="D616" t="s">
        <v>474</v>
      </c>
      <c r="E616" t="s">
        <v>42</v>
      </c>
      <c r="F616" t="s">
        <v>474</v>
      </c>
      <c r="G616" t="s">
        <v>458</v>
      </c>
      <c r="H616" t="s">
        <v>475</v>
      </c>
      <c r="I616"/>
      <c r="J616">
        <v>150</v>
      </c>
    </row>
    <row r="617" spans="1:10" x14ac:dyDescent="0.2">
      <c r="A617" t="s">
        <v>18</v>
      </c>
      <c r="B617" t="s">
        <v>95</v>
      </c>
      <c r="C617" t="s">
        <v>13</v>
      </c>
      <c r="D617" t="s">
        <v>52</v>
      </c>
      <c r="E617" t="s">
        <v>42</v>
      </c>
      <c r="F617" t="s">
        <v>52</v>
      </c>
      <c r="G617" t="s">
        <v>435</v>
      </c>
      <c r="H617" t="s">
        <v>476</v>
      </c>
      <c r="I617"/>
      <c r="J617">
        <v>162.80000000000001</v>
      </c>
    </row>
    <row r="618" spans="1:10" x14ac:dyDescent="0.2">
      <c r="A618" t="s">
        <v>18</v>
      </c>
      <c r="B618" t="s">
        <v>95</v>
      </c>
      <c r="C618" t="s">
        <v>13</v>
      </c>
      <c r="D618" t="s">
        <v>41</v>
      </c>
      <c r="E618" t="s">
        <v>42</v>
      </c>
      <c r="F618" t="s">
        <v>41</v>
      </c>
      <c r="G618" t="s">
        <v>458</v>
      </c>
      <c r="H618" t="s">
        <v>472</v>
      </c>
      <c r="I618"/>
      <c r="J618">
        <v>650</v>
      </c>
    </row>
    <row r="619" spans="1:10" x14ac:dyDescent="0.2">
      <c r="A619" t="s">
        <v>18</v>
      </c>
      <c r="B619" t="s">
        <v>95</v>
      </c>
      <c r="C619" t="s">
        <v>13</v>
      </c>
      <c r="D619" t="s">
        <v>43</v>
      </c>
      <c r="E619" t="s">
        <v>42</v>
      </c>
      <c r="F619" t="s">
        <v>231</v>
      </c>
      <c r="G619" t="s">
        <v>477</v>
      </c>
      <c r="H619" t="s">
        <v>478</v>
      </c>
      <c r="I619"/>
      <c r="J619">
        <v>800</v>
      </c>
    </row>
    <row r="620" spans="1:10" x14ac:dyDescent="0.2">
      <c r="A620" t="s">
        <v>71</v>
      </c>
      <c r="B620" t="s">
        <v>95</v>
      </c>
      <c r="C620" t="s">
        <v>13</v>
      </c>
      <c r="D620" t="s">
        <v>44</v>
      </c>
      <c r="E620" t="s">
        <v>42</v>
      </c>
      <c r="F620" t="s">
        <v>231</v>
      </c>
      <c r="G620" t="s">
        <v>440</v>
      </c>
      <c r="H620" t="s">
        <v>441</v>
      </c>
      <c r="I620"/>
      <c r="J620">
        <v>127.26</v>
      </c>
    </row>
    <row r="621" spans="1:10" x14ac:dyDescent="0.2">
      <c r="A621" t="s">
        <v>18</v>
      </c>
      <c r="B621" t="s">
        <v>95</v>
      </c>
      <c r="C621" t="s">
        <v>13</v>
      </c>
      <c r="D621" t="s">
        <v>231</v>
      </c>
      <c r="E621" t="s">
        <v>42</v>
      </c>
      <c r="F621" t="s">
        <v>231</v>
      </c>
      <c r="G621" t="s">
        <v>443</v>
      </c>
      <c r="H621" t="s">
        <v>444</v>
      </c>
      <c r="I621"/>
      <c r="J621">
        <v>31</v>
      </c>
    </row>
    <row r="622" spans="1:10" x14ac:dyDescent="0.2">
      <c r="A622" t="s">
        <v>71</v>
      </c>
      <c r="B622" t="s">
        <v>95</v>
      </c>
      <c r="C622" t="s">
        <v>13</v>
      </c>
      <c r="D622" t="s">
        <v>47</v>
      </c>
      <c r="E622" t="s">
        <v>42</v>
      </c>
      <c r="F622" t="s">
        <v>47</v>
      </c>
      <c r="G622" t="s">
        <v>445</v>
      </c>
      <c r="H622" t="s">
        <v>479</v>
      </c>
      <c r="I622"/>
      <c r="J622">
        <v>1500</v>
      </c>
    </row>
    <row r="623" spans="1:10" x14ac:dyDescent="0.2">
      <c r="A623" t="s">
        <v>18</v>
      </c>
      <c r="B623" t="s">
        <v>95</v>
      </c>
      <c r="C623" t="s">
        <v>13</v>
      </c>
      <c r="D623" t="s">
        <v>47</v>
      </c>
      <c r="E623" t="s">
        <v>42</v>
      </c>
      <c r="F623" t="s">
        <v>46</v>
      </c>
      <c r="G623" t="s">
        <v>445</v>
      </c>
      <c r="H623" t="s">
        <v>447</v>
      </c>
      <c r="I623"/>
      <c r="J623">
        <v>392.82</v>
      </c>
    </row>
    <row r="624" spans="1:10" x14ac:dyDescent="0.2">
      <c r="A624" t="s">
        <v>18</v>
      </c>
      <c r="B624" t="s">
        <v>95</v>
      </c>
      <c r="C624" t="s">
        <v>13</v>
      </c>
      <c r="D624" t="s">
        <v>47</v>
      </c>
      <c r="E624" t="s">
        <v>42</v>
      </c>
      <c r="F624" t="s">
        <v>46</v>
      </c>
      <c r="G624" t="s">
        <v>451</v>
      </c>
      <c r="H624" t="s">
        <v>452</v>
      </c>
      <c r="I624"/>
      <c r="J624">
        <v>149.78</v>
      </c>
    </row>
    <row r="625" spans="1:10" x14ac:dyDescent="0.2">
      <c r="A625" t="s">
        <v>58</v>
      </c>
      <c r="B625" t="s">
        <v>95</v>
      </c>
      <c r="C625" t="s">
        <v>13</v>
      </c>
      <c r="D625" t="s">
        <v>47</v>
      </c>
      <c r="E625" t="s">
        <v>42</v>
      </c>
      <c r="F625" t="s">
        <v>47</v>
      </c>
      <c r="G625" t="s">
        <v>445</v>
      </c>
      <c r="H625" t="s">
        <v>480</v>
      </c>
      <c r="I625"/>
      <c r="J625">
        <v>1500</v>
      </c>
    </row>
    <row r="626" spans="1:10" x14ac:dyDescent="0.2">
      <c r="A626" t="s">
        <v>18</v>
      </c>
      <c r="B626" t="s">
        <v>95</v>
      </c>
      <c r="C626" t="s">
        <v>13</v>
      </c>
      <c r="D626" t="s">
        <v>47</v>
      </c>
      <c r="E626" t="s">
        <v>42</v>
      </c>
      <c r="F626" t="s">
        <v>47</v>
      </c>
      <c r="G626" t="s">
        <v>469</v>
      </c>
      <c r="H626" t="s">
        <v>481</v>
      </c>
      <c r="I626"/>
      <c r="J626">
        <v>12</v>
      </c>
    </row>
    <row r="627" spans="1:10" x14ac:dyDescent="0.2">
      <c r="A627" t="s">
        <v>18</v>
      </c>
      <c r="B627" t="s">
        <v>95</v>
      </c>
      <c r="C627" t="s">
        <v>13</v>
      </c>
      <c r="D627" t="s">
        <v>46</v>
      </c>
      <c r="E627" t="s">
        <v>42</v>
      </c>
      <c r="F627" t="s">
        <v>46</v>
      </c>
      <c r="G627" t="s">
        <v>469</v>
      </c>
      <c r="H627" t="s">
        <v>482</v>
      </c>
      <c r="I627"/>
      <c r="J627">
        <v>30</v>
      </c>
    </row>
    <row r="628" spans="1:10" x14ac:dyDescent="0.2">
      <c r="A628" t="s">
        <v>18</v>
      </c>
      <c r="B628" t="s">
        <v>95</v>
      </c>
      <c r="C628" t="s">
        <v>13</v>
      </c>
      <c r="D628" t="s">
        <v>46</v>
      </c>
      <c r="E628" t="s">
        <v>42</v>
      </c>
      <c r="F628" t="s">
        <v>46</v>
      </c>
      <c r="G628" t="s">
        <v>442</v>
      </c>
      <c r="H628"/>
      <c r="I628"/>
      <c r="J628">
        <v>674.22</v>
      </c>
    </row>
    <row r="629" spans="1:10" x14ac:dyDescent="0.2">
      <c r="A629" t="s">
        <v>27</v>
      </c>
      <c r="B629" t="s">
        <v>95</v>
      </c>
      <c r="C629" t="s">
        <v>13</v>
      </c>
      <c r="D629" t="s">
        <v>51</v>
      </c>
      <c r="E629" t="s">
        <v>42</v>
      </c>
      <c r="F629" t="s">
        <v>51</v>
      </c>
      <c r="G629" t="s">
        <v>442</v>
      </c>
      <c r="H629" t="s">
        <v>453</v>
      </c>
      <c r="I629"/>
      <c r="J629">
        <v>1009.7</v>
      </c>
    </row>
    <row r="630" spans="1:10" x14ac:dyDescent="0.2">
      <c r="A630" t="s">
        <v>18</v>
      </c>
      <c r="B630" t="s">
        <v>95</v>
      </c>
      <c r="C630" t="s">
        <v>13</v>
      </c>
      <c r="D630" t="s">
        <v>51</v>
      </c>
      <c r="E630" t="s">
        <v>42</v>
      </c>
      <c r="F630" t="s">
        <v>51</v>
      </c>
      <c r="G630" t="s">
        <v>438</v>
      </c>
      <c r="H630" t="s">
        <v>483</v>
      </c>
      <c r="I630"/>
      <c r="J630">
        <v>60</v>
      </c>
    </row>
    <row r="631" spans="1:10" x14ac:dyDescent="0.2">
      <c r="A631" t="s">
        <v>18</v>
      </c>
      <c r="B631" t="s">
        <v>95</v>
      </c>
      <c r="C631" t="s">
        <v>13</v>
      </c>
      <c r="D631" t="s">
        <v>54</v>
      </c>
      <c r="E631" t="s">
        <v>42</v>
      </c>
      <c r="F631" t="s">
        <v>54</v>
      </c>
      <c r="G631" t="s">
        <v>449</v>
      </c>
      <c r="H631" t="s">
        <v>484</v>
      </c>
      <c r="I631"/>
      <c r="J631">
        <v>2384</v>
      </c>
    </row>
    <row r="632" spans="1:10" x14ac:dyDescent="0.2">
      <c r="A632" t="s">
        <v>18</v>
      </c>
      <c r="B632" t="s">
        <v>95</v>
      </c>
      <c r="C632" t="s">
        <v>13</v>
      </c>
      <c r="D632" t="s">
        <v>54</v>
      </c>
      <c r="E632" t="s">
        <v>42</v>
      </c>
      <c r="F632" t="s">
        <v>54</v>
      </c>
      <c r="G632" t="s">
        <v>443</v>
      </c>
      <c r="H632" t="s">
        <v>444</v>
      </c>
      <c r="I632"/>
      <c r="J632">
        <v>39</v>
      </c>
    </row>
    <row r="633" spans="1:10" x14ac:dyDescent="0.2">
      <c r="A633" t="s">
        <v>12</v>
      </c>
      <c r="B633" t="s">
        <v>95</v>
      </c>
      <c r="C633" t="s">
        <v>13</v>
      </c>
      <c r="D633" t="s">
        <v>55</v>
      </c>
      <c r="E633" t="s">
        <v>42</v>
      </c>
      <c r="F633" t="s">
        <v>55</v>
      </c>
      <c r="G633" t="s">
        <v>443</v>
      </c>
      <c r="H633" t="s">
        <v>485</v>
      </c>
      <c r="I633"/>
      <c r="J633">
        <v>9.7799999999999994</v>
      </c>
    </row>
    <row r="634" spans="1:10" x14ac:dyDescent="0.2">
      <c r="A634" t="s">
        <v>12</v>
      </c>
      <c r="B634" t="s">
        <v>95</v>
      </c>
      <c r="C634" t="s">
        <v>13</v>
      </c>
      <c r="D634" t="s">
        <v>55</v>
      </c>
      <c r="E634" t="s">
        <v>42</v>
      </c>
      <c r="F634" t="s">
        <v>55</v>
      </c>
      <c r="G634" t="s">
        <v>443</v>
      </c>
      <c r="H634" t="s">
        <v>444</v>
      </c>
      <c r="I634"/>
      <c r="J634">
        <v>78.790000000000006</v>
      </c>
    </row>
    <row r="635" spans="1:10" x14ac:dyDescent="0.2">
      <c r="A635" t="s">
        <v>18</v>
      </c>
      <c r="B635" t="s">
        <v>95</v>
      </c>
      <c r="C635" t="s">
        <v>13</v>
      </c>
      <c r="D635" t="s">
        <v>56</v>
      </c>
      <c r="E635" t="s">
        <v>42</v>
      </c>
      <c r="F635" t="s">
        <v>56</v>
      </c>
      <c r="G635" t="s">
        <v>486</v>
      </c>
      <c r="H635" t="s">
        <v>487</v>
      </c>
      <c r="I635"/>
      <c r="J635">
        <v>30</v>
      </c>
    </row>
    <row r="636" spans="1:10" x14ac:dyDescent="0.2">
      <c r="A636" t="s">
        <v>18</v>
      </c>
      <c r="B636" t="s">
        <v>95</v>
      </c>
      <c r="C636" t="s">
        <v>13</v>
      </c>
      <c r="D636" t="s">
        <v>56</v>
      </c>
      <c r="E636" t="s">
        <v>42</v>
      </c>
      <c r="F636" t="s">
        <v>56</v>
      </c>
      <c r="G636" t="s">
        <v>435</v>
      </c>
      <c r="H636" t="s">
        <v>436</v>
      </c>
      <c r="I636"/>
      <c r="J636">
        <v>350</v>
      </c>
    </row>
    <row r="637" spans="1:10" x14ac:dyDescent="0.2">
      <c r="A637" t="s">
        <v>18</v>
      </c>
      <c r="B637" t="s">
        <v>95</v>
      </c>
      <c r="C637" t="s">
        <v>13</v>
      </c>
      <c r="D637" t="s">
        <v>49</v>
      </c>
      <c r="E637" t="s">
        <v>42</v>
      </c>
      <c r="F637" t="s">
        <v>49</v>
      </c>
      <c r="G637" t="s">
        <v>443</v>
      </c>
      <c r="H637" t="s">
        <v>444</v>
      </c>
      <c r="I637"/>
      <c r="J637">
        <v>21.5</v>
      </c>
    </row>
    <row r="638" spans="1:10" x14ac:dyDescent="0.2">
      <c r="A638" t="s">
        <v>18</v>
      </c>
      <c r="B638" t="s">
        <v>95</v>
      </c>
      <c r="C638" t="s">
        <v>13</v>
      </c>
      <c r="D638" t="s">
        <v>49</v>
      </c>
      <c r="E638" t="s">
        <v>42</v>
      </c>
      <c r="F638" t="s">
        <v>49</v>
      </c>
      <c r="G638" t="s">
        <v>488</v>
      </c>
      <c r="H638"/>
      <c r="I638"/>
      <c r="J638">
        <v>100</v>
      </c>
    </row>
    <row r="639" spans="1:10" x14ac:dyDescent="0.2">
      <c r="A639" t="s">
        <v>18</v>
      </c>
      <c r="B639" t="s">
        <v>95</v>
      </c>
      <c r="C639" t="s">
        <v>13</v>
      </c>
      <c r="D639" t="s">
        <v>60</v>
      </c>
      <c r="E639" t="s">
        <v>42</v>
      </c>
      <c r="F639" t="s">
        <v>60</v>
      </c>
      <c r="G639" t="s">
        <v>443</v>
      </c>
      <c r="H639" t="s">
        <v>444</v>
      </c>
      <c r="I639"/>
      <c r="J639">
        <v>18.670000000000002</v>
      </c>
    </row>
    <row r="640" spans="1:10" x14ac:dyDescent="0.2">
      <c r="A640" t="s">
        <v>27</v>
      </c>
      <c r="B640" t="s">
        <v>95</v>
      </c>
      <c r="C640" t="s">
        <v>13</v>
      </c>
      <c r="D640" t="s">
        <v>253</v>
      </c>
      <c r="E640" t="s">
        <v>42</v>
      </c>
      <c r="F640" t="s">
        <v>60</v>
      </c>
      <c r="G640" t="s">
        <v>445</v>
      </c>
      <c r="H640" t="s">
        <v>461</v>
      </c>
      <c r="I640"/>
      <c r="J640">
        <v>730</v>
      </c>
    </row>
    <row r="641" spans="1:10" x14ac:dyDescent="0.2">
      <c r="A641" t="s">
        <v>27</v>
      </c>
      <c r="B641" t="s">
        <v>95</v>
      </c>
      <c r="C641" t="s">
        <v>13</v>
      </c>
      <c r="D641" t="s">
        <v>253</v>
      </c>
      <c r="E641" t="s">
        <v>42</v>
      </c>
      <c r="F641" t="s">
        <v>253</v>
      </c>
      <c r="G641" t="s">
        <v>445</v>
      </c>
      <c r="H641" t="s">
        <v>456</v>
      </c>
      <c r="I641"/>
      <c r="J641">
        <v>397</v>
      </c>
    </row>
    <row r="642" spans="1:10" x14ac:dyDescent="0.2">
      <c r="A642" t="s">
        <v>12</v>
      </c>
      <c r="B642" t="s">
        <v>95</v>
      </c>
      <c r="C642" t="s">
        <v>13</v>
      </c>
      <c r="D642" t="s">
        <v>253</v>
      </c>
      <c r="E642" t="s">
        <v>42</v>
      </c>
      <c r="F642" t="s">
        <v>253</v>
      </c>
      <c r="G642" t="s">
        <v>443</v>
      </c>
      <c r="H642" t="s">
        <v>444</v>
      </c>
      <c r="I642"/>
      <c r="J642">
        <v>24.27</v>
      </c>
    </row>
    <row r="643" spans="1:10" x14ac:dyDescent="0.2">
      <c r="A643" t="s">
        <v>18</v>
      </c>
      <c r="B643" t="s">
        <v>95</v>
      </c>
      <c r="C643" t="s">
        <v>13</v>
      </c>
      <c r="D643" t="s">
        <v>62</v>
      </c>
      <c r="E643" t="s">
        <v>42</v>
      </c>
      <c r="F643" t="s">
        <v>256</v>
      </c>
      <c r="G643" t="s">
        <v>451</v>
      </c>
      <c r="H643" t="s">
        <v>464</v>
      </c>
      <c r="I643"/>
      <c r="J643">
        <v>156.88</v>
      </c>
    </row>
    <row r="644" spans="1:10" x14ac:dyDescent="0.2">
      <c r="A644" t="s">
        <v>27</v>
      </c>
      <c r="B644" t="s">
        <v>95</v>
      </c>
      <c r="C644" t="s">
        <v>13</v>
      </c>
      <c r="D644" t="s">
        <v>257</v>
      </c>
      <c r="E644" t="s">
        <v>42</v>
      </c>
      <c r="F644" t="s">
        <v>257</v>
      </c>
      <c r="G644" t="s">
        <v>442</v>
      </c>
      <c r="H644" t="s">
        <v>453</v>
      </c>
      <c r="I644"/>
      <c r="J644">
        <v>1019.03</v>
      </c>
    </row>
    <row r="645" spans="1:10" x14ac:dyDescent="0.2">
      <c r="A645" t="s">
        <v>18</v>
      </c>
      <c r="B645" t="s">
        <v>95</v>
      </c>
      <c r="C645" t="s">
        <v>13</v>
      </c>
      <c r="D645" t="s">
        <v>63</v>
      </c>
      <c r="E645" t="s">
        <v>64</v>
      </c>
      <c r="F645" t="s">
        <v>63</v>
      </c>
      <c r="G645" t="s">
        <v>490</v>
      </c>
      <c r="H645" t="s">
        <v>491</v>
      </c>
      <c r="I645"/>
      <c r="J645">
        <v>51.93</v>
      </c>
    </row>
    <row r="646" spans="1:10" x14ac:dyDescent="0.2">
      <c r="A646" t="s">
        <v>27</v>
      </c>
      <c r="B646" t="s">
        <v>95</v>
      </c>
      <c r="C646" t="s">
        <v>13</v>
      </c>
      <c r="D646" t="s">
        <v>66</v>
      </c>
      <c r="E646" t="s">
        <v>64</v>
      </c>
      <c r="F646" t="s">
        <v>66</v>
      </c>
      <c r="G646" t="s">
        <v>442</v>
      </c>
      <c r="H646"/>
      <c r="I646"/>
      <c r="J646">
        <v>647.37</v>
      </c>
    </row>
    <row r="647" spans="1:10" x14ac:dyDescent="0.2">
      <c r="A647" t="s">
        <v>18</v>
      </c>
      <c r="B647" t="s">
        <v>95</v>
      </c>
      <c r="C647" t="s">
        <v>13</v>
      </c>
      <c r="D647" t="s">
        <v>66</v>
      </c>
      <c r="E647" t="s">
        <v>64</v>
      </c>
      <c r="F647" t="s">
        <v>66</v>
      </c>
      <c r="G647" t="s">
        <v>469</v>
      </c>
      <c r="H647"/>
      <c r="I647"/>
      <c r="J647">
        <v>21.02</v>
      </c>
    </row>
    <row r="648" spans="1:10" x14ac:dyDescent="0.2">
      <c r="A648" t="s">
        <v>18</v>
      </c>
      <c r="B648" t="s">
        <v>95</v>
      </c>
      <c r="C648" t="s">
        <v>13</v>
      </c>
      <c r="D648" t="s">
        <v>289</v>
      </c>
      <c r="E648" t="s">
        <v>64</v>
      </c>
      <c r="F648" t="s">
        <v>65</v>
      </c>
      <c r="G648" t="s">
        <v>477</v>
      </c>
      <c r="H648" t="s">
        <v>478</v>
      </c>
      <c r="I648"/>
      <c r="J648">
        <v>800</v>
      </c>
    </row>
    <row r="649" spans="1:10" x14ac:dyDescent="0.2">
      <c r="A649" t="s">
        <v>18</v>
      </c>
      <c r="B649" t="s">
        <v>95</v>
      </c>
      <c r="C649" t="s">
        <v>13</v>
      </c>
      <c r="D649" t="s">
        <v>289</v>
      </c>
      <c r="E649" t="s">
        <v>64</v>
      </c>
      <c r="F649" t="s">
        <v>289</v>
      </c>
      <c r="G649" t="s">
        <v>443</v>
      </c>
      <c r="H649" t="s">
        <v>492</v>
      </c>
      <c r="I649"/>
      <c r="J649">
        <v>50</v>
      </c>
    </row>
    <row r="650" spans="1:10" x14ac:dyDescent="0.2">
      <c r="A650" t="s">
        <v>18</v>
      </c>
      <c r="B650" t="s">
        <v>95</v>
      </c>
      <c r="C650" t="s">
        <v>13</v>
      </c>
      <c r="D650" t="s">
        <v>289</v>
      </c>
      <c r="E650" t="s">
        <v>64</v>
      </c>
      <c r="F650" t="s">
        <v>289</v>
      </c>
      <c r="G650" t="s">
        <v>443</v>
      </c>
      <c r="H650" t="s">
        <v>493</v>
      </c>
      <c r="I650"/>
      <c r="J650">
        <v>16</v>
      </c>
    </row>
    <row r="651" spans="1:10" x14ac:dyDescent="0.2">
      <c r="A651" t="s">
        <v>18</v>
      </c>
      <c r="B651" t="s">
        <v>95</v>
      </c>
      <c r="C651" t="s">
        <v>13</v>
      </c>
      <c r="D651" t="s">
        <v>67</v>
      </c>
      <c r="E651" t="s">
        <v>64</v>
      </c>
      <c r="F651" t="s">
        <v>65</v>
      </c>
      <c r="G651" t="s">
        <v>440</v>
      </c>
      <c r="H651" t="s">
        <v>441</v>
      </c>
      <c r="I651"/>
      <c r="J651">
        <v>173.48</v>
      </c>
    </row>
    <row r="652" spans="1:10" x14ac:dyDescent="0.2">
      <c r="A652" t="s">
        <v>18</v>
      </c>
      <c r="B652" t="s">
        <v>95</v>
      </c>
      <c r="C652" t="s">
        <v>13</v>
      </c>
      <c r="D652" t="s">
        <v>292</v>
      </c>
      <c r="E652" t="s">
        <v>64</v>
      </c>
      <c r="F652" t="s">
        <v>292</v>
      </c>
      <c r="G652" t="s">
        <v>490</v>
      </c>
      <c r="H652" t="s">
        <v>494</v>
      </c>
      <c r="I652"/>
      <c r="J652">
        <v>15</v>
      </c>
    </row>
    <row r="653" spans="1:10" x14ac:dyDescent="0.2">
      <c r="A653" t="s">
        <v>71</v>
      </c>
      <c r="B653" t="s">
        <v>95</v>
      </c>
      <c r="C653" t="s">
        <v>13</v>
      </c>
      <c r="D653" t="s">
        <v>69</v>
      </c>
      <c r="E653" t="s">
        <v>64</v>
      </c>
      <c r="F653" t="s">
        <v>309</v>
      </c>
      <c r="G653" t="s">
        <v>445</v>
      </c>
      <c r="H653" t="s">
        <v>495</v>
      </c>
      <c r="I653"/>
      <c r="J653">
        <v>1500</v>
      </c>
    </row>
    <row r="654" spans="1:10" x14ac:dyDescent="0.2">
      <c r="A654" t="s">
        <v>18</v>
      </c>
      <c r="B654" t="s">
        <v>95</v>
      </c>
      <c r="C654" t="s">
        <v>13</v>
      </c>
      <c r="D654" t="s">
        <v>69</v>
      </c>
      <c r="E654" t="s">
        <v>64</v>
      </c>
      <c r="F654" t="s">
        <v>66</v>
      </c>
      <c r="G654" t="s">
        <v>445</v>
      </c>
      <c r="H654" t="s">
        <v>447</v>
      </c>
      <c r="I654"/>
      <c r="J654">
        <v>385</v>
      </c>
    </row>
    <row r="655" spans="1:10" x14ac:dyDescent="0.2">
      <c r="A655" t="s">
        <v>18</v>
      </c>
      <c r="B655" t="s">
        <v>95</v>
      </c>
      <c r="C655" t="s">
        <v>13</v>
      </c>
      <c r="D655" t="s">
        <v>69</v>
      </c>
      <c r="E655" t="s">
        <v>64</v>
      </c>
      <c r="F655" t="s">
        <v>69</v>
      </c>
      <c r="G655" t="s">
        <v>490</v>
      </c>
      <c r="H655" t="s">
        <v>496</v>
      </c>
      <c r="I655"/>
      <c r="J655">
        <v>53.16</v>
      </c>
    </row>
    <row r="656" spans="1:10" x14ac:dyDescent="0.2">
      <c r="A656" t="s">
        <v>18</v>
      </c>
      <c r="B656" t="s">
        <v>95</v>
      </c>
      <c r="C656" t="s">
        <v>13</v>
      </c>
      <c r="D656" t="s">
        <v>69</v>
      </c>
      <c r="E656" t="s">
        <v>64</v>
      </c>
      <c r="F656" t="s">
        <v>69</v>
      </c>
      <c r="G656" t="s">
        <v>451</v>
      </c>
      <c r="H656" t="s">
        <v>452</v>
      </c>
      <c r="I656"/>
      <c r="J656">
        <v>156.72</v>
      </c>
    </row>
    <row r="657" spans="1:12" x14ac:dyDescent="0.2">
      <c r="A657" t="s">
        <v>12</v>
      </c>
      <c r="B657" t="s">
        <v>95</v>
      </c>
      <c r="C657" t="s">
        <v>13</v>
      </c>
      <c r="D657" t="s">
        <v>309</v>
      </c>
      <c r="E657" t="s">
        <v>64</v>
      </c>
      <c r="F657" t="s">
        <v>309</v>
      </c>
      <c r="G657" t="s">
        <v>469</v>
      </c>
      <c r="H657" t="s">
        <v>497</v>
      </c>
      <c r="I657"/>
      <c r="J657">
        <v>8.5</v>
      </c>
    </row>
    <row r="658" spans="1:12" x14ac:dyDescent="0.2">
      <c r="A658" t="s">
        <v>27</v>
      </c>
      <c r="B658" t="s">
        <v>95</v>
      </c>
      <c r="C658" t="s">
        <v>13</v>
      </c>
      <c r="D658" t="s">
        <v>76</v>
      </c>
      <c r="E658" t="s">
        <v>64</v>
      </c>
      <c r="F658" t="s">
        <v>76</v>
      </c>
      <c r="G658" t="s">
        <v>442</v>
      </c>
      <c r="H658" t="s">
        <v>498</v>
      </c>
      <c r="I658"/>
      <c r="J658">
        <v>1021.45</v>
      </c>
    </row>
    <row r="659" spans="1:12" x14ac:dyDescent="0.2">
      <c r="A659" t="s">
        <v>27</v>
      </c>
      <c r="B659" t="s">
        <v>95</v>
      </c>
      <c r="C659" t="s">
        <v>13</v>
      </c>
      <c r="D659" t="s">
        <v>76</v>
      </c>
      <c r="E659" t="s">
        <v>64</v>
      </c>
      <c r="F659" t="s">
        <v>76</v>
      </c>
      <c r="G659" t="s">
        <v>442</v>
      </c>
      <c r="H659" t="s">
        <v>498</v>
      </c>
      <c r="I659"/>
      <c r="J659">
        <v>1546.2</v>
      </c>
    </row>
    <row r="660" spans="1:12" x14ac:dyDescent="0.2">
      <c r="A660" t="s">
        <v>18</v>
      </c>
      <c r="B660" t="s">
        <v>125</v>
      </c>
      <c r="C660" t="s">
        <v>13</v>
      </c>
      <c r="D660" t="s">
        <v>317</v>
      </c>
      <c r="E660" t="s">
        <v>64</v>
      </c>
      <c r="F660" t="s">
        <v>317</v>
      </c>
      <c r="G660" t="s">
        <v>488</v>
      </c>
      <c r="H660"/>
      <c r="I660"/>
      <c r="J660">
        <v>50</v>
      </c>
      <c r="L660" t="s">
        <v>499</v>
      </c>
    </row>
    <row r="661" spans="1:12" x14ac:dyDescent="0.2">
      <c r="A661" t="s">
        <v>27</v>
      </c>
      <c r="B661" t="s">
        <v>95</v>
      </c>
      <c r="C661" t="s">
        <v>13</v>
      </c>
      <c r="D661" t="s">
        <v>317</v>
      </c>
      <c r="E661" t="s">
        <v>64</v>
      </c>
      <c r="F661" t="s">
        <v>317</v>
      </c>
      <c r="G661" t="s">
        <v>445</v>
      </c>
      <c r="H661" t="s">
        <v>500</v>
      </c>
      <c r="I661"/>
      <c r="J661">
        <v>570</v>
      </c>
    </row>
    <row r="662" spans="1:12" x14ac:dyDescent="0.2">
      <c r="A662" t="s">
        <v>12</v>
      </c>
      <c r="B662" t="s">
        <v>95</v>
      </c>
      <c r="C662" t="s">
        <v>13</v>
      </c>
      <c r="D662" t="s">
        <v>78</v>
      </c>
      <c r="E662" t="s">
        <v>64</v>
      </c>
      <c r="F662" t="s">
        <v>78</v>
      </c>
      <c r="G662" t="s">
        <v>438</v>
      </c>
      <c r="H662" t="s">
        <v>501</v>
      </c>
      <c r="I662"/>
      <c r="J662">
        <v>85</v>
      </c>
    </row>
    <row r="663" spans="1:12" x14ac:dyDescent="0.2">
      <c r="A663" t="s">
        <v>18</v>
      </c>
      <c r="B663" t="s">
        <v>125</v>
      </c>
      <c r="C663" t="s">
        <v>13</v>
      </c>
      <c r="D663" t="s">
        <v>77</v>
      </c>
      <c r="E663" t="s">
        <v>64</v>
      </c>
      <c r="F663" t="s">
        <v>77</v>
      </c>
      <c r="G663" t="s">
        <v>488</v>
      </c>
      <c r="H663" t="s">
        <v>502</v>
      </c>
      <c r="I663"/>
      <c r="J663">
        <v>50</v>
      </c>
      <c r="L663" t="s">
        <v>499</v>
      </c>
    </row>
    <row r="664" spans="1:12" x14ac:dyDescent="0.2">
      <c r="A664" t="s">
        <v>18</v>
      </c>
      <c r="B664" t="s">
        <v>125</v>
      </c>
      <c r="C664" t="s">
        <v>13</v>
      </c>
      <c r="D664" t="s">
        <v>77</v>
      </c>
      <c r="E664" t="s">
        <v>64</v>
      </c>
      <c r="F664" t="s">
        <v>77</v>
      </c>
      <c r="G664" t="s">
        <v>486</v>
      </c>
      <c r="H664" t="s">
        <v>503</v>
      </c>
      <c r="I664"/>
      <c r="J664">
        <v>30</v>
      </c>
      <c r="L664" t="s">
        <v>499</v>
      </c>
    </row>
    <row r="665" spans="1:12" x14ac:dyDescent="0.2">
      <c r="A665" t="s">
        <v>58</v>
      </c>
      <c r="B665" t="s">
        <v>95</v>
      </c>
      <c r="C665" t="s">
        <v>13</v>
      </c>
      <c r="D665" t="s">
        <v>77</v>
      </c>
      <c r="E665" t="s">
        <v>64</v>
      </c>
      <c r="F665" t="s">
        <v>77</v>
      </c>
      <c r="G665" t="s">
        <v>504</v>
      </c>
      <c r="H665" t="s">
        <v>505</v>
      </c>
      <c r="I665"/>
      <c r="J665">
        <v>10200</v>
      </c>
    </row>
    <row r="666" spans="1:12" x14ac:dyDescent="0.2">
      <c r="A666" t="s">
        <v>71</v>
      </c>
      <c r="B666" t="s">
        <v>95</v>
      </c>
      <c r="C666" t="s">
        <v>13</v>
      </c>
      <c r="D666" t="s">
        <v>77</v>
      </c>
      <c r="E666" t="s">
        <v>506</v>
      </c>
      <c r="F666" t="s">
        <v>77</v>
      </c>
      <c r="G666" t="s">
        <v>504</v>
      </c>
      <c r="H666" t="s">
        <v>507</v>
      </c>
      <c r="I666"/>
      <c r="J666">
        <v>10200</v>
      </c>
    </row>
    <row r="667" spans="1:12" x14ac:dyDescent="0.2">
      <c r="A667" t="s">
        <v>12</v>
      </c>
      <c r="B667" t="s">
        <v>95</v>
      </c>
      <c r="C667" t="s">
        <v>13</v>
      </c>
      <c r="D667" t="s">
        <v>416</v>
      </c>
      <c r="E667" t="s">
        <v>84</v>
      </c>
      <c r="F667" t="s">
        <v>416</v>
      </c>
      <c r="G667" t="s">
        <v>443</v>
      </c>
      <c r="H667" t="s">
        <v>508</v>
      </c>
      <c r="I667"/>
      <c r="J667">
        <v>15.28</v>
      </c>
    </row>
    <row r="668" spans="1:12" x14ac:dyDescent="0.2">
      <c r="A668" t="s">
        <v>71</v>
      </c>
      <c r="B668" t="s">
        <v>95</v>
      </c>
      <c r="C668" t="s">
        <v>13</v>
      </c>
      <c r="D668" t="s">
        <v>79</v>
      </c>
      <c r="E668" t="s">
        <v>64</v>
      </c>
      <c r="F668" t="s">
        <v>79</v>
      </c>
      <c r="G668" t="s">
        <v>435</v>
      </c>
      <c r="H668" t="s">
        <v>509</v>
      </c>
      <c r="I668"/>
      <c r="J668">
        <v>20000</v>
      </c>
    </row>
    <row r="669" spans="1:12" x14ac:dyDescent="0.2">
      <c r="A669" t="s">
        <v>12</v>
      </c>
      <c r="B669" t="s">
        <v>95</v>
      </c>
      <c r="C669" t="s">
        <v>13</v>
      </c>
      <c r="D669" t="s">
        <v>510</v>
      </c>
      <c r="E669" t="s">
        <v>64</v>
      </c>
      <c r="F669" t="s">
        <v>80</v>
      </c>
      <c r="G669" t="s">
        <v>445</v>
      </c>
      <c r="H669" t="s">
        <v>461</v>
      </c>
      <c r="I669"/>
      <c r="J669">
        <v>745.08</v>
      </c>
    </row>
    <row r="670" spans="1:12" x14ac:dyDescent="0.2">
      <c r="A670" t="s">
        <v>12</v>
      </c>
      <c r="B670" t="s">
        <v>95</v>
      </c>
      <c r="C670" t="s">
        <v>13</v>
      </c>
      <c r="D670" t="s">
        <v>325</v>
      </c>
      <c r="E670" t="s">
        <v>64</v>
      </c>
      <c r="F670" t="s">
        <v>325</v>
      </c>
      <c r="G670" t="s">
        <v>435</v>
      </c>
      <c r="H670" t="s">
        <v>436</v>
      </c>
      <c r="I670"/>
      <c r="J670">
        <v>250</v>
      </c>
    </row>
    <row r="671" spans="1:12" x14ac:dyDescent="0.2">
      <c r="A671" t="s">
        <v>12</v>
      </c>
      <c r="B671" t="s">
        <v>95</v>
      </c>
      <c r="C671" t="s">
        <v>13</v>
      </c>
      <c r="D671" t="s">
        <v>325</v>
      </c>
      <c r="E671" t="s">
        <v>64</v>
      </c>
      <c r="F671" t="s">
        <v>325</v>
      </c>
      <c r="G671" t="s">
        <v>488</v>
      </c>
      <c r="H671"/>
      <c r="I671"/>
      <c r="J671">
        <v>250</v>
      </c>
      <c r="L671" t="s">
        <v>499</v>
      </c>
    </row>
    <row r="672" spans="1:12" x14ac:dyDescent="0.2">
      <c r="A672" t="s">
        <v>12</v>
      </c>
      <c r="B672" t="s">
        <v>95</v>
      </c>
      <c r="C672" t="s">
        <v>13</v>
      </c>
      <c r="D672" t="s">
        <v>80</v>
      </c>
      <c r="E672" t="s">
        <v>64</v>
      </c>
      <c r="F672" t="s">
        <v>80</v>
      </c>
      <c r="G672" t="s">
        <v>445</v>
      </c>
      <c r="H672" t="s">
        <v>511</v>
      </c>
      <c r="I672"/>
      <c r="J672">
        <v>397</v>
      </c>
    </row>
    <row r="673" spans="1:12" x14ac:dyDescent="0.2">
      <c r="A673" t="s">
        <v>18</v>
      </c>
      <c r="B673" t="s">
        <v>95</v>
      </c>
      <c r="C673" t="s">
        <v>13</v>
      </c>
      <c r="D673" t="s">
        <v>512</v>
      </c>
      <c r="E673" t="s">
        <v>64</v>
      </c>
      <c r="F673" t="s">
        <v>331</v>
      </c>
      <c r="G673" t="s">
        <v>451</v>
      </c>
      <c r="H673" t="s">
        <v>464</v>
      </c>
      <c r="I673"/>
      <c r="J673">
        <v>156.88</v>
      </c>
    </row>
    <row r="674" spans="1:12" x14ac:dyDescent="0.2">
      <c r="A674" t="s">
        <v>27</v>
      </c>
      <c r="B674" t="s">
        <v>95</v>
      </c>
      <c r="C674" t="s">
        <v>13</v>
      </c>
      <c r="D674" t="s">
        <v>326</v>
      </c>
      <c r="E674" t="s">
        <v>64</v>
      </c>
      <c r="F674" t="s">
        <v>326</v>
      </c>
      <c r="G674" t="s">
        <v>442</v>
      </c>
      <c r="H674" t="s">
        <v>513</v>
      </c>
      <c r="I674"/>
      <c r="J674">
        <v>1030.9000000000001</v>
      </c>
    </row>
    <row r="675" spans="1:12" x14ac:dyDescent="0.2">
      <c r="A675" t="s">
        <v>12</v>
      </c>
      <c r="B675" t="s">
        <v>95</v>
      </c>
      <c r="C675" t="s">
        <v>13</v>
      </c>
      <c r="D675" t="s">
        <v>334</v>
      </c>
      <c r="E675" t="s">
        <v>84</v>
      </c>
      <c r="F675" t="s">
        <v>334</v>
      </c>
      <c r="G675" t="s">
        <v>488</v>
      </c>
      <c r="H675"/>
      <c r="I675"/>
      <c r="J675">
        <v>180</v>
      </c>
      <c r="L675" t="s">
        <v>499</v>
      </c>
    </row>
    <row r="676" spans="1:12" x14ac:dyDescent="0.2">
      <c r="A676" t="s">
        <v>18</v>
      </c>
      <c r="B676" t="s">
        <v>95</v>
      </c>
      <c r="C676" t="s">
        <v>13</v>
      </c>
      <c r="D676" t="s">
        <v>14</v>
      </c>
      <c r="E676" t="s">
        <v>15</v>
      </c>
      <c r="F676" t="s">
        <v>14</v>
      </c>
      <c r="G676" t="s">
        <v>535</v>
      </c>
      <c r="H676" t="s">
        <v>536</v>
      </c>
      <c r="I676"/>
      <c r="J676">
        <v>60</v>
      </c>
    </row>
    <row r="677" spans="1:12" x14ac:dyDescent="0.2">
      <c r="A677" t="s">
        <v>18</v>
      </c>
      <c r="B677" t="s">
        <v>95</v>
      </c>
      <c r="C677" t="s">
        <v>13</v>
      </c>
      <c r="D677" t="s">
        <v>14</v>
      </c>
      <c r="E677" t="s">
        <v>15</v>
      </c>
      <c r="F677" t="s">
        <v>14</v>
      </c>
      <c r="G677" t="s">
        <v>535</v>
      </c>
      <c r="H677" t="s">
        <v>537</v>
      </c>
      <c r="I677"/>
      <c r="J677">
        <v>10.29</v>
      </c>
    </row>
    <row r="678" spans="1:12" x14ac:dyDescent="0.2">
      <c r="A678" t="s">
        <v>18</v>
      </c>
      <c r="B678" t="s">
        <v>95</v>
      </c>
      <c r="C678" t="s">
        <v>13</v>
      </c>
      <c r="D678" t="s">
        <v>14</v>
      </c>
      <c r="E678" t="s">
        <v>15</v>
      </c>
      <c r="F678" t="s">
        <v>14</v>
      </c>
      <c r="G678" t="s">
        <v>538</v>
      </c>
      <c r="H678" t="s">
        <v>539</v>
      </c>
      <c r="I678"/>
      <c r="J678">
        <v>100</v>
      </c>
    </row>
    <row r="679" spans="1:12" x14ac:dyDescent="0.2">
      <c r="A679" t="s">
        <v>18</v>
      </c>
      <c r="B679" t="s">
        <v>95</v>
      </c>
      <c r="C679" t="s">
        <v>13</v>
      </c>
      <c r="D679" t="s">
        <v>114</v>
      </c>
      <c r="E679" t="s">
        <v>15</v>
      </c>
      <c r="F679" t="s">
        <v>114</v>
      </c>
      <c r="G679" t="s">
        <v>540</v>
      </c>
      <c r="H679" t="s">
        <v>541</v>
      </c>
      <c r="I679"/>
      <c r="J679">
        <v>350</v>
      </c>
    </row>
    <row r="680" spans="1:12" x14ac:dyDescent="0.2">
      <c r="A680" t="s">
        <v>18</v>
      </c>
      <c r="B680" t="s">
        <v>95</v>
      </c>
      <c r="C680" t="s">
        <v>13</v>
      </c>
      <c r="D680" t="s">
        <v>114</v>
      </c>
      <c r="E680" t="s">
        <v>15</v>
      </c>
      <c r="F680" t="s">
        <v>114</v>
      </c>
      <c r="G680" t="s">
        <v>542</v>
      </c>
      <c r="H680" t="s">
        <v>543</v>
      </c>
      <c r="I680"/>
      <c r="J680">
        <v>300</v>
      </c>
    </row>
    <row r="681" spans="1:12" x14ac:dyDescent="0.2">
      <c r="A681" t="s">
        <v>18</v>
      </c>
      <c r="B681" t="s">
        <v>95</v>
      </c>
      <c r="C681" t="s">
        <v>13</v>
      </c>
      <c r="D681" t="s">
        <v>122</v>
      </c>
      <c r="E681" t="s">
        <v>15</v>
      </c>
      <c r="F681" t="s">
        <v>122</v>
      </c>
      <c r="G681" t="s">
        <v>544</v>
      </c>
      <c r="H681" t="s">
        <v>545</v>
      </c>
      <c r="I681"/>
      <c r="J681">
        <v>17.3</v>
      </c>
    </row>
    <row r="682" spans="1:12" x14ac:dyDescent="0.2">
      <c r="A682" t="s">
        <v>18</v>
      </c>
      <c r="B682" t="s">
        <v>95</v>
      </c>
      <c r="C682" t="s">
        <v>13</v>
      </c>
      <c r="D682" t="s">
        <v>122</v>
      </c>
      <c r="E682" t="s">
        <v>15</v>
      </c>
      <c r="F682" t="s">
        <v>122</v>
      </c>
      <c r="G682" t="s">
        <v>546</v>
      </c>
      <c r="H682" t="s">
        <v>547</v>
      </c>
      <c r="I682"/>
      <c r="J682">
        <v>200</v>
      </c>
    </row>
    <row r="683" spans="1:12" x14ac:dyDescent="0.2">
      <c r="A683" t="s">
        <v>18</v>
      </c>
      <c r="B683" t="s">
        <v>95</v>
      </c>
      <c r="C683" t="s">
        <v>13</v>
      </c>
      <c r="D683" t="s">
        <v>126</v>
      </c>
      <c r="E683" t="s">
        <v>15</v>
      </c>
      <c r="F683" t="s">
        <v>126</v>
      </c>
      <c r="G683" t="s">
        <v>546</v>
      </c>
      <c r="H683" t="s">
        <v>548</v>
      </c>
      <c r="I683"/>
      <c r="J683">
        <v>1100</v>
      </c>
    </row>
    <row r="684" spans="1:12" x14ac:dyDescent="0.2">
      <c r="A684" t="s">
        <v>18</v>
      </c>
      <c r="B684" t="s">
        <v>95</v>
      </c>
      <c r="C684" t="s">
        <v>13</v>
      </c>
      <c r="D684" t="s">
        <v>21</v>
      </c>
      <c r="E684" t="s">
        <v>15</v>
      </c>
      <c r="F684" t="s">
        <v>21</v>
      </c>
      <c r="G684" t="s">
        <v>542</v>
      </c>
      <c r="H684" t="s">
        <v>549</v>
      </c>
      <c r="I684"/>
      <c r="J684">
        <v>900</v>
      </c>
    </row>
    <row r="685" spans="1:12" x14ac:dyDescent="0.2">
      <c r="A685" t="s">
        <v>18</v>
      </c>
      <c r="B685" t="s">
        <v>95</v>
      </c>
      <c r="C685" t="s">
        <v>13</v>
      </c>
      <c r="D685" t="s">
        <v>21</v>
      </c>
      <c r="E685" t="s">
        <v>15</v>
      </c>
      <c r="F685" t="s">
        <v>21</v>
      </c>
      <c r="G685" t="s">
        <v>544</v>
      </c>
      <c r="H685" t="s">
        <v>550</v>
      </c>
      <c r="I685"/>
      <c r="J685">
        <v>22</v>
      </c>
    </row>
    <row r="686" spans="1:12" x14ac:dyDescent="0.2">
      <c r="A686" t="s">
        <v>18</v>
      </c>
      <c r="B686" t="s">
        <v>95</v>
      </c>
      <c r="C686" t="s">
        <v>13</v>
      </c>
      <c r="D686" t="s">
        <v>142</v>
      </c>
      <c r="E686" t="s">
        <v>15</v>
      </c>
      <c r="F686" t="s">
        <v>142</v>
      </c>
      <c r="G686" t="s">
        <v>551</v>
      </c>
      <c r="H686" t="s">
        <v>552</v>
      </c>
      <c r="I686"/>
      <c r="J686">
        <v>50</v>
      </c>
      <c r="K686" t="s">
        <v>553</v>
      </c>
      <c r="L686" t="s">
        <v>554</v>
      </c>
    </row>
    <row r="687" spans="1:12" x14ac:dyDescent="0.2">
      <c r="A687" t="s">
        <v>18</v>
      </c>
      <c r="B687" t="s">
        <v>95</v>
      </c>
      <c r="C687" t="s">
        <v>13</v>
      </c>
      <c r="D687" t="s">
        <v>24</v>
      </c>
      <c r="E687" t="s">
        <v>15</v>
      </c>
      <c r="F687" t="s">
        <v>24</v>
      </c>
      <c r="G687" t="s">
        <v>540</v>
      </c>
      <c r="H687" t="s">
        <v>555</v>
      </c>
      <c r="I687"/>
      <c r="J687">
        <v>208</v>
      </c>
    </row>
    <row r="688" spans="1:12" x14ac:dyDescent="0.2">
      <c r="A688" t="s">
        <v>18</v>
      </c>
      <c r="B688" t="s">
        <v>95</v>
      </c>
      <c r="C688" t="s">
        <v>13</v>
      </c>
      <c r="D688" t="s">
        <v>24</v>
      </c>
      <c r="E688" t="s">
        <v>15</v>
      </c>
      <c r="F688" t="s">
        <v>24</v>
      </c>
      <c r="G688" t="s">
        <v>538</v>
      </c>
      <c r="H688" t="s">
        <v>556</v>
      </c>
      <c r="I688"/>
      <c r="J688">
        <v>50</v>
      </c>
    </row>
    <row r="689" spans="1:12" x14ac:dyDescent="0.2">
      <c r="A689" t="s">
        <v>18</v>
      </c>
      <c r="B689" t="s">
        <v>95</v>
      </c>
      <c r="C689" t="s">
        <v>13</v>
      </c>
      <c r="D689" t="s">
        <v>24</v>
      </c>
      <c r="E689" t="s">
        <v>15</v>
      </c>
      <c r="F689" t="s">
        <v>24</v>
      </c>
      <c r="G689" t="s">
        <v>546</v>
      </c>
      <c r="H689" t="s">
        <v>381</v>
      </c>
      <c r="I689"/>
      <c r="J689">
        <v>150</v>
      </c>
    </row>
    <row r="690" spans="1:12" x14ac:dyDescent="0.2">
      <c r="A690" t="s">
        <v>18</v>
      </c>
      <c r="B690" t="s">
        <v>95</v>
      </c>
      <c r="C690" t="s">
        <v>13</v>
      </c>
      <c r="D690" t="s">
        <v>24</v>
      </c>
      <c r="E690" t="s">
        <v>15</v>
      </c>
      <c r="F690" t="s">
        <v>24</v>
      </c>
      <c r="G690" t="s">
        <v>557</v>
      </c>
      <c r="H690" t="s">
        <v>558</v>
      </c>
      <c r="I690"/>
      <c r="J690">
        <v>205</v>
      </c>
    </row>
    <row r="691" spans="1:12" x14ac:dyDescent="0.2">
      <c r="A691" t="s">
        <v>18</v>
      </c>
      <c r="B691" t="s">
        <v>95</v>
      </c>
      <c r="C691" t="s">
        <v>13</v>
      </c>
      <c r="D691" t="s">
        <v>148</v>
      </c>
      <c r="E691" t="s">
        <v>15</v>
      </c>
      <c r="F691" t="s">
        <v>148</v>
      </c>
      <c r="G691" t="s">
        <v>540</v>
      </c>
      <c r="H691" t="s">
        <v>559</v>
      </c>
      <c r="I691"/>
      <c r="J691">
        <v>222</v>
      </c>
    </row>
    <row r="692" spans="1:12" x14ac:dyDescent="0.2">
      <c r="A692" t="s">
        <v>18</v>
      </c>
      <c r="B692" t="s">
        <v>95</v>
      </c>
      <c r="C692" t="s">
        <v>13</v>
      </c>
      <c r="D692" t="s">
        <v>148</v>
      </c>
      <c r="E692" t="s">
        <v>15</v>
      </c>
      <c r="F692" t="s">
        <v>148</v>
      </c>
      <c r="G692" t="s">
        <v>538</v>
      </c>
      <c r="H692" t="s">
        <v>560</v>
      </c>
      <c r="I692"/>
      <c r="J692">
        <v>100</v>
      </c>
    </row>
    <row r="693" spans="1:12" x14ac:dyDescent="0.2">
      <c r="A693" t="s">
        <v>18</v>
      </c>
      <c r="B693" t="s">
        <v>95</v>
      </c>
      <c r="C693" t="s">
        <v>13</v>
      </c>
      <c r="D693" t="s">
        <v>158</v>
      </c>
      <c r="E693" t="s">
        <v>15</v>
      </c>
      <c r="F693" t="s">
        <v>158</v>
      </c>
      <c r="G693" t="s">
        <v>561</v>
      </c>
      <c r="H693" t="s">
        <v>562</v>
      </c>
      <c r="I693"/>
      <c r="J693">
        <v>87.17</v>
      </c>
    </row>
    <row r="694" spans="1:12" x14ac:dyDescent="0.2">
      <c r="A694" t="s">
        <v>18</v>
      </c>
      <c r="B694" t="s">
        <v>95</v>
      </c>
      <c r="C694" t="s">
        <v>13</v>
      </c>
      <c r="D694" t="s">
        <v>158</v>
      </c>
      <c r="E694" t="s">
        <v>15</v>
      </c>
      <c r="F694" t="s">
        <v>158</v>
      </c>
      <c r="G694" t="s">
        <v>544</v>
      </c>
      <c r="H694" t="s">
        <v>454</v>
      </c>
      <c r="I694"/>
      <c r="J694">
        <v>22</v>
      </c>
    </row>
    <row r="695" spans="1:12" x14ac:dyDescent="0.2">
      <c r="A695" t="s">
        <v>18</v>
      </c>
      <c r="B695" t="s">
        <v>95</v>
      </c>
      <c r="C695" t="s">
        <v>13</v>
      </c>
      <c r="D695" t="s">
        <v>158</v>
      </c>
      <c r="E695" t="s">
        <v>15</v>
      </c>
      <c r="F695" t="s">
        <v>158</v>
      </c>
      <c r="G695" t="s">
        <v>540</v>
      </c>
      <c r="H695" t="s">
        <v>563</v>
      </c>
      <c r="I695"/>
      <c r="J695">
        <v>42</v>
      </c>
    </row>
    <row r="696" spans="1:12" x14ac:dyDescent="0.2">
      <c r="A696" t="s">
        <v>18</v>
      </c>
      <c r="B696" t="s">
        <v>95</v>
      </c>
      <c r="C696" t="s">
        <v>13</v>
      </c>
      <c r="D696" t="s">
        <v>158</v>
      </c>
      <c r="E696" t="s">
        <v>15</v>
      </c>
      <c r="F696" t="s">
        <v>158</v>
      </c>
      <c r="G696" t="s">
        <v>546</v>
      </c>
      <c r="H696" t="s">
        <v>564</v>
      </c>
      <c r="I696"/>
      <c r="J696">
        <v>400</v>
      </c>
    </row>
    <row r="697" spans="1:12" x14ac:dyDescent="0.2">
      <c r="A697" t="s">
        <v>18</v>
      </c>
      <c r="B697" t="s">
        <v>95</v>
      </c>
      <c r="C697" t="s">
        <v>13</v>
      </c>
      <c r="D697" t="s">
        <v>158</v>
      </c>
      <c r="E697" t="s">
        <v>15</v>
      </c>
      <c r="F697" t="s">
        <v>158</v>
      </c>
      <c r="G697" t="s">
        <v>546</v>
      </c>
      <c r="H697" t="s">
        <v>565</v>
      </c>
      <c r="I697"/>
      <c r="J697">
        <v>100</v>
      </c>
    </row>
    <row r="698" spans="1:12" x14ac:dyDescent="0.2">
      <c r="A698" t="s">
        <v>18</v>
      </c>
      <c r="B698" t="s">
        <v>95</v>
      </c>
      <c r="C698" t="s">
        <v>13</v>
      </c>
      <c r="D698" t="s">
        <v>566</v>
      </c>
      <c r="E698" t="s">
        <v>15</v>
      </c>
      <c r="F698" t="s">
        <v>566</v>
      </c>
      <c r="G698" t="s">
        <v>540</v>
      </c>
      <c r="H698" t="s">
        <v>567</v>
      </c>
      <c r="I698"/>
      <c r="J698">
        <v>250</v>
      </c>
    </row>
    <row r="699" spans="1:12" x14ac:dyDescent="0.2">
      <c r="A699" t="s">
        <v>18</v>
      </c>
      <c r="B699" t="s">
        <v>95</v>
      </c>
      <c r="C699" t="s">
        <v>13</v>
      </c>
      <c r="D699" t="s">
        <v>566</v>
      </c>
      <c r="E699" t="s">
        <v>15</v>
      </c>
      <c r="F699" t="s">
        <v>566</v>
      </c>
      <c r="G699" t="s">
        <v>546</v>
      </c>
      <c r="H699" t="s">
        <v>568</v>
      </c>
      <c r="I699"/>
      <c r="J699">
        <v>1500</v>
      </c>
    </row>
    <row r="700" spans="1:12" x14ac:dyDescent="0.2">
      <c r="A700" t="s">
        <v>18</v>
      </c>
      <c r="B700" t="s">
        <v>95</v>
      </c>
      <c r="C700" t="s">
        <v>13</v>
      </c>
      <c r="D700" t="s">
        <v>566</v>
      </c>
      <c r="E700" t="s">
        <v>15</v>
      </c>
      <c r="F700" t="s">
        <v>566</v>
      </c>
      <c r="G700" t="s">
        <v>546</v>
      </c>
      <c r="H700" t="s">
        <v>569</v>
      </c>
      <c r="I700"/>
      <c r="J700">
        <v>550</v>
      </c>
    </row>
    <row r="701" spans="1:12" x14ac:dyDescent="0.2">
      <c r="A701" t="s">
        <v>12</v>
      </c>
      <c r="B701" t="s">
        <v>95</v>
      </c>
      <c r="C701" t="s">
        <v>13</v>
      </c>
      <c r="D701" t="s">
        <v>566</v>
      </c>
      <c r="E701" t="s">
        <v>15</v>
      </c>
      <c r="F701" t="s">
        <v>566</v>
      </c>
      <c r="G701" t="s">
        <v>570</v>
      </c>
      <c r="H701" t="s">
        <v>571</v>
      </c>
      <c r="I701"/>
      <c r="J701">
        <v>68.58</v>
      </c>
    </row>
    <row r="702" spans="1:12" x14ac:dyDescent="0.2">
      <c r="A702" t="s">
        <v>18</v>
      </c>
      <c r="B702" t="s">
        <v>95</v>
      </c>
      <c r="C702" t="s">
        <v>13</v>
      </c>
      <c r="D702" t="s">
        <v>143</v>
      </c>
      <c r="E702" t="s">
        <v>15</v>
      </c>
      <c r="F702" t="s">
        <v>143</v>
      </c>
      <c r="G702" t="s">
        <v>542</v>
      </c>
      <c r="H702" t="s">
        <v>572</v>
      </c>
      <c r="I702"/>
      <c r="J702">
        <v>1520</v>
      </c>
    </row>
    <row r="703" spans="1:12" x14ac:dyDescent="0.2">
      <c r="A703" t="s">
        <v>18</v>
      </c>
      <c r="B703" t="s">
        <v>95</v>
      </c>
      <c r="C703" t="s">
        <v>13</v>
      </c>
      <c r="D703" t="s">
        <v>167</v>
      </c>
      <c r="E703" t="s">
        <v>15</v>
      </c>
      <c r="F703" t="s">
        <v>167</v>
      </c>
      <c r="G703" t="s">
        <v>551</v>
      </c>
      <c r="H703" t="s">
        <v>573</v>
      </c>
      <c r="I703"/>
      <c r="J703">
        <v>237.91</v>
      </c>
      <c r="K703" t="s">
        <v>574</v>
      </c>
      <c r="L703" t="s">
        <v>575</v>
      </c>
    </row>
    <row r="704" spans="1:12" x14ac:dyDescent="0.2">
      <c r="A704" t="s">
        <v>18</v>
      </c>
      <c r="B704" t="s">
        <v>95</v>
      </c>
      <c r="C704" t="s">
        <v>13</v>
      </c>
      <c r="D704" t="s">
        <v>167</v>
      </c>
      <c r="E704" t="s">
        <v>15</v>
      </c>
      <c r="F704" t="s">
        <v>167</v>
      </c>
      <c r="G704" t="s">
        <v>544</v>
      </c>
      <c r="H704" t="s">
        <v>454</v>
      </c>
      <c r="I704"/>
      <c r="J704">
        <v>22</v>
      </c>
    </row>
    <row r="705" spans="1:12" x14ac:dyDescent="0.2">
      <c r="A705" t="s">
        <v>18</v>
      </c>
      <c r="B705" t="s">
        <v>95</v>
      </c>
      <c r="C705" t="s">
        <v>13</v>
      </c>
      <c r="D705" t="s">
        <v>28</v>
      </c>
      <c r="E705" t="s">
        <v>15</v>
      </c>
      <c r="F705" t="s">
        <v>28</v>
      </c>
      <c r="G705" t="s">
        <v>544</v>
      </c>
      <c r="H705" t="s">
        <v>454</v>
      </c>
      <c r="I705"/>
      <c r="J705">
        <v>22</v>
      </c>
    </row>
    <row r="706" spans="1:12" x14ac:dyDescent="0.2">
      <c r="A706" t="s">
        <v>27</v>
      </c>
      <c r="B706" t="s">
        <v>95</v>
      </c>
      <c r="C706" t="s">
        <v>13</v>
      </c>
      <c r="D706" t="s">
        <v>28</v>
      </c>
      <c r="E706" t="s">
        <v>15</v>
      </c>
      <c r="F706" t="s">
        <v>28</v>
      </c>
      <c r="G706" t="s">
        <v>538</v>
      </c>
      <c r="H706" t="s">
        <v>576</v>
      </c>
      <c r="I706"/>
      <c r="J706">
        <v>930.16</v>
      </c>
    </row>
    <row r="707" spans="1:12" x14ac:dyDescent="0.2">
      <c r="A707" t="s">
        <v>18</v>
      </c>
      <c r="B707" t="s">
        <v>95</v>
      </c>
      <c r="C707" t="s">
        <v>13</v>
      </c>
      <c r="D707" t="s">
        <v>28</v>
      </c>
      <c r="E707" t="s">
        <v>15</v>
      </c>
      <c r="F707" t="s">
        <v>28</v>
      </c>
      <c r="G707" t="s">
        <v>546</v>
      </c>
      <c r="H707" t="s">
        <v>577</v>
      </c>
      <c r="I707"/>
      <c r="J707">
        <v>700</v>
      </c>
    </row>
    <row r="708" spans="1:12" x14ac:dyDescent="0.2">
      <c r="A708" t="s">
        <v>18</v>
      </c>
      <c r="B708" t="s">
        <v>125</v>
      </c>
      <c r="C708" t="s">
        <v>13</v>
      </c>
      <c r="D708" t="s">
        <v>29</v>
      </c>
      <c r="E708" t="s">
        <v>15</v>
      </c>
      <c r="F708" t="s">
        <v>29</v>
      </c>
      <c r="G708" t="s">
        <v>551</v>
      </c>
      <c r="H708" t="s">
        <v>578</v>
      </c>
      <c r="I708"/>
      <c r="J708">
        <v>42</v>
      </c>
    </row>
    <row r="709" spans="1:12" x14ac:dyDescent="0.2">
      <c r="A709" t="s">
        <v>18</v>
      </c>
      <c r="B709" t="s">
        <v>95</v>
      </c>
      <c r="C709" t="s">
        <v>13</v>
      </c>
      <c r="D709" t="s">
        <v>29</v>
      </c>
      <c r="E709" t="s">
        <v>15</v>
      </c>
      <c r="F709" t="s">
        <v>29</v>
      </c>
      <c r="G709" t="s">
        <v>538</v>
      </c>
      <c r="H709" t="s">
        <v>579</v>
      </c>
      <c r="I709"/>
      <c r="J709">
        <v>35</v>
      </c>
    </row>
    <row r="710" spans="1:12" x14ac:dyDescent="0.2">
      <c r="A710" t="s">
        <v>18</v>
      </c>
      <c r="B710" t="s">
        <v>95</v>
      </c>
      <c r="C710" t="s">
        <v>13</v>
      </c>
      <c r="D710" t="s">
        <v>31</v>
      </c>
      <c r="E710" t="s">
        <v>15</v>
      </c>
      <c r="F710" t="s">
        <v>31</v>
      </c>
      <c r="G710" t="s">
        <v>544</v>
      </c>
      <c r="H710" t="s">
        <v>550</v>
      </c>
      <c r="I710"/>
      <c r="J710">
        <v>22</v>
      </c>
    </row>
    <row r="711" spans="1:12" x14ac:dyDescent="0.2">
      <c r="A711" t="s">
        <v>18</v>
      </c>
      <c r="B711" t="s">
        <v>95</v>
      </c>
      <c r="C711" t="s">
        <v>13</v>
      </c>
      <c r="D711" t="s">
        <v>31</v>
      </c>
      <c r="E711" t="s">
        <v>15</v>
      </c>
      <c r="F711" t="s">
        <v>31</v>
      </c>
      <c r="G711" t="s">
        <v>580</v>
      </c>
      <c r="H711" t="s">
        <v>581</v>
      </c>
      <c r="I711"/>
      <c r="J711">
        <v>712</v>
      </c>
    </row>
    <row r="712" spans="1:12" x14ac:dyDescent="0.2">
      <c r="A712" t="s">
        <v>18</v>
      </c>
      <c r="B712" t="s">
        <v>95</v>
      </c>
      <c r="C712" t="s">
        <v>13</v>
      </c>
      <c r="D712" t="s">
        <v>31</v>
      </c>
      <c r="E712" t="s">
        <v>15</v>
      </c>
      <c r="F712" t="s">
        <v>31</v>
      </c>
      <c r="G712" t="s">
        <v>551</v>
      </c>
      <c r="H712"/>
      <c r="I712"/>
      <c r="J712">
        <v>50</v>
      </c>
      <c r="L712" t="s">
        <v>582</v>
      </c>
    </row>
    <row r="713" spans="1:12" x14ac:dyDescent="0.2">
      <c r="A713" t="s">
        <v>18</v>
      </c>
      <c r="B713" t="s">
        <v>95</v>
      </c>
      <c r="C713" t="s">
        <v>13</v>
      </c>
      <c r="D713" t="s">
        <v>31</v>
      </c>
      <c r="E713" t="s">
        <v>15</v>
      </c>
      <c r="F713" t="s">
        <v>31</v>
      </c>
      <c r="G713" t="s">
        <v>580</v>
      </c>
      <c r="H713" t="s">
        <v>583</v>
      </c>
      <c r="I713"/>
      <c r="J713">
        <v>5000</v>
      </c>
    </row>
    <row r="714" spans="1:12" x14ac:dyDescent="0.2">
      <c r="A714" t="s">
        <v>18</v>
      </c>
      <c r="B714" t="s">
        <v>95</v>
      </c>
      <c r="C714" t="s">
        <v>13</v>
      </c>
      <c r="D714" t="s">
        <v>31</v>
      </c>
      <c r="E714" t="s">
        <v>15</v>
      </c>
      <c r="F714" t="s">
        <v>31</v>
      </c>
      <c r="G714" t="s">
        <v>538</v>
      </c>
      <c r="H714" t="s">
        <v>460</v>
      </c>
      <c r="I714"/>
      <c r="J714">
        <v>100</v>
      </c>
    </row>
    <row r="715" spans="1:12" x14ac:dyDescent="0.2">
      <c r="A715" t="s">
        <v>18</v>
      </c>
      <c r="B715" t="s">
        <v>95</v>
      </c>
      <c r="C715" t="s">
        <v>13</v>
      </c>
      <c r="D715" t="s">
        <v>31</v>
      </c>
      <c r="E715" t="s">
        <v>15</v>
      </c>
      <c r="F715" t="s">
        <v>31</v>
      </c>
      <c r="G715" t="s">
        <v>546</v>
      </c>
      <c r="H715" t="s">
        <v>584</v>
      </c>
      <c r="I715"/>
      <c r="J715">
        <v>50</v>
      </c>
    </row>
    <row r="716" spans="1:12" x14ac:dyDescent="0.2">
      <c r="A716" t="s">
        <v>18</v>
      </c>
      <c r="B716" t="s">
        <v>95</v>
      </c>
      <c r="C716" t="s">
        <v>13</v>
      </c>
      <c r="D716" t="s">
        <v>31</v>
      </c>
      <c r="E716" t="s">
        <v>15</v>
      </c>
      <c r="F716" t="s">
        <v>31</v>
      </c>
      <c r="G716" t="s">
        <v>580</v>
      </c>
      <c r="H716" t="s">
        <v>549</v>
      </c>
      <c r="I716"/>
      <c r="J716">
        <v>565.77</v>
      </c>
    </row>
    <row r="717" spans="1:12" x14ac:dyDescent="0.2">
      <c r="A717" t="s">
        <v>18</v>
      </c>
      <c r="B717" t="s">
        <v>95</v>
      </c>
      <c r="C717" t="s">
        <v>13</v>
      </c>
      <c r="D717" t="s">
        <v>457</v>
      </c>
      <c r="E717" t="s">
        <v>15</v>
      </c>
      <c r="F717" t="s">
        <v>457</v>
      </c>
      <c r="G717" t="s">
        <v>546</v>
      </c>
      <c r="H717" t="s">
        <v>584</v>
      </c>
      <c r="I717"/>
      <c r="J717">
        <v>600</v>
      </c>
    </row>
    <row r="718" spans="1:12" x14ac:dyDescent="0.2">
      <c r="A718" t="s">
        <v>18</v>
      </c>
      <c r="B718" t="s">
        <v>95</v>
      </c>
      <c r="C718" t="s">
        <v>13</v>
      </c>
      <c r="D718" t="s">
        <v>457</v>
      </c>
      <c r="E718" t="s">
        <v>15</v>
      </c>
      <c r="F718" t="s">
        <v>457</v>
      </c>
      <c r="G718" t="s">
        <v>538</v>
      </c>
      <c r="H718" t="s">
        <v>585</v>
      </c>
      <c r="I718"/>
      <c r="J718">
        <v>120</v>
      </c>
    </row>
    <row r="719" spans="1:12" x14ac:dyDescent="0.2">
      <c r="A719" t="s">
        <v>12</v>
      </c>
      <c r="B719" t="s">
        <v>95</v>
      </c>
      <c r="C719" t="s">
        <v>13</v>
      </c>
      <c r="D719" t="s">
        <v>586</v>
      </c>
      <c r="E719" t="s">
        <v>15</v>
      </c>
      <c r="F719" t="s">
        <v>586</v>
      </c>
      <c r="G719" t="s">
        <v>538</v>
      </c>
      <c r="H719" t="s">
        <v>587</v>
      </c>
      <c r="I719"/>
      <c r="J719">
        <v>36.78</v>
      </c>
    </row>
    <row r="720" spans="1:12" x14ac:dyDescent="0.2">
      <c r="A720" t="s">
        <v>18</v>
      </c>
      <c r="B720" t="s">
        <v>95</v>
      </c>
      <c r="C720" t="s">
        <v>13</v>
      </c>
      <c r="D720" t="s">
        <v>191</v>
      </c>
      <c r="E720" t="s">
        <v>15</v>
      </c>
      <c r="F720" t="s">
        <v>191</v>
      </c>
      <c r="G720" t="s">
        <v>570</v>
      </c>
      <c r="H720"/>
      <c r="I720"/>
      <c r="J720">
        <v>101</v>
      </c>
    </row>
    <row r="721" spans="1:10" x14ac:dyDescent="0.2">
      <c r="A721" t="s">
        <v>18</v>
      </c>
      <c r="B721" t="s">
        <v>95</v>
      </c>
      <c r="C721" t="s">
        <v>13</v>
      </c>
      <c r="D721" t="s">
        <v>191</v>
      </c>
      <c r="E721" t="s">
        <v>15</v>
      </c>
      <c r="F721" t="s">
        <v>191</v>
      </c>
      <c r="G721" t="s">
        <v>544</v>
      </c>
      <c r="H721" t="s">
        <v>550</v>
      </c>
      <c r="I721"/>
      <c r="J721">
        <v>11</v>
      </c>
    </row>
    <row r="722" spans="1:10" x14ac:dyDescent="0.2">
      <c r="A722" t="s">
        <v>18</v>
      </c>
      <c r="B722" t="s">
        <v>95</v>
      </c>
      <c r="C722" t="s">
        <v>13</v>
      </c>
      <c r="D722" t="s">
        <v>191</v>
      </c>
      <c r="E722" t="s">
        <v>15</v>
      </c>
      <c r="F722" t="s">
        <v>191</v>
      </c>
      <c r="G722" t="s">
        <v>580</v>
      </c>
      <c r="H722" t="s">
        <v>588</v>
      </c>
      <c r="I722"/>
      <c r="J722">
        <v>2925.7</v>
      </c>
    </row>
    <row r="723" spans="1:10" x14ac:dyDescent="0.2">
      <c r="A723" t="s">
        <v>18</v>
      </c>
      <c r="B723" t="s">
        <v>95</v>
      </c>
      <c r="C723" t="s">
        <v>13</v>
      </c>
      <c r="D723" t="s">
        <v>191</v>
      </c>
      <c r="E723" t="s">
        <v>15</v>
      </c>
      <c r="F723" t="s">
        <v>191</v>
      </c>
      <c r="G723" t="s">
        <v>561</v>
      </c>
      <c r="H723"/>
      <c r="I723"/>
      <c r="J723">
        <v>220</v>
      </c>
    </row>
    <row r="724" spans="1:10" x14ac:dyDescent="0.2">
      <c r="A724" t="s">
        <v>18</v>
      </c>
      <c r="B724" t="s">
        <v>95</v>
      </c>
      <c r="C724" t="s">
        <v>13</v>
      </c>
      <c r="D724" t="s">
        <v>190</v>
      </c>
      <c r="E724" t="s">
        <v>15</v>
      </c>
      <c r="F724" t="s">
        <v>190</v>
      </c>
      <c r="G724" t="s">
        <v>535</v>
      </c>
      <c r="H724" t="s">
        <v>579</v>
      </c>
      <c r="I724"/>
      <c r="J724">
        <v>110</v>
      </c>
    </row>
    <row r="725" spans="1:10" x14ac:dyDescent="0.2">
      <c r="A725" t="s">
        <v>18</v>
      </c>
      <c r="B725" t="s">
        <v>95</v>
      </c>
      <c r="C725" t="s">
        <v>13</v>
      </c>
      <c r="D725" t="s">
        <v>391</v>
      </c>
      <c r="E725" t="s">
        <v>15</v>
      </c>
      <c r="F725" t="s">
        <v>391</v>
      </c>
      <c r="G725" t="s">
        <v>538</v>
      </c>
      <c r="H725" t="s">
        <v>589</v>
      </c>
      <c r="I725"/>
      <c r="J725">
        <v>30</v>
      </c>
    </row>
    <row r="726" spans="1:10" x14ac:dyDescent="0.2">
      <c r="A726" t="s">
        <v>18</v>
      </c>
      <c r="B726" t="s">
        <v>95</v>
      </c>
      <c r="C726" t="s">
        <v>13</v>
      </c>
      <c r="D726" t="s">
        <v>391</v>
      </c>
      <c r="E726" t="s">
        <v>15</v>
      </c>
      <c r="F726" t="s">
        <v>391</v>
      </c>
      <c r="G726" t="s">
        <v>570</v>
      </c>
      <c r="H726"/>
      <c r="I726"/>
      <c r="J726">
        <v>9</v>
      </c>
    </row>
    <row r="727" spans="1:10" x14ac:dyDescent="0.2">
      <c r="A727" t="s">
        <v>18</v>
      </c>
      <c r="B727" t="s">
        <v>95</v>
      </c>
      <c r="C727" t="s">
        <v>13</v>
      </c>
      <c r="D727" t="s">
        <v>197</v>
      </c>
      <c r="E727" t="s">
        <v>15</v>
      </c>
      <c r="F727" t="s">
        <v>197</v>
      </c>
      <c r="G727" t="s">
        <v>546</v>
      </c>
      <c r="H727" t="s">
        <v>568</v>
      </c>
      <c r="I727"/>
      <c r="J727">
        <v>600</v>
      </c>
    </row>
    <row r="728" spans="1:10" x14ac:dyDescent="0.2">
      <c r="A728" t="s">
        <v>18</v>
      </c>
      <c r="B728" t="s">
        <v>95</v>
      </c>
      <c r="C728" t="s">
        <v>13</v>
      </c>
      <c r="D728" t="s">
        <v>590</v>
      </c>
      <c r="E728" t="s">
        <v>15</v>
      </c>
      <c r="F728" t="s">
        <v>590</v>
      </c>
      <c r="G728" t="s">
        <v>546</v>
      </c>
      <c r="H728" t="s">
        <v>381</v>
      </c>
      <c r="I728"/>
      <c r="J728">
        <v>300</v>
      </c>
    </row>
    <row r="729" spans="1:10" x14ac:dyDescent="0.2">
      <c r="A729" t="s">
        <v>18</v>
      </c>
      <c r="B729" t="s">
        <v>95</v>
      </c>
      <c r="C729" t="s">
        <v>13</v>
      </c>
      <c r="D729" t="s">
        <v>590</v>
      </c>
      <c r="E729" t="s">
        <v>15</v>
      </c>
      <c r="F729" t="s">
        <v>590</v>
      </c>
      <c r="G729" t="s">
        <v>542</v>
      </c>
      <c r="H729" t="s">
        <v>591</v>
      </c>
      <c r="I729"/>
      <c r="J729">
        <v>250</v>
      </c>
    </row>
    <row r="730" spans="1:10" x14ac:dyDescent="0.2">
      <c r="A730" t="s">
        <v>18</v>
      </c>
      <c r="B730" t="s">
        <v>95</v>
      </c>
      <c r="C730" t="s">
        <v>13</v>
      </c>
      <c r="D730" t="s">
        <v>38</v>
      </c>
      <c r="E730" t="s">
        <v>15</v>
      </c>
      <c r="F730" t="s">
        <v>38</v>
      </c>
      <c r="G730" t="s">
        <v>544</v>
      </c>
      <c r="H730" t="s">
        <v>550</v>
      </c>
      <c r="I730"/>
      <c r="J730">
        <v>22</v>
      </c>
    </row>
    <row r="731" spans="1:10" x14ac:dyDescent="0.2">
      <c r="A731" t="s">
        <v>18</v>
      </c>
      <c r="B731" t="s">
        <v>95</v>
      </c>
      <c r="C731" t="s">
        <v>13</v>
      </c>
      <c r="D731" t="s">
        <v>201</v>
      </c>
      <c r="E731" t="s">
        <v>15</v>
      </c>
      <c r="F731" t="s">
        <v>201</v>
      </c>
      <c r="G731" t="s">
        <v>546</v>
      </c>
      <c r="H731" t="s">
        <v>592</v>
      </c>
      <c r="I731"/>
      <c r="J731">
        <v>80</v>
      </c>
    </row>
    <row r="732" spans="1:10" x14ac:dyDescent="0.2">
      <c r="A732" t="s">
        <v>18</v>
      </c>
      <c r="B732" t="s">
        <v>95</v>
      </c>
      <c r="C732" t="s">
        <v>13</v>
      </c>
      <c r="D732" t="s">
        <v>127</v>
      </c>
      <c r="E732" t="s">
        <v>42</v>
      </c>
      <c r="F732" t="s">
        <v>127</v>
      </c>
      <c r="G732" t="s">
        <v>593</v>
      </c>
      <c r="H732" t="s">
        <v>594</v>
      </c>
      <c r="I732"/>
      <c r="J732">
        <v>3000</v>
      </c>
    </row>
    <row r="733" spans="1:10" x14ac:dyDescent="0.2">
      <c r="A733" t="s">
        <v>18</v>
      </c>
      <c r="B733" t="s">
        <v>95</v>
      </c>
      <c r="C733" t="s">
        <v>13</v>
      </c>
      <c r="D733" t="s">
        <v>127</v>
      </c>
      <c r="E733" t="s">
        <v>42</v>
      </c>
      <c r="F733" t="s">
        <v>127</v>
      </c>
      <c r="G733" t="s">
        <v>544</v>
      </c>
      <c r="H733" t="s">
        <v>454</v>
      </c>
      <c r="I733"/>
      <c r="J733">
        <v>20</v>
      </c>
    </row>
    <row r="734" spans="1:10" x14ac:dyDescent="0.2">
      <c r="A734" t="s">
        <v>18</v>
      </c>
      <c r="B734" t="s">
        <v>95</v>
      </c>
      <c r="C734" t="s">
        <v>13</v>
      </c>
      <c r="D734" t="s">
        <v>127</v>
      </c>
      <c r="E734" t="s">
        <v>42</v>
      </c>
      <c r="F734" t="s">
        <v>127</v>
      </c>
      <c r="G734" t="s">
        <v>595</v>
      </c>
      <c r="H734" t="s">
        <v>596</v>
      </c>
      <c r="I734"/>
      <c r="J734">
        <v>377.4</v>
      </c>
    </row>
    <row r="735" spans="1:10" x14ac:dyDescent="0.2">
      <c r="A735" t="s">
        <v>18</v>
      </c>
      <c r="B735" t="s">
        <v>95</v>
      </c>
      <c r="C735" t="s">
        <v>13</v>
      </c>
      <c r="D735" t="s">
        <v>208</v>
      </c>
      <c r="E735" t="s">
        <v>15</v>
      </c>
      <c r="F735" t="s">
        <v>208</v>
      </c>
      <c r="G735" t="s">
        <v>597</v>
      </c>
      <c r="H735" t="s">
        <v>598</v>
      </c>
      <c r="I735"/>
      <c r="J735">
        <v>100</v>
      </c>
    </row>
    <row r="736" spans="1:10" x14ac:dyDescent="0.2">
      <c r="A736" t="s">
        <v>18</v>
      </c>
      <c r="B736" t="s">
        <v>95</v>
      </c>
      <c r="C736" t="s">
        <v>13</v>
      </c>
      <c r="D736" t="s">
        <v>208</v>
      </c>
      <c r="E736" t="s">
        <v>42</v>
      </c>
      <c r="F736" t="s">
        <v>208</v>
      </c>
      <c r="G736" t="s">
        <v>570</v>
      </c>
      <c r="H736"/>
      <c r="I736"/>
      <c r="J736">
        <v>26.9</v>
      </c>
    </row>
    <row r="737" spans="1:12" x14ac:dyDescent="0.2">
      <c r="A737" t="s">
        <v>18</v>
      </c>
      <c r="B737" t="s">
        <v>95</v>
      </c>
      <c r="C737" t="s">
        <v>13</v>
      </c>
      <c r="D737" t="s">
        <v>208</v>
      </c>
      <c r="E737" t="s">
        <v>15</v>
      </c>
      <c r="F737" t="s">
        <v>208</v>
      </c>
      <c r="G737" t="s">
        <v>570</v>
      </c>
      <c r="H737"/>
      <c r="I737"/>
      <c r="J737">
        <v>5</v>
      </c>
    </row>
    <row r="738" spans="1:12" x14ac:dyDescent="0.2">
      <c r="A738" t="s">
        <v>18</v>
      </c>
      <c r="B738" t="s">
        <v>95</v>
      </c>
      <c r="C738" t="s">
        <v>13</v>
      </c>
      <c r="D738" t="s">
        <v>214</v>
      </c>
      <c r="E738" t="s">
        <v>15</v>
      </c>
      <c r="F738" t="s">
        <v>214</v>
      </c>
      <c r="G738" t="s">
        <v>597</v>
      </c>
      <c r="H738" t="s">
        <v>599</v>
      </c>
      <c r="I738"/>
      <c r="J738">
        <v>300</v>
      </c>
    </row>
    <row r="739" spans="1:12" x14ac:dyDescent="0.2">
      <c r="A739" t="s">
        <v>18</v>
      </c>
      <c r="B739" t="s">
        <v>95</v>
      </c>
      <c r="C739" t="s">
        <v>13</v>
      </c>
      <c r="D739" t="s">
        <v>214</v>
      </c>
      <c r="E739" t="s">
        <v>15</v>
      </c>
      <c r="F739" t="s">
        <v>41</v>
      </c>
      <c r="G739" t="s">
        <v>600</v>
      </c>
      <c r="H739" t="s">
        <v>601</v>
      </c>
      <c r="I739"/>
      <c r="J739">
        <v>250</v>
      </c>
    </row>
    <row r="740" spans="1:12" x14ac:dyDescent="0.2">
      <c r="A740" t="s">
        <v>12</v>
      </c>
      <c r="B740" t="s">
        <v>95</v>
      </c>
      <c r="C740" t="s">
        <v>13</v>
      </c>
      <c r="D740" t="s">
        <v>214</v>
      </c>
      <c r="E740" t="s">
        <v>15</v>
      </c>
      <c r="F740" t="s">
        <v>214</v>
      </c>
      <c r="G740" t="s">
        <v>570</v>
      </c>
      <c r="H740"/>
      <c r="I740"/>
      <c r="J740">
        <v>40</v>
      </c>
    </row>
    <row r="741" spans="1:12" x14ac:dyDescent="0.2">
      <c r="A741" t="s">
        <v>18</v>
      </c>
      <c r="B741" t="s">
        <v>95</v>
      </c>
      <c r="C741" t="s">
        <v>13</v>
      </c>
      <c r="D741" t="s">
        <v>474</v>
      </c>
      <c r="E741" t="s">
        <v>42</v>
      </c>
      <c r="F741" t="s">
        <v>474</v>
      </c>
      <c r="G741" t="s">
        <v>542</v>
      </c>
      <c r="H741" t="s">
        <v>602</v>
      </c>
      <c r="I741"/>
      <c r="J741">
        <v>200</v>
      </c>
    </row>
    <row r="742" spans="1:12" x14ac:dyDescent="0.2">
      <c r="A742" t="s">
        <v>18</v>
      </c>
      <c r="B742" t="s">
        <v>95</v>
      </c>
      <c r="C742" t="s">
        <v>13</v>
      </c>
      <c r="D742" t="s">
        <v>474</v>
      </c>
      <c r="E742" t="s">
        <v>42</v>
      </c>
      <c r="F742" t="s">
        <v>474</v>
      </c>
      <c r="G742" t="s">
        <v>546</v>
      </c>
      <c r="H742" t="s">
        <v>584</v>
      </c>
      <c r="I742"/>
      <c r="J742">
        <v>800</v>
      </c>
    </row>
    <row r="743" spans="1:12" x14ac:dyDescent="0.2">
      <c r="A743" t="s">
        <v>18</v>
      </c>
      <c r="B743" t="s">
        <v>95</v>
      </c>
      <c r="C743" t="s">
        <v>13</v>
      </c>
      <c r="D743" t="s">
        <v>216</v>
      </c>
      <c r="E743" t="s">
        <v>42</v>
      </c>
      <c r="F743" t="s">
        <v>216</v>
      </c>
      <c r="G743" t="s">
        <v>546</v>
      </c>
      <c r="H743" t="s">
        <v>584</v>
      </c>
      <c r="I743"/>
      <c r="J743">
        <v>300</v>
      </c>
    </row>
    <row r="744" spans="1:12" x14ac:dyDescent="0.2">
      <c r="A744" t="s">
        <v>18</v>
      </c>
      <c r="B744" t="s">
        <v>95</v>
      </c>
      <c r="C744" t="s">
        <v>13</v>
      </c>
      <c r="D744" t="s">
        <v>52</v>
      </c>
      <c r="E744" t="s">
        <v>42</v>
      </c>
      <c r="F744" t="s">
        <v>52</v>
      </c>
      <c r="G744" t="s">
        <v>551</v>
      </c>
      <c r="H744" t="s">
        <v>603</v>
      </c>
      <c r="I744"/>
      <c r="J744">
        <v>60</v>
      </c>
      <c r="L744" t="s">
        <v>604</v>
      </c>
    </row>
    <row r="745" spans="1:12" x14ac:dyDescent="0.2">
      <c r="A745" t="s">
        <v>18</v>
      </c>
      <c r="B745" t="s">
        <v>95</v>
      </c>
      <c r="C745" t="s">
        <v>13</v>
      </c>
      <c r="D745" t="s">
        <v>52</v>
      </c>
      <c r="E745" t="s">
        <v>42</v>
      </c>
      <c r="F745" t="s">
        <v>52</v>
      </c>
      <c r="G745" t="s">
        <v>544</v>
      </c>
      <c r="H745" t="s">
        <v>550</v>
      </c>
      <c r="I745"/>
      <c r="J745">
        <v>22</v>
      </c>
    </row>
    <row r="746" spans="1:12" x14ac:dyDescent="0.2">
      <c r="A746" t="s">
        <v>18</v>
      </c>
      <c r="B746" t="s">
        <v>95</v>
      </c>
      <c r="C746" t="s">
        <v>13</v>
      </c>
      <c r="D746" t="s">
        <v>52</v>
      </c>
      <c r="E746" t="s">
        <v>42</v>
      </c>
      <c r="F746" t="s">
        <v>41</v>
      </c>
      <c r="G746" t="s">
        <v>538</v>
      </c>
      <c r="H746" t="s">
        <v>605</v>
      </c>
      <c r="I746"/>
      <c r="J746">
        <v>447</v>
      </c>
    </row>
    <row r="747" spans="1:12" x14ac:dyDescent="0.2">
      <c r="A747" t="s">
        <v>27</v>
      </c>
      <c r="B747" t="s">
        <v>95</v>
      </c>
      <c r="C747" t="s">
        <v>13</v>
      </c>
      <c r="D747" t="s">
        <v>52</v>
      </c>
      <c r="E747" t="s">
        <v>42</v>
      </c>
      <c r="F747" t="s">
        <v>52</v>
      </c>
      <c r="G747" t="s">
        <v>595</v>
      </c>
      <c r="H747" t="s">
        <v>606</v>
      </c>
      <c r="I747"/>
      <c r="J747">
        <v>14.15</v>
      </c>
    </row>
    <row r="748" spans="1:12" x14ac:dyDescent="0.2">
      <c r="A748" t="s">
        <v>12</v>
      </c>
      <c r="B748" t="s">
        <v>95</v>
      </c>
      <c r="C748" t="s">
        <v>13</v>
      </c>
      <c r="D748" t="s">
        <v>52</v>
      </c>
      <c r="E748" t="s">
        <v>42</v>
      </c>
      <c r="F748" t="s">
        <v>52</v>
      </c>
      <c r="G748" t="s">
        <v>542</v>
      </c>
      <c r="H748" t="s">
        <v>583</v>
      </c>
      <c r="I748"/>
      <c r="J748">
        <v>150</v>
      </c>
    </row>
    <row r="749" spans="1:12" x14ac:dyDescent="0.2">
      <c r="A749" t="s">
        <v>12</v>
      </c>
      <c r="B749" t="s">
        <v>110</v>
      </c>
      <c r="C749" t="s">
        <v>13</v>
      </c>
      <c r="D749" t="s">
        <v>52</v>
      </c>
      <c r="E749" t="s">
        <v>42</v>
      </c>
      <c r="F749" t="s">
        <v>52</v>
      </c>
      <c r="G749" t="s">
        <v>551</v>
      </c>
      <c r="H749" t="s">
        <v>607</v>
      </c>
      <c r="I749"/>
      <c r="J749">
        <v>17.34</v>
      </c>
      <c r="K749" t="s">
        <v>152</v>
      </c>
      <c r="L749" t="s">
        <v>153</v>
      </c>
    </row>
    <row r="750" spans="1:12" x14ac:dyDescent="0.2">
      <c r="A750" t="s">
        <v>18</v>
      </c>
      <c r="B750" t="s">
        <v>95</v>
      </c>
      <c r="C750" t="s">
        <v>13</v>
      </c>
      <c r="D750" t="s">
        <v>41</v>
      </c>
      <c r="E750" t="s">
        <v>42</v>
      </c>
      <c r="F750" t="s">
        <v>41</v>
      </c>
      <c r="G750" t="s">
        <v>546</v>
      </c>
      <c r="H750" t="s">
        <v>584</v>
      </c>
      <c r="I750"/>
      <c r="J750">
        <v>200</v>
      </c>
    </row>
    <row r="751" spans="1:12" x14ac:dyDescent="0.2">
      <c r="A751" t="s">
        <v>18</v>
      </c>
      <c r="B751" t="s">
        <v>95</v>
      </c>
      <c r="C751" t="s">
        <v>13</v>
      </c>
      <c r="D751" t="s">
        <v>41</v>
      </c>
      <c r="E751" t="s">
        <v>42</v>
      </c>
      <c r="F751" t="s">
        <v>41</v>
      </c>
      <c r="G751" t="s">
        <v>538</v>
      </c>
      <c r="H751" t="s">
        <v>608</v>
      </c>
      <c r="I751"/>
      <c r="J751">
        <v>171.69</v>
      </c>
    </row>
    <row r="752" spans="1:12" x14ac:dyDescent="0.2">
      <c r="A752" t="s">
        <v>18</v>
      </c>
      <c r="B752" t="s">
        <v>95</v>
      </c>
      <c r="C752" t="s">
        <v>13</v>
      </c>
      <c r="D752" t="s">
        <v>41</v>
      </c>
      <c r="E752" t="s">
        <v>42</v>
      </c>
      <c r="F752" t="s">
        <v>41</v>
      </c>
      <c r="G752" t="s">
        <v>538</v>
      </c>
      <c r="H752" t="s">
        <v>340</v>
      </c>
      <c r="I752"/>
      <c r="J752">
        <v>1518</v>
      </c>
    </row>
    <row r="753" spans="1:12" x14ac:dyDescent="0.2">
      <c r="A753" t="s">
        <v>12</v>
      </c>
      <c r="B753" t="s">
        <v>95</v>
      </c>
      <c r="C753" t="s">
        <v>13</v>
      </c>
      <c r="D753" t="s">
        <v>43</v>
      </c>
      <c r="E753" t="s">
        <v>42</v>
      </c>
      <c r="F753" t="s">
        <v>43</v>
      </c>
      <c r="G753" t="s">
        <v>546</v>
      </c>
      <c r="H753" t="s">
        <v>584</v>
      </c>
      <c r="I753"/>
      <c r="J753">
        <v>100</v>
      </c>
      <c r="L753" t="s">
        <v>584</v>
      </c>
    </row>
    <row r="754" spans="1:12" x14ac:dyDescent="0.2">
      <c r="A754" t="s">
        <v>18</v>
      </c>
      <c r="B754" t="s">
        <v>125</v>
      </c>
      <c r="C754" t="s">
        <v>13</v>
      </c>
      <c r="D754" t="s">
        <v>231</v>
      </c>
      <c r="E754" t="s">
        <v>42</v>
      </c>
      <c r="F754" t="s">
        <v>231</v>
      </c>
      <c r="G754" t="s">
        <v>561</v>
      </c>
      <c r="H754" t="s">
        <v>609</v>
      </c>
      <c r="I754"/>
      <c r="J754">
        <v>150</v>
      </c>
      <c r="K754" t="s">
        <v>235</v>
      </c>
      <c r="L754" t="s">
        <v>236</v>
      </c>
    </row>
    <row r="755" spans="1:12" x14ac:dyDescent="0.2">
      <c r="A755" t="s">
        <v>18</v>
      </c>
      <c r="B755" t="s">
        <v>95</v>
      </c>
      <c r="C755" t="s">
        <v>13</v>
      </c>
      <c r="D755" t="s">
        <v>231</v>
      </c>
      <c r="E755" t="s">
        <v>42</v>
      </c>
      <c r="F755" t="s">
        <v>231</v>
      </c>
      <c r="G755" t="s">
        <v>546</v>
      </c>
      <c r="H755" t="s">
        <v>584</v>
      </c>
      <c r="I755"/>
      <c r="J755">
        <v>100</v>
      </c>
    </row>
    <row r="756" spans="1:12" x14ac:dyDescent="0.2">
      <c r="A756" t="s">
        <v>18</v>
      </c>
      <c r="B756" t="s">
        <v>125</v>
      </c>
      <c r="C756" t="s">
        <v>13</v>
      </c>
      <c r="D756" t="s">
        <v>231</v>
      </c>
      <c r="E756" t="s">
        <v>42</v>
      </c>
      <c r="F756" t="s">
        <v>231</v>
      </c>
      <c r="G756" t="s">
        <v>551</v>
      </c>
      <c r="H756"/>
      <c r="I756"/>
      <c r="J756">
        <v>237.91</v>
      </c>
      <c r="K756" t="s">
        <v>574</v>
      </c>
      <c r="L756" t="s">
        <v>575</v>
      </c>
    </row>
    <row r="757" spans="1:12" x14ac:dyDescent="0.2">
      <c r="A757" t="s">
        <v>18</v>
      </c>
      <c r="B757" t="s">
        <v>95</v>
      </c>
      <c r="C757" t="s">
        <v>13</v>
      </c>
      <c r="D757" t="s">
        <v>231</v>
      </c>
      <c r="E757" t="s">
        <v>42</v>
      </c>
      <c r="F757" t="s">
        <v>231</v>
      </c>
      <c r="G757" t="s">
        <v>538</v>
      </c>
      <c r="H757"/>
      <c r="I757"/>
      <c r="J757">
        <v>10</v>
      </c>
    </row>
    <row r="758" spans="1:12" x14ac:dyDescent="0.2">
      <c r="A758" t="s">
        <v>18</v>
      </c>
      <c r="B758" t="s">
        <v>95</v>
      </c>
      <c r="C758" t="s">
        <v>13</v>
      </c>
      <c r="D758" t="s">
        <v>45</v>
      </c>
      <c r="E758" t="s">
        <v>42</v>
      </c>
      <c r="F758" t="s">
        <v>45</v>
      </c>
      <c r="G758" t="s">
        <v>570</v>
      </c>
      <c r="H758" t="s">
        <v>610</v>
      </c>
      <c r="I758"/>
      <c r="J758">
        <v>52</v>
      </c>
    </row>
    <row r="759" spans="1:12" x14ac:dyDescent="0.2">
      <c r="A759" t="s">
        <v>18</v>
      </c>
      <c r="B759" t="s">
        <v>95</v>
      </c>
      <c r="C759" t="s">
        <v>13</v>
      </c>
      <c r="D759" t="s">
        <v>45</v>
      </c>
      <c r="E759" t="s">
        <v>42</v>
      </c>
      <c r="F759" t="s">
        <v>45</v>
      </c>
      <c r="G759" t="s">
        <v>546</v>
      </c>
      <c r="H759" t="s">
        <v>584</v>
      </c>
      <c r="I759"/>
      <c r="J759">
        <v>400</v>
      </c>
    </row>
    <row r="760" spans="1:12" x14ac:dyDescent="0.2">
      <c r="A760" t="s">
        <v>18</v>
      </c>
      <c r="B760" t="s">
        <v>95</v>
      </c>
      <c r="C760" t="s">
        <v>13</v>
      </c>
      <c r="D760" t="s">
        <v>45</v>
      </c>
      <c r="E760" t="s">
        <v>42</v>
      </c>
      <c r="F760" t="s">
        <v>45</v>
      </c>
      <c r="G760" t="s">
        <v>542</v>
      </c>
      <c r="H760" t="s">
        <v>583</v>
      </c>
      <c r="I760"/>
      <c r="J760">
        <v>150</v>
      </c>
    </row>
    <row r="761" spans="1:12" x14ac:dyDescent="0.2">
      <c r="A761" t="s">
        <v>12</v>
      </c>
      <c r="B761" t="s">
        <v>95</v>
      </c>
      <c r="C761" t="s">
        <v>13</v>
      </c>
      <c r="D761" t="s">
        <v>611</v>
      </c>
      <c r="E761" t="s">
        <v>42</v>
      </c>
      <c r="F761" t="s">
        <v>611</v>
      </c>
      <c r="G761" t="s">
        <v>542</v>
      </c>
      <c r="H761" t="s">
        <v>583</v>
      </c>
      <c r="I761"/>
      <c r="J761">
        <v>300</v>
      </c>
    </row>
    <row r="762" spans="1:12" x14ac:dyDescent="0.2">
      <c r="A762" t="s">
        <v>12</v>
      </c>
      <c r="B762" t="s">
        <v>95</v>
      </c>
      <c r="C762" t="s">
        <v>13</v>
      </c>
      <c r="D762" t="s">
        <v>47</v>
      </c>
      <c r="E762" t="s">
        <v>42</v>
      </c>
      <c r="F762" t="s">
        <v>47</v>
      </c>
      <c r="G762" t="s">
        <v>546</v>
      </c>
      <c r="H762" t="s">
        <v>584</v>
      </c>
      <c r="I762"/>
      <c r="J762">
        <v>1300</v>
      </c>
      <c r="L762" t="s">
        <v>584</v>
      </c>
    </row>
    <row r="763" spans="1:12" x14ac:dyDescent="0.2">
      <c r="A763" t="s">
        <v>27</v>
      </c>
      <c r="B763" t="s">
        <v>95</v>
      </c>
      <c r="C763" t="s">
        <v>13</v>
      </c>
      <c r="D763" t="s">
        <v>48</v>
      </c>
      <c r="E763" t="s">
        <v>42</v>
      </c>
      <c r="F763" t="s">
        <v>48</v>
      </c>
      <c r="G763" t="s">
        <v>542</v>
      </c>
      <c r="H763" t="s">
        <v>583</v>
      </c>
      <c r="I763"/>
      <c r="J763">
        <v>900</v>
      </c>
    </row>
    <row r="764" spans="1:12" x14ac:dyDescent="0.2">
      <c r="A764" t="s">
        <v>215</v>
      </c>
      <c r="B764" t="s">
        <v>95</v>
      </c>
      <c r="C764" t="s">
        <v>13</v>
      </c>
      <c r="D764" t="s">
        <v>48</v>
      </c>
      <c r="E764" t="s">
        <v>42</v>
      </c>
      <c r="F764" t="s">
        <v>48</v>
      </c>
      <c r="G764" t="s">
        <v>546</v>
      </c>
      <c r="H764"/>
      <c r="I764"/>
      <c r="J764">
        <v>50</v>
      </c>
      <c r="L764" t="s">
        <v>547</v>
      </c>
    </row>
    <row r="765" spans="1:12" x14ac:dyDescent="0.2">
      <c r="A765" t="s">
        <v>18</v>
      </c>
      <c r="B765" t="s">
        <v>95</v>
      </c>
      <c r="C765" t="s">
        <v>13</v>
      </c>
      <c r="D765" t="s">
        <v>51</v>
      </c>
      <c r="E765" t="s">
        <v>42</v>
      </c>
      <c r="F765" t="s">
        <v>51</v>
      </c>
      <c r="G765" t="s">
        <v>544</v>
      </c>
      <c r="H765" t="s">
        <v>454</v>
      </c>
      <c r="I765"/>
      <c r="J765">
        <v>22</v>
      </c>
    </row>
    <row r="766" spans="1:12" x14ac:dyDescent="0.2">
      <c r="A766" t="s">
        <v>18</v>
      </c>
      <c r="B766" t="s">
        <v>95</v>
      </c>
      <c r="C766" t="s">
        <v>13</v>
      </c>
      <c r="D766" t="s">
        <v>54</v>
      </c>
      <c r="E766" t="s">
        <v>42</v>
      </c>
      <c r="F766" t="s">
        <v>54</v>
      </c>
      <c r="G766" t="s">
        <v>546</v>
      </c>
      <c r="H766" t="s">
        <v>584</v>
      </c>
      <c r="I766"/>
      <c r="J766">
        <v>220</v>
      </c>
    </row>
    <row r="767" spans="1:12" x14ac:dyDescent="0.2">
      <c r="A767" t="s">
        <v>18</v>
      </c>
      <c r="B767" t="s">
        <v>95</v>
      </c>
      <c r="C767" t="s">
        <v>13</v>
      </c>
      <c r="D767" t="s">
        <v>54</v>
      </c>
      <c r="E767" t="s">
        <v>42</v>
      </c>
      <c r="F767" t="s">
        <v>54</v>
      </c>
      <c r="G767" t="s">
        <v>546</v>
      </c>
      <c r="H767" t="s">
        <v>612</v>
      </c>
      <c r="I767"/>
      <c r="J767">
        <v>450</v>
      </c>
    </row>
    <row r="768" spans="1:12" x14ac:dyDescent="0.2">
      <c r="A768" t="s">
        <v>12</v>
      </c>
      <c r="B768" t="s">
        <v>125</v>
      </c>
      <c r="C768" t="s">
        <v>13</v>
      </c>
      <c r="D768" t="s">
        <v>54</v>
      </c>
      <c r="E768" t="s">
        <v>15</v>
      </c>
      <c r="F768" t="s">
        <v>253</v>
      </c>
      <c r="G768" t="s">
        <v>580</v>
      </c>
      <c r="H768" t="s">
        <v>613</v>
      </c>
      <c r="I768"/>
      <c r="J768">
        <v>3544</v>
      </c>
      <c r="L768" t="s">
        <v>523</v>
      </c>
    </row>
    <row r="769" spans="1:10" x14ac:dyDescent="0.2">
      <c r="A769" t="s">
        <v>12</v>
      </c>
      <c r="B769" t="s">
        <v>95</v>
      </c>
      <c r="C769" t="s">
        <v>13</v>
      </c>
      <c r="D769" t="s">
        <v>55</v>
      </c>
      <c r="E769" t="s">
        <v>42</v>
      </c>
      <c r="F769" t="s">
        <v>55</v>
      </c>
      <c r="G769" t="s">
        <v>570</v>
      </c>
      <c r="H769" t="s">
        <v>614</v>
      </c>
      <c r="I769"/>
      <c r="J769">
        <v>10</v>
      </c>
    </row>
    <row r="770" spans="1:10" x14ac:dyDescent="0.2">
      <c r="A770" t="s">
        <v>12</v>
      </c>
      <c r="B770" t="s">
        <v>95</v>
      </c>
      <c r="C770" t="s">
        <v>13</v>
      </c>
      <c r="D770" t="s">
        <v>55</v>
      </c>
      <c r="E770" t="s">
        <v>42</v>
      </c>
      <c r="F770" t="s">
        <v>55</v>
      </c>
      <c r="G770" t="s">
        <v>570</v>
      </c>
      <c r="H770" t="s">
        <v>615</v>
      </c>
      <c r="I770"/>
      <c r="J770">
        <v>17</v>
      </c>
    </row>
    <row r="771" spans="1:10" x14ac:dyDescent="0.2">
      <c r="A771" t="s">
        <v>12</v>
      </c>
      <c r="B771" t="s">
        <v>95</v>
      </c>
      <c r="C771" t="s">
        <v>13</v>
      </c>
      <c r="D771" t="s">
        <v>55</v>
      </c>
      <c r="E771" t="s">
        <v>42</v>
      </c>
      <c r="F771" t="s">
        <v>55</v>
      </c>
      <c r="G771" t="s">
        <v>570</v>
      </c>
      <c r="H771" t="s">
        <v>616</v>
      </c>
      <c r="I771"/>
      <c r="J771">
        <v>18</v>
      </c>
    </row>
    <row r="772" spans="1:10" x14ac:dyDescent="0.2">
      <c r="A772" t="s">
        <v>18</v>
      </c>
      <c r="B772" t="s">
        <v>95</v>
      </c>
      <c r="C772" t="s">
        <v>13</v>
      </c>
      <c r="D772" t="s">
        <v>55</v>
      </c>
      <c r="E772" t="s">
        <v>42</v>
      </c>
      <c r="F772" t="s">
        <v>55</v>
      </c>
      <c r="G772" t="s">
        <v>546</v>
      </c>
      <c r="H772" t="s">
        <v>584</v>
      </c>
      <c r="I772"/>
      <c r="J772">
        <v>200</v>
      </c>
    </row>
    <row r="773" spans="1:10" x14ac:dyDescent="0.2">
      <c r="A773" t="s">
        <v>18</v>
      </c>
      <c r="B773" t="s">
        <v>95</v>
      </c>
      <c r="C773" t="s">
        <v>13</v>
      </c>
      <c r="D773" t="s">
        <v>55</v>
      </c>
      <c r="E773" t="s">
        <v>42</v>
      </c>
      <c r="F773" t="s">
        <v>55</v>
      </c>
      <c r="G773" t="s">
        <v>580</v>
      </c>
      <c r="H773" t="s">
        <v>583</v>
      </c>
      <c r="I773"/>
      <c r="J773">
        <v>5000</v>
      </c>
    </row>
    <row r="774" spans="1:10" x14ac:dyDescent="0.2">
      <c r="A774" t="s">
        <v>12</v>
      </c>
      <c r="B774" t="s">
        <v>95</v>
      </c>
      <c r="C774" t="s">
        <v>13</v>
      </c>
      <c r="D774" t="s">
        <v>401</v>
      </c>
      <c r="E774" t="s">
        <v>42</v>
      </c>
      <c r="F774" t="s">
        <v>401</v>
      </c>
      <c r="G774" t="s">
        <v>538</v>
      </c>
      <c r="H774" t="s">
        <v>584</v>
      </c>
      <c r="I774"/>
      <c r="J774">
        <v>50</v>
      </c>
    </row>
    <row r="775" spans="1:10" x14ac:dyDescent="0.2">
      <c r="A775" t="s">
        <v>18</v>
      </c>
      <c r="B775" t="s">
        <v>95</v>
      </c>
      <c r="C775" t="s">
        <v>13</v>
      </c>
      <c r="D775" t="s">
        <v>401</v>
      </c>
      <c r="E775" t="s">
        <v>42</v>
      </c>
      <c r="F775" t="s">
        <v>401</v>
      </c>
      <c r="G775" t="s">
        <v>546</v>
      </c>
      <c r="H775" t="s">
        <v>584</v>
      </c>
      <c r="I775"/>
      <c r="J775">
        <v>1200</v>
      </c>
    </row>
    <row r="776" spans="1:10" x14ac:dyDescent="0.2">
      <c r="A776" t="s">
        <v>27</v>
      </c>
      <c r="B776" t="s">
        <v>95</v>
      </c>
      <c r="C776" t="s">
        <v>13</v>
      </c>
      <c r="D776" t="s">
        <v>56</v>
      </c>
      <c r="E776" t="s">
        <v>42</v>
      </c>
      <c r="F776" t="s">
        <v>56</v>
      </c>
      <c r="G776" t="s">
        <v>538</v>
      </c>
      <c r="H776" t="s">
        <v>576</v>
      </c>
      <c r="I776"/>
      <c r="J776">
        <v>2223</v>
      </c>
    </row>
    <row r="777" spans="1:10" x14ac:dyDescent="0.2">
      <c r="A777" t="s">
        <v>18</v>
      </c>
      <c r="B777" t="s">
        <v>95</v>
      </c>
      <c r="C777" t="s">
        <v>13</v>
      </c>
      <c r="D777" t="s">
        <v>49</v>
      </c>
      <c r="E777" t="s">
        <v>42</v>
      </c>
      <c r="F777" t="s">
        <v>49</v>
      </c>
      <c r="G777" t="s">
        <v>570</v>
      </c>
      <c r="H777"/>
      <c r="I777"/>
      <c r="J777">
        <v>34</v>
      </c>
    </row>
    <row r="778" spans="1:10" x14ac:dyDescent="0.2">
      <c r="A778" t="s">
        <v>18</v>
      </c>
      <c r="B778" t="s">
        <v>95</v>
      </c>
      <c r="C778" t="s">
        <v>13</v>
      </c>
      <c r="D778" t="s">
        <v>49</v>
      </c>
      <c r="E778" t="s">
        <v>42</v>
      </c>
      <c r="F778" t="s">
        <v>49</v>
      </c>
      <c r="G778" t="s">
        <v>544</v>
      </c>
      <c r="H778" t="s">
        <v>550</v>
      </c>
      <c r="I778"/>
      <c r="J778">
        <v>22</v>
      </c>
    </row>
    <row r="779" spans="1:10" x14ac:dyDescent="0.2">
      <c r="A779" t="s">
        <v>18</v>
      </c>
      <c r="B779" t="s">
        <v>95</v>
      </c>
      <c r="C779" t="s">
        <v>13</v>
      </c>
      <c r="D779" t="s">
        <v>49</v>
      </c>
      <c r="E779" t="s">
        <v>42</v>
      </c>
      <c r="F779" t="s">
        <v>49</v>
      </c>
      <c r="G779" t="s">
        <v>580</v>
      </c>
      <c r="H779" t="s">
        <v>549</v>
      </c>
      <c r="I779"/>
      <c r="J779">
        <v>272.43</v>
      </c>
    </row>
    <row r="780" spans="1:10" x14ac:dyDescent="0.2">
      <c r="A780" t="s">
        <v>12</v>
      </c>
      <c r="B780" t="s">
        <v>95</v>
      </c>
      <c r="C780" t="s">
        <v>13</v>
      </c>
      <c r="D780" t="s">
        <v>49</v>
      </c>
      <c r="E780" t="s">
        <v>42</v>
      </c>
      <c r="F780" t="s">
        <v>49</v>
      </c>
      <c r="G780" t="s">
        <v>546</v>
      </c>
      <c r="H780" t="s">
        <v>565</v>
      </c>
      <c r="I780"/>
      <c r="J780">
        <v>50</v>
      </c>
    </row>
    <row r="781" spans="1:10" x14ac:dyDescent="0.2">
      <c r="A781" t="s">
        <v>18</v>
      </c>
      <c r="B781" t="s">
        <v>95</v>
      </c>
      <c r="C781" t="s">
        <v>13</v>
      </c>
      <c r="D781" t="s">
        <v>59</v>
      </c>
      <c r="E781" t="s">
        <v>42</v>
      </c>
      <c r="F781" t="s">
        <v>59</v>
      </c>
      <c r="G781" t="s">
        <v>546</v>
      </c>
      <c r="H781" t="s">
        <v>617</v>
      </c>
      <c r="I781"/>
      <c r="J781">
        <v>50</v>
      </c>
    </row>
    <row r="782" spans="1:10" x14ac:dyDescent="0.2">
      <c r="A782" t="s">
        <v>12</v>
      </c>
      <c r="B782" t="s">
        <v>95</v>
      </c>
      <c r="C782" t="s">
        <v>13</v>
      </c>
      <c r="D782" t="s">
        <v>59</v>
      </c>
      <c r="E782" t="s">
        <v>42</v>
      </c>
      <c r="F782" t="s">
        <v>59</v>
      </c>
      <c r="G782" t="s">
        <v>546</v>
      </c>
      <c r="H782" t="s">
        <v>584</v>
      </c>
      <c r="I782"/>
      <c r="J782">
        <v>100</v>
      </c>
    </row>
    <row r="783" spans="1:10" x14ac:dyDescent="0.2">
      <c r="A783" t="s">
        <v>18</v>
      </c>
      <c r="B783" t="s">
        <v>95</v>
      </c>
      <c r="C783" t="s">
        <v>13</v>
      </c>
      <c r="D783" t="s">
        <v>60</v>
      </c>
      <c r="E783" t="s">
        <v>42</v>
      </c>
      <c r="F783" t="s">
        <v>60</v>
      </c>
      <c r="G783" t="s">
        <v>618</v>
      </c>
      <c r="H783" t="s">
        <v>619</v>
      </c>
      <c r="I783"/>
      <c r="J783">
        <v>79</v>
      </c>
    </row>
    <row r="784" spans="1:10" x14ac:dyDescent="0.2">
      <c r="A784" t="s">
        <v>12</v>
      </c>
      <c r="B784" t="s">
        <v>95</v>
      </c>
      <c r="C784" t="s">
        <v>13</v>
      </c>
      <c r="D784" t="s">
        <v>253</v>
      </c>
      <c r="E784" t="s">
        <v>42</v>
      </c>
      <c r="F784" t="s">
        <v>253</v>
      </c>
      <c r="G784" t="s">
        <v>597</v>
      </c>
      <c r="H784" t="s">
        <v>620</v>
      </c>
      <c r="I784"/>
      <c r="J784">
        <v>1000</v>
      </c>
    </row>
    <row r="785" spans="1:12" x14ac:dyDescent="0.2">
      <c r="A785" t="s">
        <v>12</v>
      </c>
      <c r="B785" t="s">
        <v>95</v>
      </c>
      <c r="C785" t="s">
        <v>13</v>
      </c>
      <c r="D785" t="s">
        <v>253</v>
      </c>
      <c r="E785" t="s">
        <v>42</v>
      </c>
      <c r="F785" t="s">
        <v>253</v>
      </c>
      <c r="G785" t="s">
        <v>546</v>
      </c>
      <c r="H785" t="s">
        <v>584</v>
      </c>
      <c r="I785"/>
      <c r="J785">
        <v>150</v>
      </c>
    </row>
    <row r="786" spans="1:12" x14ac:dyDescent="0.2">
      <c r="A786" t="s">
        <v>12</v>
      </c>
      <c r="B786" t="s">
        <v>95</v>
      </c>
      <c r="C786" t="s">
        <v>13</v>
      </c>
      <c r="D786" t="s">
        <v>253</v>
      </c>
      <c r="E786" t="s">
        <v>42</v>
      </c>
      <c r="F786" t="s">
        <v>253</v>
      </c>
      <c r="G786" t="s">
        <v>546</v>
      </c>
      <c r="H786" t="s">
        <v>565</v>
      </c>
      <c r="I786"/>
      <c r="J786">
        <v>100</v>
      </c>
    </row>
    <row r="787" spans="1:12" x14ac:dyDescent="0.2">
      <c r="A787" t="s">
        <v>12</v>
      </c>
      <c r="B787" t="s">
        <v>95</v>
      </c>
      <c r="C787" t="s">
        <v>13</v>
      </c>
      <c r="D787" t="s">
        <v>253</v>
      </c>
      <c r="E787" t="s">
        <v>42</v>
      </c>
      <c r="F787" t="s">
        <v>253</v>
      </c>
      <c r="G787" t="s">
        <v>535</v>
      </c>
      <c r="H787" t="s">
        <v>621</v>
      </c>
      <c r="I787"/>
      <c r="J787">
        <v>50</v>
      </c>
    </row>
    <row r="788" spans="1:12" x14ac:dyDescent="0.2">
      <c r="A788" t="s">
        <v>18</v>
      </c>
      <c r="B788" t="s">
        <v>95</v>
      </c>
      <c r="C788" t="s">
        <v>13</v>
      </c>
      <c r="D788" t="s">
        <v>61</v>
      </c>
      <c r="E788" t="s">
        <v>42</v>
      </c>
      <c r="F788" t="s">
        <v>61</v>
      </c>
      <c r="G788" t="s">
        <v>546</v>
      </c>
      <c r="H788" t="s">
        <v>547</v>
      </c>
      <c r="I788"/>
      <c r="J788">
        <v>650</v>
      </c>
    </row>
    <row r="789" spans="1:12" x14ac:dyDescent="0.2">
      <c r="A789" t="s">
        <v>18</v>
      </c>
      <c r="B789" t="s">
        <v>95</v>
      </c>
      <c r="C789" t="s">
        <v>13</v>
      </c>
      <c r="D789" t="s">
        <v>61</v>
      </c>
      <c r="E789" t="s">
        <v>42</v>
      </c>
      <c r="F789" t="s">
        <v>61</v>
      </c>
      <c r="G789" t="s">
        <v>546</v>
      </c>
      <c r="H789" t="s">
        <v>584</v>
      </c>
      <c r="I789"/>
      <c r="J789">
        <v>1000</v>
      </c>
    </row>
    <row r="790" spans="1:12" x14ac:dyDescent="0.2">
      <c r="A790" t="s">
        <v>18</v>
      </c>
      <c r="B790" t="s">
        <v>95</v>
      </c>
      <c r="C790" t="s">
        <v>13</v>
      </c>
      <c r="D790" t="s">
        <v>62</v>
      </c>
      <c r="E790" t="s">
        <v>42</v>
      </c>
      <c r="F790" t="s">
        <v>62</v>
      </c>
      <c r="G790" t="s">
        <v>542</v>
      </c>
      <c r="H790" t="s">
        <v>622</v>
      </c>
      <c r="I790"/>
      <c r="J790">
        <v>250</v>
      </c>
    </row>
    <row r="791" spans="1:12" x14ac:dyDescent="0.2">
      <c r="A791" t="s">
        <v>18</v>
      </c>
      <c r="B791" t="s">
        <v>125</v>
      </c>
      <c r="C791" t="s">
        <v>13</v>
      </c>
      <c r="D791" t="s">
        <v>62</v>
      </c>
      <c r="E791" t="s">
        <v>42</v>
      </c>
      <c r="F791" t="s">
        <v>62</v>
      </c>
      <c r="G791" t="s">
        <v>597</v>
      </c>
      <c r="H791" t="s">
        <v>623</v>
      </c>
      <c r="I791"/>
      <c r="J791">
        <v>75</v>
      </c>
      <c r="L791" t="s">
        <v>624</v>
      </c>
    </row>
    <row r="792" spans="1:12" x14ac:dyDescent="0.2">
      <c r="A792" t="s">
        <v>18</v>
      </c>
      <c r="B792" t="s">
        <v>95</v>
      </c>
      <c r="C792" t="s">
        <v>13</v>
      </c>
      <c r="D792" t="s">
        <v>62</v>
      </c>
      <c r="E792" t="s">
        <v>42</v>
      </c>
      <c r="F792" t="s">
        <v>62</v>
      </c>
      <c r="G792" t="s">
        <v>625</v>
      </c>
      <c r="H792" t="s">
        <v>626</v>
      </c>
      <c r="I792"/>
      <c r="J792">
        <v>1000</v>
      </c>
    </row>
    <row r="793" spans="1:12" x14ac:dyDescent="0.2">
      <c r="A793" t="s">
        <v>18</v>
      </c>
      <c r="B793" t="s">
        <v>95</v>
      </c>
      <c r="C793" t="s">
        <v>13</v>
      </c>
      <c r="D793" t="s">
        <v>256</v>
      </c>
      <c r="E793" t="s">
        <v>42</v>
      </c>
      <c r="F793" t="s">
        <v>256</v>
      </c>
      <c r="G793" t="s">
        <v>570</v>
      </c>
      <c r="H793"/>
      <c r="I793"/>
      <c r="J793">
        <v>77.66</v>
      </c>
    </row>
    <row r="794" spans="1:12" x14ac:dyDescent="0.2">
      <c r="A794" t="s">
        <v>18</v>
      </c>
      <c r="B794" t="s">
        <v>95</v>
      </c>
      <c r="C794" t="s">
        <v>13</v>
      </c>
      <c r="D794" t="s">
        <v>256</v>
      </c>
      <c r="E794" t="s">
        <v>42</v>
      </c>
      <c r="F794" t="s">
        <v>256</v>
      </c>
      <c r="G794" t="s">
        <v>544</v>
      </c>
      <c r="H794" t="s">
        <v>454</v>
      </c>
      <c r="I794"/>
      <c r="J794">
        <v>22</v>
      </c>
    </row>
    <row r="795" spans="1:12" x14ac:dyDescent="0.2">
      <c r="A795" t="s">
        <v>18</v>
      </c>
      <c r="B795" t="s">
        <v>95</v>
      </c>
      <c r="C795" t="s">
        <v>13</v>
      </c>
      <c r="D795" t="s">
        <v>256</v>
      </c>
      <c r="E795" t="s">
        <v>42</v>
      </c>
      <c r="F795" t="s">
        <v>256</v>
      </c>
      <c r="G795" t="s">
        <v>542</v>
      </c>
      <c r="H795" t="s">
        <v>583</v>
      </c>
      <c r="I795"/>
      <c r="J795">
        <v>300</v>
      </c>
    </row>
    <row r="796" spans="1:12" x14ac:dyDescent="0.2">
      <c r="A796" t="s">
        <v>18</v>
      </c>
      <c r="B796" t="s">
        <v>95</v>
      </c>
      <c r="C796" t="s">
        <v>13</v>
      </c>
      <c r="D796" t="s">
        <v>265</v>
      </c>
      <c r="E796" t="s">
        <v>42</v>
      </c>
      <c r="F796" t="s">
        <v>265</v>
      </c>
      <c r="G796" t="s">
        <v>542</v>
      </c>
      <c r="H796" t="s">
        <v>583</v>
      </c>
      <c r="I796"/>
      <c r="J796">
        <v>500</v>
      </c>
    </row>
    <row r="797" spans="1:12" x14ac:dyDescent="0.2">
      <c r="A797" t="s">
        <v>18</v>
      </c>
      <c r="B797" t="s">
        <v>95</v>
      </c>
      <c r="C797" t="s">
        <v>13</v>
      </c>
      <c r="D797" t="s">
        <v>269</v>
      </c>
      <c r="E797" t="s">
        <v>42</v>
      </c>
      <c r="F797" t="s">
        <v>269</v>
      </c>
      <c r="G797" t="s">
        <v>625</v>
      </c>
      <c r="H797" t="s">
        <v>627</v>
      </c>
      <c r="I797"/>
      <c r="J797">
        <v>500</v>
      </c>
    </row>
    <row r="798" spans="1:12" x14ac:dyDescent="0.2">
      <c r="A798" t="s">
        <v>12</v>
      </c>
      <c r="B798" t="s">
        <v>95</v>
      </c>
      <c r="C798" t="s">
        <v>13</v>
      </c>
      <c r="D798" t="s">
        <v>274</v>
      </c>
      <c r="E798" t="s">
        <v>42</v>
      </c>
      <c r="F798" t="s">
        <v>274</v>
      </c>
      <c r="G798" t="s">
        <v>546</v>
      </c>
      <c r="H798" t="s">
        <v>565</v>
      </c>
      <c r="I798"/>
      <c r="J798">
        <v>450</v>
      </c>
    </row>
    <row r="799" spans="1:12" x14ac:dyDescent="0.2">
      <c r="A799" t="s">
        <v>12</v>
      </c>
      <c r="B799" t="s">
        <v>95</v>
      </c>
      <c r="C799" t="s">
        <v>13</v>
      </c>
      <c r="D799" t="s">
        <v>274</v>
      </c>
      <c r="E799" t="s">
        <v>42</v>
      </c>
      <c r="F799" t="s">
        <v>274</v>
      </c>
      <c r="G799" t="s">
        <v>570</v>
      </c>
      <c r="H799"/>
      <c r="I799"/>
      <c r="J799">
        <v>5.8</v>
      </c>
    </row>
    <row r="800" spans="1:12" x14ac:dyDescent="0.2">
      <c r="A800" t="s">
        <v>12</v>
      </c>
      <c r="B800" t="s">
        <v>95</v>
      </c>
      <c r="C800" t="s">
        <v>13</v>
      </c>
      <c r="D800" t="s">
        <v>274</v>
      </c>
      <c r="E800" t="s">
        <v>64</v>
      </c>
      <c r="F800" t="s">
        <v>274</v>
      </c>
      <c r="G800" t="s">
        <v>570</v>
      </c>
      <c r="H800"/>
      <c r="I800"/>
      <c r="J800">
        <v>21</v>
      </c>
    </row>
    <row r="801" spans="1:12" x14ac:dyDescent="0.2">
      <c r="A801" t="s">
        <v>12</v>
      </c>
      <c r="B801" t="s">
        <v>95</v>
      </c>
      <c r="C801" t="s">
        <v>13</v>
      </c>
      <c r="D801" t="s">
        <v>274</v>
      </c>
      <c r="E801" t="s">
        <v>42</v>
      </c>
      <c r="F801" t="s">
        <v>274</v>
      </c>
      <c r="G801" t="s">
        <v>570</v>
      </c>
      <c r="H801"/>
      <c r="I801"/>
      <c r="J801">
        <v>4.5999999999999996</v>
      </c>
    </row>
    <row r="802" spans="1:12" x14ac:dyDescent="0.2">
      <c r="A802" t="s">
        <v>12</v>
      </c>
      <c r="B802" t="s">
        <v>95</v>
      </c>
      <c r="C802" t="s">
        <v>13</v>
      </c>
      <c r="D802" t="s">
        <v>274</v>
      </c>
      <c r="E802" t="s">
        <v>42</v>
      </c>
      <c r="F802" t="s">
        <v>274</v>
      </c>
      <c r="G802" t="s">
        <v>570</v>
      </c>
      <c r="H802"/>
      <c r="I802"/>
      <c r="J802">
        <v>10.4</v>
      </c>
    </row>
    <row r="803" spans="1:12" x14ac:dyDescent="0.2">
      <c r="A803" t="s">
        <v>18</v>
      </c>
      <c r="B803" t="s">
        <v>95</v>
      </c>
      <c r="C803" t="s">
        <v>13</v>
      </c>
      <c r="D803" t="s">
        <v>278</v>
      </c>
      <c r="E803" t="s">
        <v>42</v>
      </c>
      <c r="F803" t="s">
        <v>257</v>
      </c>
      <c r="G803" t="s">
        <v>600</v>
      </c>
      <c r="H803" t="s">
        <v>601</v>
      </c>
      <c r="I803"/>
      <c r="J803">
        <v>250</v>
      </c>
    </row>
    <row r="804" spans="1:12" x14ac:dyDescent="0.2">
      <c r="A804" t="s">
        <v>18</v>
      </c>
      <c r="B804" t="s">
        <v>95</v>
      </c>
      <c r="C804" t="s">
        <v>13</v>
      </c>
      <c r="D804" t="s">
        <v>63</v>
      </c>
      <c r="E804" t="s">
        <v>64</v>
      </c>
      <c r="F804" t="s">
        <v>265</v>
      </c>
      <c r="G804" t="s">
        <v>595</v>
      </c>
      <c r="H804" t="s">
        <v>628</v>
      </c>
      <c r="I804"/>
      <c r="J804">
        <v>911</v>
      </c>
    </row>
    <row r="805" spans="1:12" x14ac:dyDescent="0.2">
      <c r="A805" t="s">
        <v>18</v>
      </c>
      <c r="B805" t="s">
        <v>95</v>
      </c>
      <c r="C805" t="s">
        <v>13</v>
      </c>
      <c r="D805" t="s">
        <v>63</v>
      </c>
      <c r="E805" t="s">
        <v>64</v>
      </c>
      <c r="F805" t="s">
        <v>63</v>
      </c>
      <c r="G805" t="s">
        <v>546</v>
      </c>
      <c r="H805"/>
      <c r="I805"/>
      <c r="J805">
        <v>450</v>
      </c>
      <c r="L805" t="s">
        <v>584</v>
      </c>
    </row>
    <row r="806" spans="1:12" x14ac:dyDescent="0.2">
      <c r="A806" t="s">
        <v>12</v>
      </c>
      <c r="B806" t="s">
        <v>95</v>
      </c>
      <c r="C806" t="s">
        <v>13</v>
      </c>
      <c r="D806" t="s">
        <v>282</v>
      </c>
      <c r="E806" t="s">
        <v>64</v>
      </c>
      <c r="F806" t="s">
        <v>282</v>
      </c>
      <c r="G806" t="s">
        <v>546</v>
      </c>
      <c r="H806"/>
      <c r="I806"/>
      <c r="J806">
        <v>50</v>
      </c>
      <c r="L806" t="s">
        <v>547</v>
      </c>
    </row>
    <row r="807" spans="1:12" x14ac:dyDescent="0.2">
      <c r="A807" t="s">
        <v>18</v>
      </c>
      <c r="B807" t="s">
        <v>95</v>
      </c>
      <c r="C807" t="s">
        <v>13</v>
      </c>
      <c r="D807" t="s">
        <v>65</v>
      </c>
      <c r="E807" t="s">
        <v>64</v>
      </c>
      <c r="F807" t="s">
        <v>66</v>
      </c>
      <c r="G807" t="s">
        <v>538</v>
      </c>
      <c r="H807" t="s">
        <v>629</v>
      </c>
      <c r="I807"/>
      <c r="J807">
        <v>447</v>
      </c>
    </row>
    <row r="808" spans="1:12" x14ac:dyDescent="0.2">
      <c r="A808" t="s">
        <v>18</v>
      </c>
      <c r="B808" t="s">
        <v>125</v>
      </c>
      <c r="C808" t="s">
        <v>13</v>
      </c>
      <c r="D808" t="s">
        <v>65</v>
      </c>
      <c r="E808" t="s">
        <v>64</v>
      </c>
      <c r="F808" t="s">
        <v>65</v>
      </c>
      <c r="G808" t="s">
        <v>597</v>
      </c>
      <c r="H808" t="s">
        <v>630</v>
      </c>
      <c r="I808"/>
      <c r="J808">
        <v>100</v>
      </c>
      <c r="L808" t="s">
        <v>631</v>
      </c>
    </row>
    <row r="809" spans="1:12" x14ac:dyDescent="0.2">
      <c r="A809" t="s">
        <v>12</v>
      </c>
      <c r="B809" t="s">
        <v>95</v>
      </c>
      <c r="C809" t="s">
        <v>13</v>
      </c>
      <c r="D809" t="s">
        <v>65</v>
      </c>
      <c r="E809" t="s">
        <v>64</v>
      </c>
      <c r="F809" t="s">
        <v>65</v>
      </c>
      <c r="G809" t="s">
        <v>570</v>
      </c>
      <c r="H809"/>
      <c r="I809"/>
      <c r="J809">
        <v>9.11</v>
      </c>
    </row>
    <row r="810" spans="1:12" x14ac:dyDescent="0.2">
      <c r="A810" t="s">
        <v>12</v>
      </c>
      <c r="B810" t="s">
        <v>95</v>
      </c>
      <c r="C810" t="s">
        <v>13</v>
      </c>
      <c r="D810" t="s">
        <v>65</v>
      </c>
      <c r="E810" t="s">
        <v>64</v>
      </c>
      <c r="F810" t="s">
        <v>65</v>
      </c>
      <c r="G810" t="s">
        <v>570</v>
      </c>
      <c r="H810"/>
      <c r="I810"/>
      <c r="J810">
        <v>54.35</v>
      </c>
    </row>
    <row r="811" spans="1:12" x14ac:dyDescent="0.2">
      <c r="A811" t="s">
        <v>18</v>
      </c>
      <c r="B811" t="s">
        <v>95</v>
      </c>
      <c r="C811" t="s">
        <v>13</v>
      </c>
      <c r="D811" t="s">
        <v>65</v>
      </c>
      <c r="E811" t="s">
        <v>64</v>
      </c>
      <c r="F811" t="s">
        <v>65</v>
      </c>
      <c r="G811" t="s">
        <v>625</v>
      </c>
      <c r="H811" t="s">
        <v>626</v>
      </c>
      <c r="I811"/>
      <c r="J811">
        <v>500</v>
      </c>
    </row>
    <row r="812" spans="1:12" x14ac:dyDescent="0.2">
      <c r="A812" t="s">
        <v>18</v>
      </c>
      <c r="B812" t="s">
        <v>95</v>
      </c>
      <c r="C812" t="s">
        <v>13</v>
      </c>
      <c r="D812" t="s">
        <v>65</v>
      </c>
      <c r="E812" t="s">
        <v>64</v>
      </c>
      <c r="F812" t="s">
        <v>65</v>
      </c>
      <c r="G812" t="s">
        <v>570</v>
      </c>
      <c r="H812" t="s">
        <v>632</v>
      </c>
      <c r="I812"/>
      <c r="J812">
        <v>22</v>
      </c>
    </row>
    <row r="813" spans="1:12" x14ac:dyDescent="0.2">
      <c r="A813" t="s">
        <v>71</v>
      </c>
      <c r="B813" t="s">
        <v>95</v>
      </c>
      <c r="C813" t="s">
        <v>13</v>
      </c>
      <c r="D813" t="s">
        <v>66</v>
      </c>
      <c r="E813" t="s">
        <v>64</v>
      </c>
      <c r="F813" t="s">
        <v>66</v>
      </c>
      <c r="G813" t="s">
        <v>633</v>
      </c>
      <c r="H813" t="s">
        <v>634</v>
      </c>
      <c r="I813"/>
      <c r="J813">
        <v>1700</v>
      </c>
    </row>
    <row r="814" spans="1:12" x14ac:dyDescent="0.2">
      <c r="A814" t="s">
        <v>27</v>
      </c>
      <c r="B814" t="s">
        <v>95</v>
      </c>
      <c r="C814" t="s">
        <v>13</v>
      </c>
      <c r="D814" t="s">
        <v>66</v>
      </c>
      <c r="E814" t="s">
        <v>64</v>
      </c>
      <c r="F814" t="s">
        <v>66</v>
      </c>
      <c r="G814" t="s">
        <v>625</v>
      </c>
      <c r="H814" t="s">
        <v>635</v>
      </c>
      <c r="I814"/>
      <c r="J814">
        <v>724.88</v>
      </c>
    </row>
    <row r="815" spans="1:12" x14ac:dyDescent="0.2">
      <c r="A815" t="s">
        <v>18</v>
      </c>
      <c r="B815" t="s">
        <v>95</v>
      </c>
      <c r="C815" t="s">
        <v>13</v>
      </c>
      <c r="D815" t="s">
        <v>66</v>
      </c>
      <c r="E815" t="s">
        <v>636</v>
      </c>
      <c r="F815" t="s">
        <v>66</v>
      </c>
      <c r="G815" t="s">
        <v>551</v>
      </c>
      <c r="H815" t="s">
        <v>637</v>
      </c>
      <c r="I815"/>
      <c r="J815">
        <v>34.47</v>
      </c>
    </row>
    <row r="816" spans="1:12" x14ac:dyDescent="0.2">
      <c r="A816" t="s">
        <v>18</v>
      </c>
      <c r="B816" t="s">
        <v>125</v>
      </c>
      <c r="C816" t="s">
        <v>13</v>
      </c>
      <c r="D816" t="s">
        <v>66</v>
      </c>
      <c r="E816" t="s">
        <v>42</v>
      </c>
      <c r="F816" t="s">
        <v>66</v>
      </c>
      <c r="G816" t="s">
        <v>561</v>
      </c>
      <c r="H816"/>
      <c r="I816"/>
      <c r="J816">
        <v>15.77</v>
      </c>
      <c r="K816" t="s">
        <v>240</v>
      </c>
      <c r="L816" t="s">
        <v>241</v>
      </c>
    </row>
    <row r="817" spans="1:12" x14ac:dyDescent="0.2">
      <c r="A817" t="s">
        <v>71</v>
      </c>
      <c r="B817" t="s">
        <v>95</v>
      </c>
      <c r="C817" t="s">
        <v>13</v>
      </c>
      <c r="D817" t="s">
        <v>289</v>
      </c>
      <c r="E817" t="s">
        <v>64</v>
      </c>
      <c r="F817" t="s">
        <v>289</v>
      </c>
      <c r="G817" t="s">
        <v>570</v>
      </c>
      <c r="H817" t="s">
        <v>638</v>
      </c>
      <c r="I817"/>
      <c r="J817">
        <v>372</v>
      </c>
    </row>
    <row r="818" spans="1:12" x14ac:dyDescent="0.2">
      <c r="A818" t="s">
        <v>18</v>
      </c>
      <c r="B818" t="s">
        <v>95</v>
      </c>
      <c r="C818" t="s">
        <v>13</v>
      </c>
      <c r="D818" t="s">
        <v>289</v>
      </c>
      <c r="E818" t="s">
        <v>42</v>
      </c>
      <c r="F818" t="s">
        <v>289</v>
      </c>
      <c r="G818" t="s">
        <v>580</v>
      </c>
      <c r="H818" t="s">
        <v>639</v>
      </c>
      <c r="I818"/>
      <c r="J818">
        <v>700</v>
      </c>
      <c r="L818" t="s">
        <v>583</v>
      </c>
    </row>
    <row r="819" spans="1:12" x14ac:dyDescent="0.2">
      <c r="A819" t="s">
        <v>18</v>
      </c>
      <c r="B819" t="s">
        <v>95</v>
      </c>
      <c r="C819" t="s">
        <v>13</v>
      </c>
      <c r="D819" t="s">
        <v>289</v>
      </c>
      <c r="E819" t="s">
        <v>64</v>
      </c>
      <c r="F819" t="s">
        <v>289</v>
      </c>
      <c r="G819" t="s">
        <v>546</v>
      </c>
      <c r="H819" t="s">
        <v>502</v>
      </c>
      <c r="I819"/>
      <c r="J819">
        <v>100</v>
      </c>
      <c r="L819" t="s">
        <v>584</v>
      </c>
    </row>
    <row r="820" spans="1:12" x14ac:dyDescent="0.2">
      <c r="A820" t="s">
        <v>18</v>
      </c>
      <c r="B820" t="s">
        <v>95</v>
      </c>
      <c r="C820" t="s">
        <v>13</v>
      </c>
      <c r="D820" t="s">
        <v>289</v>
      </c>
      <c r="E820" t="s">
        <v>64</v>
      </c>
      <c r="F820" t="s">
        <v>289</v>
      </c>
      <c r="G820" t="s">
        <v>546</v>
      </c>
      <c r="H820"/>
      <c r="I820"/>
      <c r="J820">
        <v>50</v>
      </c>
      <c r="L820" t="s">
        <v>547</v>
      </c>
    </row>
    <row r="821" spans="1:12" x14ac:dyDescent="0.2">
      <c r="A821" t="s">
        <v>18</v>
      </c>
      <c r="B821" t="s">
        <v>95</v>
      </c>
      <c r="C821" t="s">
        <v>13</v>
      </c>
      <c r="D821" t="s">
        <v>67</v>
      </c>
      <c r="E821" t="s">
        <v>64</v>
      </c>
      <c r="F821" t="s">
        <v>67</v>
      </c>
      <c r="G821" t="s">
        <v>546</v>
      </c>
      <c r="H821"/>
      <c r="I821"/>
      <c r="J821">
        <v>500</v>
      </c>
      <c r="L821" t="s">
        <v>547</v>
      </c>
    </row>
    <row r="822" spans="1:12" x14ac:dyDescent="0.2">
      <c r="A822" t="s">
        <v>18</v>
      </c>
      <c r="B822" t="s">
        <v>95</v>
      </c>
      <c r="C822" t="s">
        <v>13</v>
      </c>
      <c r="D822" t="s">
        <v>67</v>
      </c>
      <c r="E822" t="s">
        <v>64</v>
      </c>
      <c r="F822" t="s">
        <v>67</v>
      </c>
      <c r="G822" t="s">
        <v>546</v>
      </c>
      <c r="H822"/>
      <c r="I822"/>
      <c r="J822">
        <v>200</v>
      </c>
      <c r="L822" t="s">
        <v>584</v>
      </c>
    </row>
    <row r="823" spans="1:12" x14ac:dyDescent="0.2">
      <c r="A823" t="s">
        <v>18</v>
      </c>
      <c r="B823" t="s">
        <v>95</v>
      </c>
      <c r="C823" t="s">
        <v>13</v>
      </c>
      <c r="D823" t="s">
        <v>296</v>
      </c>
      <c r="E823" t="s">
        <v>64</v>
      </c>
      <c r="F823" t="s">
        <v>296</v>
      </c>
      <c r="G823" t="s">
        <v>546</v>
      </c>
      <c r="H823"/>
      <c r="I823"/>
      <c r="J823">
        <v>600</v>
      </c>
      <c r="L823" t="s">
        <v>584</v>
      </c>
    </row>
    <row r="824" spans="1:12" x14ac:dyDescent="0.2">
      <c r="A824" t="s">
        <v>18</v>
      </c>
      <c r="B824" t="s">
        <v>95</v>
      </c>
      <c r="C824" t="s">
        <v>13</v>
      </c>
      <c r="D824" t="s">
        <v>68</v>
      </c>
      <c r="E824" t="s">
        <v>42</v>
      </c>
      <c r="F824" t="s">
        <v>68</v>
      </c>
      <c r="G824" t="s">
        <v>580</v>
      </c>
      <c r="H824"/>
      <c r="I824"/>
      <c r="J824">
        <v>400</v>
      </c>
      <c r="L824" t="s">
        <v>499</v>
      </c>
    </row>
    <row r="825" spans="1:12" x14ac:dyDescent="0.2">
      <c r="A825" t="s">
        <v>18</v>
      </c>
      <c r="B825" t="s">
        <v>95</v>
      </c>
      <c r="C825" t="s">
        <v>13</v>
      </c>
      <c r="D825" t="s">
        <v>68</v>
      </c>
      <c r="E825" t="s">
        <v>64</v>
      </c>
      <c r="F825" t="s">
        <v>68</v>
      </c>
      <c r="G825" t="s">
        <v>546</v>
      </c>
      <c r="H825"/>
      <c r="I825"/>
      <c r="J825">
        <v>50</v>
      </c>
      <c r="L825" t="s">
        <v>547</v>
      </c>
    </row>
    <row r="826" spans="1:12" x14ac:dyDescent="0.2">
      <c r="A826" t="s">
        <v>18</v>
      </c>
      <c r="B826" t="s">
        <v>95</v>
      </c>
      <c r="C826" t="s">
        <v>13</v>
      </c>
      <c r="D826" t="s">
        <v>68</v>
      </c>
      <c r="E826" t="s">
        <v>64</v>
      </c>
      <c r="F826" t="s">
        <v>68</v>
      </c>
      <c r="G826" t="s">
        <v>546</v>
      </c>
      <c r="H826"/>
      <c r="I826"/>
      <c r="J826">
        <v>100</v>
      </c>
      <c r="L826" t="s">
        <v>584</v>
      </c>
    </row>
    <row r="827" spans="1:12" x14ac:dyDescent="0.2">
      <c r="A827" t="s">
        <v>12</v>
      </c>
      <c r="B827" t="s">
        <v>95</v>
      </c>
      <c r="C827" t="s">
        <v>13</v>
      </c>
      <c r="D827" t="s">
        <v>69</v>
      </c>
      <c r="E827" t="s">
        <v>42</v>
      </c>
      <c r="F827" t="s">
        <v>69</v>
      </c>
      <c r="G827" t="s">
        <v>580</v>
      </c>
      <c r="H827" t="s">
        <v>641</v>
      </c>
      <c r="I827"/>
      <c r="J827">
        <v>3000</v>
      </c>
      <c r="L827" t="s">
        <v>583</v>
      </c>
    </row>
    <row r="828" spans="1:12" x14ac:dyDescent="0.2">
      <c r="A828" t="s">
        <v>18</v>
      </c>
      <c r="B828" t="s">
        <v>95</v>
      </c>
      <c r="C828" t="s">
        <v>13</v>
      </c>
      <c r="D828" t="s">
        <v>73</v>
      </c>
      <c r="E828" t="s">
        <v>64</v>
      </c>
      <c r="F828" t="s">
        <v>73</v>
      </c>
      <c r="G828" t="s">
        <v>546</v>
      </c>
      <c r="H828"/>
      <c r="I828"/>
      <c r="J828">
        <v>50</v>
      </c>
      <c r="L828" t="s">
        <v>584</v>
      </c>
    </row>
    <row r="829" spans="1:12" x14ac:dyDescent="0.2">
      <c r="A829" t="s">
        <v>18</v>
      </c>
      <c r="B829" t="s">
        <v>95</v>
      </c>
      <c r="C829" t="s">
        <v>13</v>
      </c>
      <c r="D829" t="s">
        <v>309</v>
      </c>
      <c r="E829" t="s">
        <v>64</v>
      </c>
      <c r="F829" t="s">
        <v>309</v>
      </c>
      <c r="G829" t="s">
        <v>546</v>
      </c>
      <c r="H829" t="s">
        <v>642</v>
      </c>
      <c r="I829"/>
      <c r="J829">
        <v>100</v>
      </c>
      <c r="L829" t="s">
        <v>547</v>
      </c>
    </row>
    <row r="830" spans="1:12" x14ac:dyDescent="0.2">
      <c r="A830" t="s">
        <v>18</v>
      </c>
      <c r="B830" t="s">
        <v>95</v>
      </c>
      <c r="C830" t="s">
        <v>13</v>
      </c>
      <c r="D830" t="s">
        <v>309</v>
      </c>
      <c r="E830" t="s">
        <v>64</v>
      </c>
      <c r="F830" t="s">
        <v>309</v>
      </c>
      <c r="G830" t="s">
        <v>546</v>
      </c>
      <c r="H830" t="s">
        <v>643</v>
      </c>
      <c r="I830"/>
      <c r="J830">
        <v>1450</v>
      </c>
      <c r="L830" t="s">
        <v>584</v>
      </c>
    </row>
    <row r="831" spans="1:12" x14ac:dyDescent="0.2">
      <c r="A831" t="s">
        <v>71</v>
      </c>
      <c r="B831" t="s">
        <v>95</v>
      </c>
      <c r="C831" t="s">
        <v>13</v>
      </c>
      <c r="D831" t="s">
        <v>309</v>
      </c>
      <c r="E831" t="s">
        <v>64</v>
      </c>
      <c r="F831" t="s">
        <v>309</v>
      </c>
      <c r="G831" t="s">
        <v>546</v>
      </c>
      <c r="H831" t="s">
        <v>644</v>
      </c>
      <c r="I831"/>
      <c r="J831">
        <v>200</v>
      </c>
    </row>
    <row r="832" spans="1:12" x14ac:dyDescent="0.2">
      <c r="A832" t="s">
        <v>18</v>
      </c>
      <c r="B832" t="s">
        <v>95</v>
      </c>
      <c r="C832" t="s">
        <v>13</v>
      </c>
      <c r="D832" t="s">
        <v>74</v>
      </c>
      <c r="E832" t="s">
        <v>42</v>
      </c>
      <c r="F832" t="s">
        <v>74</v>
      </c>
      <c r="G832" t="s">
        <v>580</v>
      </c>
      <c r="H832" t="s">
        <v>641</v>
      </c>
      <c r="I832"/>
      <c r="J832">
        <v>2000</v>
      </c>
      <c r="L832" t="s">
        <v>583</v>
      </c>
    </row>
    <row r="833" spans="1:12" x14ac:dyDescent="0.2">
      <c r="A833" t="s">
        <v>18</v>
      </c>
      <c r="B833" t="s">
        <v>95</v>
      </c>
      <c r="C833" t="s">
        <v>13</v>
      </c>
      <c r="D833" t="s">
        <v>74</v>
      </c>
      <c r="E833" t="s">
        <v>64</v>
      </c>
      <c r="F833" t="s">
        <v>74</v>
      </c>
      <c r="G833" t="s">
        <v>546</v>
      </c>
      <c r="H833"/>
      <c r="I833"/>
      <c r="J833">
        <v>600</v>
      </c>
      <c r="L833" t="s">
        <v>547</v>
      </c>
    </row>
    <row r="834" spans="1:12" x14ac:dyDescent="0.2">
      <c r="A834" t="s">
        <v>18</v>
      </c>
      <c r="B834" t="s">
        <v>95</v>
      </c>
      <c r="C834" t="s">
        <v>13</v>
      </c>
      <c r="D834" t="s">
        <v>74</v>
      </c>
      <c r="E834" t="s">
        <v>64</v>
      </c>
      <c r="F834" t="s">
        <v>74</v>
      </c>
      <c r="G834" t="s">
        <v>546</v>
      </c>
      <c r="H834"/>
      <c r="I834"/>
      <c r="J834">
        <v>1140</v>
      </c>
      <c r="L834" t="s">
        <v>584</v>
      </c>
    </row>
    <row r="835" spans="1:12" x14ac:dyDescent="0.2">
      <c r="A835" t="s">
        <v>71</v>
      </c>
      <c r="B835" t="s">
        <v>125</v>
      </c>
      <c r="C835" t="s">
        <v>13</v>
      </c>
      <c r="D835" t="s">
        <v>74</v>
      </c>
      <c r="E835" t="s">
        <v>64</v>
      </c>
      <c r="F835" t="s">
        <v>74</v>
      </c>
      <c r="G835" t="s">
        <v>551</v>
      </c>
      <c r="H835" t="s">
        <v>645</v>
      </c>
      <c r="I835"/>
      <c r="J835">
        <v>200</v>
      </c>
      <c r="L835" t="s">
        <v>646</v>
      </c>
    </row>
    <row r="836" spans="1:12" x14ac:dyDescent="0.2">
      <c r="A836" t="s">
        <v>18</v>
      </c>
      <c r="B836" t="s">
        <v>95</v>
      </c>
      <c r="C836" t="s">
        <v>13</v>
      </c>
      <c r="D836" t="s">
        <v>647</v>
      </c>
      <c r="E836" t="s">
        <v>64</v>
      </c>
      <c r="F836" t="s">
        <v>647</v>
      </c>
      <c r="G836" t="s">
        <v>546</v>
      </c>
      <c r="H836"/>
      <c r="I836"/>
      <c r="J836">
        <v>180</v>
      </c>
      <c r="L836" t="s">
        <v>584</v>
      </c>
    </row>
    <row r="837" spans="1:12" x14ac:dyDescent="0.2">
      <c r="A837" t="s">
        <v>18</v>
      </c>
      <c r="B837" t="s">
        <v>95</v>
      </c>
      <c r="C837" t="s">
        <v>13</v>
      </c>
      <c r="D837" t="s">
        <v>78</v>
      </c>
      <c r="E837" t="s">
        <v>64</v>
      </c>
      <c r="F837" t="s">
        <v>78</v>
      </c>
      <c r="G837" t="s">
        <v>546</v>
      </c>
      <c r="H837"/>
      <c r="I837"/>
      <c r="J837">
        <v>70</v>
      </c>
      <c r="L837" t="s">
        <v>547</v>
      </c>
    </row>
    <row r="838" spans="1:12" x14ac:dyDescent="0.2">
      <c r="A838" t="s">
        <v>18</v>
      </c>
      <c r="B838" t="s">
        <v>95</v>
      </c>
      <c r="C838" t="s">
        <v>13</v>
      </c>
      <c r="D838" t="s">
        <v>78</v>
      </c>
      <c r="E838" t="s">
        <v>64</v>
      </c>
      <c r="F838" t="s">
        <v>78</v>
      </c>
      <c r="G838" t="s">
        <v>570</v>
      </c>
      <c r="H838" t="s">
        <v>638</v>
      </c>
      <c r="I838"/>
      <c r="J838">
        <v>35</v>
      </c>
    </row>
    <row r="839" spans="1:12" x14ac:dyDescent="0.2">
      <c r="A839" t="s">
        <v>18</v>
      </c>
      <c r="B839" t="s">
        <v>95</v>
      </c>
      <c r="C839" t="s">
        <v>13</v>
      </c>
      <c r="D839" t="s">
        <v>78</v>
      </c>
      <c r="E839" t="s">
        <v>64</v>
      </c>
      <c r="F839" t="s">
        <v>78</v>
      </c>
      <c r="G839" t="s">
        <v>625</v>
      </c>
      <c r="H839" t="s">
        <v>266</v>
      </c>
      <c r="I839"/>
      <c r="J839">
        <v>300</v>
      </c>
    </row>
    <row r="840" spans="1:12" x14ac:dyDescent="0.2">
      <c r="A840" t="s">
        <v>18</v>
      </c>
      <c r="B840" t="s">
        <v>95</v>
      </c>
      <c r="C840" t="s">
        <v>13</v>
      </c>
      <c r="D840" t="s">
        <v>77</v>
      </c>
      <c r="E840" t="s">
        <v>64</v>
      </c>
      <c r="F840" t="s">
        <v>77</v>
      </c>
      <c r="G840" t="s">
        <v>546</v>
      </c>
      <c r="H840"/>
      <c r="I840"/>
      <c r="J840">
        <v>30</v>
      </c>
      <c r="L840" t="s">
        <v>547</v>
      </c>
    </row>
    <row r="841" spans="1:12" x14ac:dyDescent="0.2">
      <c r="A841" t="s">
        <v>12</v>
      </c>
      <c r="B841" t="s">
        <v>95</v>
      </c>
      <c r="C841" t="s">
        <v>13</v>
      </c>
      <c r="D841" t="s">
        <v>416</v>
      </c>
      <c r="E841" t="s">
        <v>64</v>
      </c>
      <c r="F841" t="s">
        <v>416</v>
      </c>
      <c r="G841" t="s">
        <v>546</v>
      </c>
      <c r="H841" t="s">
        <v>648</v>
      </c>
      <c r="I841"/>
      <c r="J841">
        <v>100</v>
      </c>
      <c r="L841" t="s">
        <v>547</v>
      </c>
    </row>
    <row r="842" spans="1:12" x14ac:dyDescent="0.2">
      <c r="A842" t="s">
        <v>12</v>
      </c>
      <c r="B842" t="s">
        <v>95</v>
      </c>
      <c r="C842" t="s">
        <v>13</v>
      </c>
      <c r="D842" t="s">
        <v>416</v>
      </c>
      <c r="E842" t="s">
        <v>84</v>
      </c>
      <c r="F842" t="s">
        <v>416</v>
      </c>
      <c r="G842" t="s">
        <v>546</v>
      </c>
      <c r="H842"/>
      <c r="I842"/>
      <c r="J842">
        <v>100</v>
      </c>
      <c r="L842" t="s">
        <v>584</v>
      </c>
    </row>
    <row r="843" spans="1:12" x14ac:dyDescent="0.2">
      <c r="A843" t="s">
        <v>12</v>
      </c>
      <c r="B843" t="s">
        <v>95</v>
      </c>
      <c r="C843" t="s">
        <v>13</v>
      </c>
      <c r="D843" t="s">
        <v>79</v>
      </c>
      <c r="E843" t="s">
        <v>84</v>
      </c>
      <c r="F843" t="s">
        <v>79</v>
      </c>
      <c r="G843" t="s">
        <v>546</v>
      </c>
      <c r="H843"/>
      <c r="I843"/>
      <c r="J843">
        <v>500</v>
      </c>
      <c r="L843" t="s">
        <v>584</v>
      </c>
    </row>
    <row r="844" spans="1:12" x14ac:dyDescent="0.2">
      <c r="A844" t="s">
        <v>12</v>
      </c>
      <c r="B844" t="s">
        <v>95</v>
      </c>
      <c r="C844" t="s">
        <v>13</v>
      </c>
      <c r="D844" t="s">
        <v>79</v>
      </c>
      <c r="E844" t="s">
        <v>84</v>
      </c>
      <c r="F844" t="s">
        <v>79</v>
      </c>
      <c r="G844" t="s">
        <v>546</v>
      </c>
      <c r="H844"/>
      <c r="I844"/>
      <c r="J844">
        <v>750</v>
      </c>
      <c r="L844" t="s">
        <v>547</v>
      </c>
    </row>
    <row r="845" spans="1:12" x14ac:dyDescent="0.2">
      <c r="A845" t="s">
        <v>12</v>
      </c>
      <c r="B845" t="s">
        <v>95</v>
      </c>
      <c r="C845" t="s">
        <v>13</v>
      </c>
      <c r="D845" t="s">
        <v>79</v>
      </c>
      <c r="E845" t="s">
        <v>84</v>
      </c>
      <c r="F845" t="s">
        <v>79</v>
      </c>
      <c r="G845" t="s">
        <v>544</v>
      </c>
      <c r="H845"/>
      <c r="I845"/>
      <c r="J845">
        <v>36.47</v>
      </c>
    </row>
    <row r="846" spans="1:12" x14ac:dyDescent="0.2">
      <c r="A846" t="s">
        <v>18</v>
      </c>
      <c r="B846" t="s">
        <v>95</v>
      </c>
      <c r="C846" t="s">
        <v>13</v>
      </c>
      <c r="D846" t="s">
        <v>325</v>
      </c>
      <c r="E846" t="s">
        <v>64</v>
      </c>
      <c r="F846" t="s">
        <v>325</v>
      </c>
      <c r="G846" t="s">
        <v>625</v>
      </c>
      <c r="H846" t="s">
        <v>627</v>
      </c>
      <c r="I846"/>
      <c r="J846">
        <v>200</v>
      </c>
    </row>
    <row r="847" spans="1:12" x14ac:dyDescent="0.2">
      <c r="A847" t="s">
        <v>12</v>
      </c>
      <c r="B847" t="s">
        <v>95</v>
      </c>
      <c r="C847" t="s">
        <v>13</v>
      </c>
      <c r="D847" t="s">
        <v>325</v>
      </c>
      <c r="E847" t="s">
        <v>64</v>
      </c>
      <c r="F847" t="s">
        <v>325</v>
      </c>
      <c r="G847" t="s">
        <v>546</v>
      </c>
      <c r="H847"/>
      <c r="I847"/>
      <c r="J847">
        <v>182</v>
      </c>
      <c r="L847" t="s">
        <v>547</v>
      </c>
    </row>
    <row r="848" spans="1:12" x14ac:dyDescent="0.2">
      <c r="A848" t="s">
        <v>12</v>
      </c>
      <c r="B848" t="s">
        <v>95</v>
      </c>
      <c r="C848" t="s">
        <v>13</v>
      </c>
      <c r="D848" t="s">
        <v>325</v>
      </c>
      <c r="E848" t="s">
        <v>64</v>
      </c>
      <c r="F848" t="s">
        <v>325</v>
      </c>
      <c r="G848" t="s">
        <v>546</v>
      </c>
      <c r="H848"/>
      <c r="I848"/>
      <c r="J848">
        <v>100</v>
      </c>
      <c r="L848" t="s">
        <v>547</v>
      </c>
    </row>
    <row r="849" spans="1:12" x14ac:dyDescent="0.2">
      <c r="A849" t="s">
        <v>12</v>
      </c>
      <c r="B849" t="s">
        <v>95</v>
      </c>
      <c r="C849" t="s">
        <v>13</v>
      </c>
      <c r="D849" t="s">
        <v>325</v>
      </c>
      <c r="E849" t="s">
        <v>64</v>
      </c>
      <c r="F849" t="s">
        <v>325</v>
      </c>
      <c r="G849" t="s">
        <v>546</v>
      </c>
      <c r="H849"/>
      <c r="I849"/>
      <c r="J849">
        <v>80</v>
      </c>
      <c r="L849" t="s">
        <v>584</v>
      </c>
    </row>
    <row r="850" spans="1:12" x14ac:dyDescent="0.2">
      <c r="A850" t="s">
        <v>12</v>
      </c>
      <c r="B850" t="s">
        <v>95</v>
      </c>
      <c r="C850" t="s">
        <v>13</v>
      </c>
      <c r="D850" t="s">
        <v>512</v>
      </c>
      <c r="E850" t="s">
        <v>64</v>
      </c>
      <c r="F850" t="s">
        <v>512</v>
      </c>
      <c r="G850" t="s">
        <v>546</v>
      </c>
      <c r="H850"/>
      <c r="I850"/>
      <c r="J850">
        <v>650</v>
      </c>
      <c r="L850" t="s">
        <v>547</v>
      </c>
    </row>
    <row r="851" spans="1:12" x14ac:dyDescent="0.2">
      <c r="A851" t="s">
        <v>12</v>
      </c>
      <c r="B851" t="s">
        <v>95</v>
      </c>
      <c r="C851" t="s">
        <v>13</v>
      </c>
      <c r="D851" t="s">
        <v>512</v>
      </c>
      <c r="E851" t="s">
        <v>64</v>
      </c>
      <c r="F851" t="s">
        <v>512</v>
      </c>
      <c r="G851" t="s">
        <v>546</v>
      </c>
      <c r="H851" t="s">
        <v>649</v>
      </c>
      <c r="I851"/>
      <c r="J851">
        <v>300</v>
      </c>
      <c r="L851" t="s">
        <v>381</v>
      </c>
    </row>
    <row r="852" spans="1:12" x14ac:dyDescent="0.2">
      <c r="A852" t="s">
        <v>12</v>
      </c>
      <c r="B852" t="s">
        <v>95</v>
      </c>
      <c r="C852" t="s">
        <v>13</v>
      </c>
      <c r="D852" t="s">
        <v>512</v>
      </c>
      <c r="E852" t="s">
        <v>64</v>
      </c>
      <c r="F852" t="s">
        <v>512</v>
      </c>
      <c r="G852" t="s">
        <v>546</v>
      </c>
      <c r="H852"/>
      <c r="I852"/>
      <c r="J852">
        <v>800</v>
      </c>
      <c r="L852" t="s">
        <v>584</v>
      </c>
    </row>
    <row r="853" spans="1:12" x14ac:dyDescent="0.2">
      <c r="A853" t="s">
        <v>12</v>
      </c>
      <c r="B853" t="s">
        <v>95</v>
      </c>
      <c r="C853" t="s">
        <v>13</v>
      </c>
      <c r="D853" t="s">
        <v>75</v>
      </c>
      <c r="E853" t="s">
        <v>64</v>
      </c>
      <c r="F853" t="s">
        <v>75</v>
      </c>
      <c r="G853" t="s">
        <v>546</v>
      </c>
      <c r="H853"/>
      <c r="I853"/>
      <c r="J853">
        <v>150</v>
      </c>
      <c r="L853" t="s">
        <v>547</v>
      </c>
    </row>
    <row r="854" spans="1:12" x14ac:dyDescent="0.2">
      <c r="A854" t="s">
        <v>12</v>
      </c>
      <c r="B854" t="s">
        <v>95</v>
      </c>
      <c r="C854" t="s">
        <v>13</v>
      </c>
      <c r="D854" t="s">
        <v>650</v>
      </c>
      <c r="E854" t="s">
        <v>64</v>
      </c>
      <c r="F854" t="s">
        <v>650</v>
      </c>
      <c r="G854" t="s">
        <v>651</v>
      </c>
      <c r="H854" t="s">
        <v>652</v>
      </c>
      <c r="I854"/>
      <c r="J854">
        <v>74.099999999999994</v>
      </c>
    </row>
    <row r="855" spans="1:12" x14ac:dyDescent="0.2">
      <c r="A855" t="s">
        <v>12</v>
      </c>
      <c r="B855" t="s">
        <v>95</v>
      </c>
      <c r="C855" t="s">
        <v>13</v>
      </c>
      <c r="D855" t="s">
        <v>650</v>
      </c>
      <c r="E855" t="s">
        <v>64</v>
      </c>
      <c r="F855" t="s">
        <v>650</v>
      </c>
      <c r="G855" t="s">
        <v>546</v>
      </c>
      <c r="H855"/>
      <c r="I855"/>
      <c r="J855">
        <v>100</v>
      </c>
      <c r="L855" t="s">
        <v>584</v>
      </c>
    </row>
    <row r="856" spans="1:12" x14ac:dyDescent="0.2">
      <c r="A856" t="s">
        <v>12</v>
      </c>
      <c r="B856" t="s">
        <v>95</v>
      </c>
      <c r="C856" t="s">
        <v>13</v>
      </c>
      <c r="D856" t="s">
        <v>331</v>
      </c>
      <c r="E856" t="s">
        <v>64</v>
      </c>
      <c r="F856" t="s">
        <v>331</v>
      </c>
      <c r="G856" t="s">
        <v>535</v>
      </c>
      <c r="H856" t="s">
        <v>653</v>
      </c>
      <c r="I856"/>
      <c r="J856">
        <v>32</v>
      </c>
    </row>
    <row r="857" spans="1:12" x14ac:dyDescent="0.2">
      <c r="A857" t="s">
        <v>12</v>
      </c>
      <c r="B857" t="s">
        <v>95</v>
      </c>
      <c r="C857" t="s">
        <v>13</v>
      </c>
      <c r="D857" t="s">
        <v>331</v>
      </c>
      <c r="E857" t="s">
        <v>84</v>
      </c>
      <c r="F857" t="s">
        <v>331</v>
      </c>
      <c r="G857" t="s">
        <v>535</v>
      </c>
      <c r="H857" t="s">
        <v>654</v>
      </c>
      <c r="I857"/>
      <c r="J857">
        <v>32.28</v>
      </c>
    </row>
    <row r="858" spans="1:12" x14ac:dyDescent="0.2">
      <c r="A858" t="s">
        <v>12</v>
      </c>
      <c r="B858" t="s">
        <v>95</v>
      </c>
      <c r="C858" t="s">
        <v>13</v>
      </c>
      <c r="D858" t="s">
        <v>331</v>
      </c>
      <c r="E858" t="s">
        <v>84</v>
      </c>
      <c r="F858" t="s">
        <v>331</v>
      </c>
      <c r="G858" t="s">
        <v>538</v>
      </c>
      <c r="H858" t="s">
        <v>655</v>
      </c>
      <c r="I858"/>
      <c r="J858">
        <v>94</v>
      </c>
    </row>
    <row r="859" spans="1:12" x14ac:dyDescent="0.2">
      <c r="A859" t="s">
        <v>12</v>
      </c>
      <c r="B859" t="s">
        <v>95</v>
      </c>
      <c r="C859" t="s">
        <v>13</v>
      </c>
      <c r="D859" t="s">
        <v>331</v>
      </c>
      <c r="E859" t="s">
        <v>84</v>
      </c>
      <c r="F859" t="s">
        <v>331</v>
      </c>
      <c r="G859" t="s">
        <v>580</v>
      </c>
      <c r="H859" t="s">
        <v>656</v>
      </c>
      <c r="I859"/>
      <c r="J859">
        <v>1000</v>
      </c>
      <c r="L859" t="s">
        <v>583</v>
      </c>
    </row>
    <row r="860" spans="1:12" x14ac:dyDescent="0.2">
      <c r="A860" t="s">
        <v>18</v>
      </c>
      <c r="B860" t="s">
        <v>95</v>
      </c>
      <c r="C860" t="s">
        <v>13</v>
      </c>
      <c r="D860" t="s">
        <v>331</v>
      </c>
      <c r="E860" t="s">
        <v>42</v>
      </c>
      <c r="F860" t="s">
        <v>331</v>
      </c>
      <c r="G860" t="s">
        <v>580</v>
      </c>
      <c r="H860"/>
      <c r="I860"/>
      <c r="J860">
        <v>1482.55</v>
      </c>
      <c r="L860" t="s">
        <v>657</v>
      </c>
    </row>
    <row r="861" spans="1:12" x14ac:dyDescent="0.2">
      <c r="A861" t="s">
        <v>12</v>
      </c>
      <c r="B861" t="s">
        <v>95</v>
      </c>
      <c r="C861" t="s">
        <v>13</v>
      </c>
      <c r="D861" t="s">
        <v>334</v>
      </c>
      <c r="E861" t="s">
        <v>84</v>
      </c>
      <c r="F861" t="s">
        <v>334</v>
      </c>
      <c r="G861" t="s">
        <v>561</v>
      </c>
      <c r="H861" t="s">
        <v>454</v>
      </c>
      <c r="I861"/>
      <c r="J861">
        <v>29.77</v>
      </c>
    </row>
    <row r="862" spans="1:12" x14ac:dyDescent="0.2">
      <c r="A862" t="s">
        <v>12</v>
      </c>
      <c r="B862" t="s">
        <v>95</v>
      </c>
      <c r="C862" t="s">
        <v>13</v>
      </c>
      <c r="D862" t="s">
        <v>334</v>
      </c>
      <c r="E862" t="s">
        <v>84</v>
      </c>
      <c r="F862" t="s">
        <v>334</v>
      </c>
      <c r="G862" t="s">
        <v>546</v>
      </c>
      <c r="H862"/>
      <c r="I862"/>
      <c r="J862">
        <v>192</v>
      </c>
      <c r="L862" t="s">
        <v>584</v>
      </c>
    </row>
    <row r="863" spans="1:12" x14ac:dyDescent="0.2">
      <c r="A863" t="s">
        <v>18</v>
      </c>
      <c r="B863" t="s">
        <v>95</v>
      </c>
      <c r="C863" t="s">
        <v>13</v>
      </c>
      <c r="D863" t="s">
        <v>421</v>
      </c>
      <c r="E863" t="s">
        <v>64</v>
      </c>
      <c r="F863" t="s">
        <v>421</v>
      </c>
      <c r="G863" t="s">
        <v>546</v>
      </c>
      <c r="H863"/>
      <c r="I863"/>
      <c r="J863">
        <v>300</v>
      </c>
      <c r="L863" t="s">
        <v>547</v>
      </c>
    </row>
    <row r="864" spans="1:12" x14ac:dyDescent="0.2">
      <c r="A864" t="s">
        <v>18</v>
      </c>
      <c r="B864" t="s">
        <v>95</v>
      </c>
      <c r="C864" t="s">
        <v>13</v>
      </c>
      <c r="D864" t="s">
        <v>421</v>
      </c>
      <c r="E864" t="s">
        <v>64</v>
      </c>
      <c r="F864" t="s">
        <v>421</v>
      </c>
      <c r="G864" t="s">
        <v>546</v>
      </c>
      <c r="H864"/>
      <c r="I864"/>
      <c r="J864">
        <v>1500</v>
      </c>
      <c r="L864" t="s">
        <v>584</v>
      </c>
    </row>
    <row r="865" spans="1:10" x14ac:dyDescent="0.2">
      <c r="A865" t="s">
        <v>18</v>
      </c>
      <c r="B865" t="s">
        <v>95</v>
      </c>
      <c r="C865" t="s">
        <v>13</v>
      </c>
      <c r="D865" t="s">
        <v>14</v>
      </c>
      <c r="E865" t="s">
        <v>15</v>
      </c>
      <c r="F865" t="s">
        <v>14</v>
      </c>
      <c r="G865" t="s">
        <v>693</v>
      </c>
      <c r="H865"/>
      <c r="I865"/>
      <c r="J865">
        <v>3.45</v>
      </c>
    </row>
    <row r="866" spans="1:10" x14ac:dyDescent="0.2">
      <c r="A866" t="s">
        <v>18</v>
      </c>
      <c r="B866" t="s">
        <v>95</v>
      </c>
      <c r="C866" t="s">
        <v>13</v>
      </c>
      <c r="D866" t="s">
        <v>14</v>
      </c>
      <c r="E866" t="s">
        <v>15</v>
      </c>
      <c r="F866" t="s">
        <v>14</v>
      </c>
      <c r="G866" t="s">
        <v>693</v>
      </c>
      <c r="H866"/>
      <c r="I866"/>
      <c r="J866">
        <v>3.45</v>
      </c>
    </row>
    <row r="867" spans="1:10" x14ac:dyDescent="0.2">
      <c r="A867" t="s">
        <v>18</v>
      </c>
      <c r="B867" t="s">
        <v>95</v>
      </c>
      <c r="C867" t="s">
        <v>13</v>
      </c>
      <c r="D867" t="s">
        <v>114</v>
      </c>
      <c r="E867" t="s">
        <v>15</v>
      </c>
      <c r="F867" t="s">
        <v>114</v>
      </c>
      <c r="G867" t="s">
        <v>693</v>
      </c>
      <c r="H867"/>
      <c r="I867"/>
      <c r="J867">
        <v>3.45</v>
      </c>
    </row>
    <row r="868" spans="1:10" x14ac:dyDescent="0.2">
      <c r="A868" t="s">
        <v>18</v>
      </c>
      <c r="B868" t="s">
        <v>95</v>
      </c>
      <c r="C868" t="s">
        <v>13</v>
      </c>
      <c r="D868" t="s">
        <v>21</v>
      </c>
      <c r="E868" t="s">
        <v>15</v>
      </c>
      <c r="F868" t="s">
        <v>21</v>
      </c>
      <c r="G868" t="s">
        <v>693</v>
      </c>
      <c r="H868"/>
      <c r="I868"/>
      <c r="J868">
        <v>3.45</v>
      </c>
    </row>
    <row r="869" spans="1:10" x14ac:dyDescent="0.2">
      <c r="A869" t="s">
        <v>18</v>
      </c>
      <c r="B869" t="s">
        <v>95</v>
      </c>
      <c r="C869" t="s">
        <v>13</v>
      </c>
      <c r="D869" t="s">
        <v>21</v>
      </c>
      <c r="E869" t="s">
        <v>15</v>
      </c>
      <c r="F869" t="s">
        <v>21</v>
      </c>
      <c r="G869" t="s">
        <v>693</v>
      </c>
      <c r="H869"/>
      <c r="I869"/>
      <c r="J869">
        <v>3.45</v>
      </c>
    </row>
    <row r="870" spans="1:10" x14ac:dyDescent="0.2">
      <c r="A870" t="s">
        <v>18</v>
      </c>
      <c r="B870" t="s">
        <v>95</v>
      </c>
      <c r="C870" t="s">
        <v>13</v>
      </c>
      <c r="D870" t="s">
        <v>21</v>
      </c>
      <c r="E870" t="s">
        <v>15</v>
      </c>
      <c r="F870" t="s">
        <v>21</v>
      </c>
      <c r="G870" t="s">
        <v>693</v>
      </c>
      <c r="H870"/>
      <c r="I870"/>
      <c r="J870">
        <v>3.45</v>
      </c>
    </row>
    <row r="871" spans="1:10" x14ac:dyDescent="0.2">
      <c r="A871" t="s">
        <v>18</v>
      </c>
      <c r="B871" t="s">
        <v>95</v>
      </c>
      <c r="C871" t="s">
        <v>13</v>
      </c>
      <c r="D871" t="s">
        <v>21</v>
      </c>
      <c r="E871" t="s">
        <v>15</v>
      </c>
      <c r="F871" t="s">
        <v>21</v>
      </c>
      <c r="G871" t="s">
        <v>693</v>
      </c>
      <c r="H871"/>
      <c r="I871"/>
      <c r="J871">
        <v>3.45</v>
      </c>
    </row>
    <row r="872" spans="1:10" x14ac:dyDescent="0.2">
      <c r="A872" t="s">
        <v>18</v>
      </c>
      <c r="B872" t="s">
        <v>95</v>
      </c>
      <c r="C872" t="s">
        <v>13</v>
      </c>
      <c r="D872" t="s">
        <v>21</v>
      </c>
      <c r="E872" t="s">
        <v>15</v>
      </c>
      <c r="F872" t="s">
        <v>21</v>
      </c>
      <c r="G872" t="s">
        <v>693</v>
      </c>
      <c r="H872"/>
      <c r="I872"/>
      <c r="J872">
        <v>3.45</v>
      </c>
    </row>
    <row r="873" spans="1:10" x14ac:dyDescent="0.2">
      <c r="A873" t="s">
        <v>18</v>
      </c>
      <c r="B873" t="s">
        <v>95</v>
      </c>
      <c r="C873" t="s">
        <v>13</v>
      </c>
      <c r="D873" t="s">
        <v>142</v>
      </c>
      <c r="E873" t="s">
        <v>15</v>
      </c>
      <c r="F873" t="s">
        <v>142</v>
      </c>
      <c r="G873" t="s">
        <v>693</v>
      </c>
      <c r="H873"/>
      <c r="I873"/>
      <c r="J873">
        <v>3.45</v>
      </c>
    </row>
    <row r="874" spans="1:10" x14ac:dyDescent="0.2">
      <c r="A874" t="s">
        <v>18</v>
      </c>
      <c r="B874" t="s">
        <v>95</v>
      </c>
      <c r="C874" t="s">
        <v>13</v>
      </c>
      <c r="D874" t="s">
        <v>142</v>
      </c>
      <c r="E874" t="s">
        <v>15</v>
      </c>
      <c r="F874" t="s">
        <v>142</v>
      </c>
      <c r="G874" t="s">
        <v>693</v>
      </c>
      <c r="H874"/>
      <c r="I874"/>
      <c r="J874">
        <v>3.45</v>
      </c>
    </row>
    <row r="875" spans="1:10" x14ac:dyDescent="0.2">
      <c r="A875" t="s">
        <v>18</v>
      </c>
      <c r="B875" t="s">
        <v>95</v>
      </c>
      <c r="C875" t="s">
        <v>13</v>
      </c>
      <c r="D875" t="s">
        <v>142</v>
      </c>
      <c r="E875" t="s">
        <v>15</v>
      </c>
      <c r="F875" t="s">
        <v>142</v>
      </c>
      <c r="G875" t="s">
        <v>693</v>
      </c>
      <c r="H875"/>
      <c r="I875"/>
      <c r="J875">
        <v>3.45</v>
      </c>
    </row>
    <row r="876" spans="1:10" x14ac:dyDescent="0.2">
      <c r="A876" t="s">
        <v>18</v>
      </c>
      <c r="B876" t="s">
        <v>95</v>
      </c>
      <c r="C876" t="s">
        <v>13</v>
      </c>
      <c r="D876" t="s">
        <v>24</v>
      </c>
      <c r="E876" t="s">
        <v>15</v>
      </c>
      <c r="F876" t="s">
        <v>24</v>
      </c>
      <c r="G876" t="s">
        <v>693</v>
      </c>
      <c r="H876"/>
      <c r="I876"/>
      <c r="J876">
        <v>3.45</v>
      </c>
    </row>
    <row r="877" spans="1:10" x14ac:dyDescent="0.2">
      <c r="A877" t="s">
        <v>18</v>
      </c>
      <c r="B877" t="s">
        <v>95</v>
      </c>
      <c r="C877" t="s">
        <v>13</v>
      </c>
      <c r="D877" t="s">
        <v>24</v>
      </c>
      <c r="E877" t="s">
        <v>15</v>
      </c>
      <c r="F877" t="s">
        <v>24</v>
      </c>
      <c r="G877" t="s">
        <v>693</v>
      </c>
      <c r="H877"/>
      <c r="I877"/>
      <c r="J877">
        <v>3.45</v>
      </c>
    </row>
    <row r="878" spans="1:10" x14ac:dyDescent="0.2">
      <c r="A878" t="s">
        <v>18</v>
      </c>
      <c r="B878" t="s">
        <v>95</v>
      </c>
      <c r="C878" t="s">
        <v>13</v>
      </c>
      <c r="D878" t="s">
        <v>24</v>
      </c>
      <c r="E878" t="s">
        <v>15</v>
      </c>
      <c r="F878" t="s">
        <v>24</v>
      </c>
      <c r="G878" t="s">
        <v>693</v>
      </c>
      <c r="H878"/>
      <c r="I878"/>
      <c r="J878">
        <v>3.45</v>
      </c>
    </row>
    <row r="879" spans="1:10" x14ac:dyDescent="0.2">
      <c r="A879" t="s">
        <v>18</v>
      </c>
      <c r="B879" t="s">
        <v>95</v>
      </c>
      <c r="C879" t="s">
        <v>13</v>
      </c>
      <c r="D879" t="s">
        <v>167</v>
      </c>
      <c r="E879" t="s">
        <v>15</v>
      </c>
      <c r="F879" t="s">
        <v>167</v>
      </c>
      <c r="G879" t="s">
        <v>693</v>
      </c>
      <c r="H879"/>
      <c r="I879"/>
      <c r="J879">
        <v>3.45</v>
      </c>
    </row>
    <row r="880" spans="1:10" x14ac:dyDescent="0.2">
      <c r="A880" t="s">
        <v>27</v>
      </c>
      <c r="B880" t="s">
        <v>95</v>
      </c>
      <c r="C880" t="s">
        <v>13</v>
      </c>
      <c r="D880" t="s">
        <v>28</v>
      </c>
      <c r="E880" t="s">
        <v>15</v>
      </c>
      <c r="F880" t="s">
        <v>28</v>
      </c>
      <c r="G880" t="s">
        <v>693</v>
      </c>
      <c r="H880" t="s">
        <v>694</v>
      </c>
      <c r="I880"/>
      <c r="J880">
        <v>168.5</v>
      </c>
    </row>
    <row r="881" spans="1:12" x14ac:dyDescent="0.2">
      <c r="A881" t="s">
        <v>18</v>
      </c>
      <c r="B881" t="s">
        <v>95</v>
      </c>
      <c r="C881" t="s">
        <v>13</v>
      </c>
      <c r="D881" t="s">
        <v>191</v>
      </c>
      <c r="E881" t="s">
        <v>15</v>
      </c>
      <c r="F881" t="s">
        <v>191</v>
      </c>
      <c r="G881" t="s">
        <v>693</v>
      </c>
      <c r="H881" t="s">
        <v>695</v>
      </c>
      <c r="I881"/>
      <c r="J881">
        <v>3.45</v>
      </c>
    </row>
    <row r="882" spans="1:12" x14ac:dyDescent="0.2">
      <c r="A882" t="s">
        <v>18</v>
      </c>
      <c r="B882" t="s">
        <v>95</v>
      </c>
      <c r="C882" t="s">
        <v>13</v>
      </c>
      <c r="D882" t="s">
        <v>190</v>
      </c>
      <c r="E882" t="s">
        <v>15</v>
      </c>
      <c r="F882" t="s">
        <v>190</v>
      </c>
      <c r="G882" t="s">
        <v>693</v>
      </c>
      <c r="H882" t="s">
        <v>695</v>
      </c>
      <c r="I882"/>
      <c r="J882">
        <v>3.45</v>
      </c>
    </row>
    <row r="883" spans="1:12" x14ac:dyDescent="0.2">
      <c r="A883" t="s">
        <v>18</v>
      </c>
      <c r="B883" t="s">
        <v>95</v>
      </c>
      <c r="C883" t="s">
        <v>13</v>
      </c>
      <c r="D883" t="s">
        <v>190</v>
      </c>
      <c r="E883" t="s">
        <v>15</v>
      </c>
      <c r="F883" t="s">
        <v>190</v>
      </c>
      <c r="G883" t="s">
        <v>693</v>
      </c>
      <c r="H883" t="s">
        <v>696</v>
      </c>
      <c r="I883"/>
      <c r="J883">
        <v>3.45</v>
      </c>
    </row>
    <row r="884" spans="1:12" x14ac:dyDescent="0.2">
      <c r="A884" t="s">
        <v>18</v>
      </c>
      <c r="B884" t="s">
        <v>95</v>
      </c>
      <c r="C884" t="s">
        <v>13</v>
      </c>
      <c r="D884" t="s">
        <v>190</v>
      </c>
      <c r="E884" t="s">
        <v>15</v>
      </c>
      <c r="F884" t="s">
        <v>190</v>
      </c>
      <c r="G884" t="s">
        <v>693</v>
      </c>
      <c r="H884" t="s">
        <v>696</v>
      </c>
      <c r="I884"/>
      <c r="J884">
        <v>3.45</v>
      </c>
    </row>
    <row r="885" spans="1:12" x14ac:dyDescent="0.2">
      <c r="A885" t="s">
        <v>12</v>
      </c>
      <c r="B885" t="s">
        <v>95</v>
      </c>
      <c r="C885" t="s">
        <v>13</v>
      </c>
      <c r="D885" t="s">
        <v>38</v>
      </c>
      <c r="E885" t="s">
        <v>15</v>
      </c>
      <c r="F885" t="s">
        <v>38</v>
      </c>
      <c r="G885" t="s">
        <v>693</v>
      </c>
      <c r="H885" t="s">
        <v>694</v>
      </c>
      <c r="I885"/>
      <c r="J885">
        <v>75</v>
      </c>
    </row>
    <row r="886" spans="1:12" x14ac:dyDescent="0.2">
      <c r="A886" t="s">
        <v>18</v>
      </c>
      <c r="B886" t="s">
        <v>95</v>
      </c>
      <c r="C886" t="s">
        <v>13</v>
      </c>
      <c r="D886" t="s">
        <v>38</v>
      </c>
      <c r="E886" t="s">
        <v>15</v>
      </c>
      <c r="F886" t="s">
        <v>38</v>
      </c>
      <c r="G886" t="s">
        <v>693</v>
      </c>
      <c r="H886" t="s">
        <v>695</v>
      </c>
      <c r="I886"/>
      <c r="J886">
        <v>3.45</v>
      </c>
    </row>
    <row r="887" spans="1:12" x14ac:dyDescent="0.2">
      <c r="A887" t="s">
        <v>18</v>
      </c>
      <c r="B887" t="s">
        <v>95</v>
      </c>
      <c r="C887" t="s">
        <v>13</v>
      </c>
      <c r="D887" t="s">
        <v>38</v>
      </c>
      <c r="E887" t="s">
        <v>42</v>
      </c>
      <c r="F887" t="s">
        <v>38</v>
      </c>
      <c r="G887" t="s">
        <v>693</v>
      </c>
      <c r="H887"/>
      <c r="I887"/>
      <c r="J887">
        <v>3.45</v>
      </c>
    </row>
    <row r="888" spans="1:12" x14ac:dyDescent="0.2">
      <c r="A888" t="s">
        <v>18</v>
      </c>
      <c r="B888" t="s">
        <v>95</v>
      </c>
      <c r="C888" t="s">
        <v>13</v>
      </c>
      <c r="D888" t="s">
        <v>127</v>
      </c>
      <c r="E888" t="s">
        <v>42</v>
      </c>
      <c r="F888" t="s">
        <v>127</v>
      </c>
      <c r="G888" t="s">
        <v>693</v>
      </c>
      <c r="H888" t="s">
        <v>695</v>
      </c>
      <c r="I888"/>
      <c r="J888">
        <v>3.45</v>
      </c>
    </row>
    <row r="889" spans="1:12" x14ac:dyDescent="0.2">
      <c r="A889" t="s">
        <v>215</v>
      </c>
      <c r="B889" t="s">
        <v>95</v>
      </c>
      <c r="C889" t="s">
        <v>13</v>
      </c>
      <c r="D889" t="s">
        <v>216</v>
      </c>
      <c r="E889" t="s">
        <v>42</v>
      </c>
      <c r="F889" t="s">
        <v>216</v>
      </c>
      <c r="G889" t="s">
        <v>693</v>
      </c>
      <c r="H889" t="s">
        <v>697</v>
      </c>
      <c r="I889"/>
      <c r="J889">
        <v>0.99</v>
      </c>
    </row>
    <row r="890" spans="1:12" x14ac:dyDescent="0.2">
      <c r="A890" t="s">
        <v>18</v>
      </c>
      <c r="B890" t="s">
        <v>95</v>
      </c>
      <c r="C890" t="s">
        <v>13</v>
      </c>
      <c r="D890" t="s">
        <v>52</v>
      </c>
      <c r="E890" t="s">
        <v>42</v>
      </c>
      <c r="F890" t="s">
        <v>52</v>
      </c>
      <c r="G890" t="s">
        <v>693</v>
      </c>
      <c r="H890" t="s">
        <v>695</v>
      </c>
      <c r="I890"/>
      <c r="J890">
        <v>3.45</v>
      </c>
    </row>
    <row r="891" spans="1:12" x14ac:dyDescent="0.2">
      <c r="A891" t="s">
        <v>18</v>
      </c>
      <c r="B891" t="s">
        <v>95</v>
      </c>
      <c r="C891" t="s">
        <v>13</v>
      </c>
      <c r="D891" t="s">
        <v>52</v>
      </c>
      <c r="E891" t="s">
        <v>42</v>
      </c>
      <c r="F891" t="s">
        <v>52</v>
      </c>
      <c r="G891" t="s">
        <v>693</v>
      </c>
      <c r="H891" t="s">
        <v>695</v>
      </c>
      <c r="I891"/>
      <c r="J891">
        <v>3.45</v>
      </c>
    </row>
    <row r="892" spans="1:12" x14ac:dyDescent="0.2">
      <c r="A892" t="s">
        <v>18</v>
      </c>
      <c r="B892" t="s">
        <v>95</v>
      </c>
      <c r="C892" t="s">
        <v>13</v>
      </c>
      <c r="D892" t="s">
        <v>52</v>
      </c>
      <c r="E892" t="s">
        <v>42</v>
      </c>
      <c r="F892" t="s">
        <v>52</v>
      </c>
      <c r="G892" t="s">
        <v>693</v>
      </c>
      <c r="H892" t="s">
        <v>696</v>
      </c>
      <c r="I892"/>
      <c r="J892">
        <v>3.45</v>
      </c>
    </row>
    <row r="893" spans="1:12" x14ac:dyDescent="0.2">
      <c r="A893" t="s">
        <v>18</v>
      </c>
      <c r="B893" t="s">
        <v>95</v>
      </c>
      <c r="C893" t="s">
        <v>13</v>
      </c>
      <c r="D893" t="s">
        <v>52</v>
      </c>
      <c r="E893" t="s">
        <v>42</v>
      </c>
      <c r="F893" t="s">
        <v>52</v>
      </c>
      <c r="G893" t="s">
        <v>693</v>
      </c>
      <c r="H893" t="s">
        <v>696</v>
      </c>
      <c r="I893"/>
      <c r="J893">
        <v>3.45</v>
      </c>
    </row>
    <row r="894" spans="1:12" x14ac:dyDescent="0.2">
      <c r="A894" t="s">
        <v>18</v>
      </c>
      <c r="B894" t="s">
        <v>95</v>
      </c>
      <c r="C894" t="s">
        <v>13</v>
      </c>
      <c r="D894" t="s">
        <v>52</v>
      </c>
      <c r="E894" t="s">
        <v>42</v>
      </c>
      <c r="F894" t="s">
        <v>52</v>
      </c>
      <c r="G894" t="s">
        <v>693</v>
      </c>
      <c r="H894" t="s">
        <v>696</v>
      </c>
      <c r="I894"/>
      <c r="J894">
        <v>3.45</v>
      </c>
    </row>
    <row r="895" spans="1:12" x14ac:dyDescent="0.2">
      <c r="A895" t="s">
        <v>215</v>
      </c>
      <c r="B895" t="s">
        <v>222</v>
      </c>
      <c r="C895" t="s">
        <v>13</v>
      </c>
      <c r="D895" t="s">
        <v>43</v>
      </c>
      <c r="E895" t="s">
        <v>42</v>
      </c>
      <c r="F895" t="s">
        <v>43</v>
      </c>
      <c r="G895" t="s">
        <v>693</v>
      </c>
      <c r="H895" t="s">
        <v>698</v>
      </c>
      <c r="I895"/>
      <c r="J895">
        <v>0.99</v>
      </c>
      <c r="K895" t="s">
        <v>224</v>
      </c>
      <c r="L895" t="s">
        <v>225</v>
      </c>
    </row>
    <row r="896" spans="1:12" x14ac:dyDescent="0.2">
      <c r="A896" t="s">
        <v>18</v>
      </c>
      <c r="B896" t="s">
        <v>95</v>
      </c>
      <c r="C896" t="s">
        <v>13</v>
      </c>
      <c r="D896" t="s">
        <v>44</v>
      </c>
      <c r="E896" t="s">
        <v>42</v>
      </c>
      <c r="F896" t="s">
        <v>44</v>
      </c>
      <c r="G896" t="s">
        <v>693</v>
      </c>
      <c r="H896" t="s">
        <v>696</v>
      </c>
      <c r="I896"/>
      <c r="J896">
        <v>3.45</v>
      </c>
    </row>
    <row r="897" spans="1:12" x14ac:dyDescent="0.2">
      <c r="A897" t="s">
        <v>18</v>
      </c>
      <c r="B897" t="s">
        <v>95</v>
      </c>
      <c r="C897" t="s">
        <v>13</v>
      </c>
      <c r="D897" t="s">
        <v>44</v>
      </c>
      <c r="E897" t="s">
        <v>42</v>
      </c>
      <c r="F897" t="s">
        <v>44</v>
      </c>
      <c r="G897" t="s">
        <v>693</v>
      </c>
      <c r="H897" t="s">
        <v>696</v>
      </c>
      <c r="I897"/>
      <c r="J897">
        <v>3.45</v>
      </c>
    </row>
    <row r="898" spans="1:12" x14ac:dyDescent="0.2">
      <c r="A898" t="s">
        <v>18</v>
      </c>
      <c r="B898" t="s">
        <v>95</v>
      </c>
      <c r="C898" t="s">
        <v>13</v>
      </c>
      <c r="D898" t="s">
        <v>44</v>
      </c>
      <c r="E898" t="s">
        <v>42</v>
      </c>
      <c r="F898" t="s">
        <v>44</v>
      </c>
      <c r="G898" t="s">
        <v>693</v>
      </c>
      <c r="H898" t="s">
        <v>696</v>
      </c>
      <c r="I898"/>
      <c r="J898">
        <v>3.45</v>
      </c>
    </row>
    <row r="899" spans="1:12" x14ac:dyDescent="0.2">
      <c r="A899" t="s">
        <v>18</v>
      </c>
      <c r="B899" t="s">
        <v>95</v>
      </c>
      <c r="C899" t="s">
        <v>13</v>
      </c>
      <c r="D899" t="s">
        <v>231</v>
      </c>
      <c r="E899" t="s">
        <v>42</v>
      </c>
      <c r="F899" t="s">
        <v>231</v>
      </c>
      <c r="G899" t="s">
        <v>693</v>
      </c>
      <c r="H899" t="s">
        <v>696</v>
      </c>
      <c r="I899"/>
      <c r="J899">
        <v>3.45</v>
      </c>
    </row>
    <row r="900" spans="1:12" x14ac:dyDescent="0.2">
      <c r="A900" t="s">
        <v>18</v>
      </c>
      <c r="B900" t="s">
        <v>95</v>
      </c>
      <c r="C900" t="s">
        <v>13</v>
      </c>
      <c r="D900" t="s">
        <v>231</v>
      </c>
      <c r="E900" t="s">
        <v>42</v>
      </c>
      <c r="F900" t="s">
        <v>231</v>
      </c>
      <c r="G900" t="s">
        <v>693</v>
      </c>
      <c r="H900" t="s">
        <v>696</v>
      </c>
      <c r="I900"/>
      <c r="J900">
        <v>3.45</v>
      </c>
    </row>
    <row r="901" spans="1:12" x14ac:dyDescent="0.2">
      <c r="A901" t="s">
        <v>18</v>
      </c>
      <c r="B901" t="s">
        <v>95</v>
      </c>
      <c r="C901" t="s">
        <v>13</v>
      </c>
      <c r="D901" t="s">
        <v>47</v>
      </c>
      <c r="E901" t="s">
        <v>42</v>
      </c>
      <c r="F901" t="s">
        <v>47</v>
      </c>
      <c r="G901" t="s">
        <v>693</v>
      </c>
      <c r="H901" t="s">
        <v>695</v>
      </c>
      <c r="I901"/>
      <c r="J901">
        <v>3.45</v>
      </c>
    </row>
    <row r="902" spans="1:12" x14ac:dyDescent="0.2">
      <c r="A902" t="s">
        <v>18</v>
      </c>
      <c r="B902" t="s">
        <v>95</v>
      </c>
      <c r="C902" t="s">
        <v>13</v>
      </c>
      <c r="D902" t="s">
        <v>46</v>
      </c>
      <c r="E902" t="s">
        <v>42</v>
      </c>
      <c r="F902" t="s">
        <v>46</v>
      </c>
      <c r="G902" t="s">
        <v>693</v>
      </c>
      <c r="H902" t="s">
        <v>696</v>
      </c>
      <c r="I902"/>
      <c r="J902">
        <v>3.45</v>
      </c>
    </row>
    <row r="903" spans="1:12" x14ac:dyDescent="0.2">
      <c r="A903" t="s">
        <v>27</v>
      </c>
      <c r="B903" t="s">
        <v>95</v>
      </c>
      <c r="C903" t="s">
        <v>13</v>
      </c>
      <c r="D903" t="s">
        <v>54</v>
      </c>
      <c r="E903" t="s">
        <v>42</v>
      </c>
      <c r="F903" t="s">
        <v>54</v>
      </c>
      <c r="G903" t="s">
        <v>693</v>
      </c>
      <c r="H903" t="s">
        <v>694</v>
      </c>
      <c r="I903"/>
      <c r="J903">
        <v>168.5</v>
      </c>
    </row>
    <row r="904" spans="1:12" x14ac:dyDescent="0.2">
      <c r="A904" t="s">
        <v>215</v>
      </c>
      <c r="B904" t="s">
        <v>200</v>
      </c>
      <c r="C904" t="s">
        <v>13</v>
      </c>
      <c r="D904" t="s">
        <v>54</v>
      </c>
      <c r="E904" t="s">
        <v>64</v>
      </c>
      <c r="F904" t="s">
        <v>54</v>
      </c>
      <c r="G904" t="s">
        <v>693</v>
      </c>
      <c r="H904" t="s">
        <v>699</v>
      </c>
      <c r="I904"/>
      <c r="J904">
        <v>0.99</v>
      </c>
      <c r="K904" t="s">
        <v>146</v>
      </c>
      <c r="L904" t="s">
        <v>147</v>
      </c>
    </row>
    <row r="905" spans="1:12" x14ac:dyDescent="0.2">
      <c r="A905" t="s">
        <v>18</v>
      </c>
      <c r="B905" t="s">
        <v>95</v>
      </c>
      <c r="C905" t="s">
        <v>13</v>
      </c>
      <c r="D905" t="s">
        <v>62</v>
      </c>
      <c r="E905" t="s">
        <v>42</v>
      </c>
      <c r="F905" t="s">
        <v>62</v>
      </c>
      <c r="G905" t="s">
        <v>693</v>
      </c>
      <c r="H905" t="s">
        <v>696</v>
      </c>
      <c r="I905"/>
      <c r="J905">
        <v>3.45</v>
      </c>
    </row>
    <row r="906" spans="1:12" x14ac:dyDescent="0.2">
      <c r="A906" t="s">
        <v>18</v>
      </c>
      <c r="B906" t="s">
        <v>95</v>
      </c>
      <c r="C906" t="s">
        <v>13</v>
      </c>
      <c r="D906" t="s">
        <v>62</v>
      </c>
      <c r="E906" t="s">
        <v>42</v>
      </c>
      <c r="F906" t="s">
        <v>62</v>
      </c>
      <c r="G906" t="s">
        <v>693</v>
      </c>
      <c r="H906" t="s">
        <v>696</v>
      </c>
      <c r="I906"/>
      <c r="J906">
        <v>3.45</v>
      </c>
    </row>
    <row r="907" spans="1:12" x14ac:dyDescent="0.2">
      <c r="A907" t="s">
        <v>18</v>
      </c>
      <c r="B907" t="s">
        <v>95</v>
      </c>
      <c r="C907" t="s">
        <v>13</v>
      </c>
      <c r="D907" t="s">
        <v>256</v>
      </c>
      <c r="E907" t="s">
        <v>42</v>
      </c>
      <c r="F907" t="s">
        <v>256</v>
      </c>
      <c r="G907" t="s">
        <v>693</v>
      </c>
      <c r="H907" t="s">
        <v>696</v>
      </c>
      <c r="I907"/>
      <c r="J907">
        <v>3.45</v>
      </c>
    </row>
    <row r="908" spans="1:12" x14ac:dyDescent="0.2">
      <c r="A908" t="s">
        <v>12</v>
      </c>
      <c r="B908" t="s">
        <v>95</v>
      </c>
      <c r="C908" t="s">
        <v>13</v>
      </c>
      <c r="D908" t="s">
        <v>256</v>
      </c>
      <c r="E908" t="s">
        <v>42</v>
      </c>
      <c r="F908" t="s">
        <v>256</v>
      </c>
      <c r="G908" t="s">
        <v>693</v>
      </c>
      <c r="H908" t="s">
        <v>700</v>
      </c>
      <c r="I908"/>
      <c r="J908">
        <v>8.1199999999999992</v>
      </c>
    </row>
    <row r="909" spans="1:12" x14ac:dyDescent="0.2">
      <c r="A909" t="s">
        <v>12</v>
      </c>
      <c r="B909" t="s">
        <v>95</v>
      </c>
      <c r="C909" t="s">
        <v>13</v>
      </c>
      <c r="D909" t="s">
        <v>256</v>
      </c>
      <c r="E909" t="s">
        <v>42</v>
      </c>
      <c r="F909" t="s">
        <v>265</v>
      </c>
      <c r="G909" t="s">
        <v>693</v>
      </c>
      <c r="H909" t="s">
        <v>700</v>
      </c>
      <c r="I909"/>
      <c r="J909">
        <v>66.88</v>
      </c>
    </row>
    <row r="910" spans="1:12" x14ac:dyDescent="0.2">
      <c r="A910" t="s">
        <v>215</v>
      </c>
      <c r="B910" t="s">
        <v>125</v>
      </c>
      <c r="C910" t="s">
        <v>13</v>
      </c>
      <c r="D910" t="s">
        <v>256</v>
      </c>
      <c r="E910" t="s">
        <v>42</v>
      </c>
      <c r="F910" t="s">
        <v>256</v>
      </c>
      <c r="G910" t="s">
        <v>693</v>
      </c>
      <c r="H910" t="s">
        <v>701</v>
      </c>
      <c r="I910"/>
      <c r="J910">
        <v>0.99</v>
      </c>
      <c r="K910" t="s">
        <v>262</v>
      </c>
      <c r="L910" t="s">
        <v>147</v>
      </c>
    </row>
    <row r="911" spans="1:12" x14ac:dyDescent="0.2">
      <c r="A911" t="s">
        <v>18</v>
      </c>
      <c r="B911" t="s">
        <v>95</v>
      </c>
      <c r="C911" t="s">
        <v>13</v>
      </c>
      <c r="D911" t="s">
        <v>257</v>
      </c>
      <c r="E911" t="s">
        <v>42</v>
      </c>
      <c r="F911" t="s">
        <v>257</v>
      </c>
      <c r="G911" t="s">
        <v>693</v>
      </c>
      <c r="H911" t="s">
        <v>696</v>
      </c>
      <c r="I911"/>
      <c r="J911">
        <v>3.45</v>
      </c>
    </row>
    <row r="912" spans="1:12" x14ac:dyDescent="0.2">
      <c r="A912" t="s">
        <v>27</v>
      </c>
      <c r="B912" t="s">
        <v>95</v>
      </c>
      <c r="C912" t="s">
        <v>13</v>
      </c>
      <c r="D912" t="s">
        <v>257</v>
      </c>
      <c r="E912" t="s">
        <v>42</v>
      </c>
      <c r="F912" t="s">
        <v>257</v>
      </c>
      <c r="G912" t="s">
        <v>693</v>
      </c>
      <c r="H912" t="s">
        <v>702</v>
      </c>
      <c r="I912"/>
      <c r="J912">
        <v>9.8000000000000007</v>
      </c>
    </row>
    <row r="913" spans="1:12" x14ac:dyDescent="0.2">
      <c r="A913" t="s">
        <v>215</v>
      </c>
      <c r="B913" t="s">
        <v>125</v>
      </c>
      <c r="C913" t="s">
        <v>13</v>
      </c>
      <c r="D913" t="s">
        <v>63</v>
      </c>
      <c r="E913" t="s">
        <v>64</v>
      </c>
      <c r="F913" t="s">
        <v>63</v>
      </c>
      <c r="G913" t="s">
        <v>693</v>
      </c>
      <c r="H913" t="s">
        <v>703</v>
      </c>
      <c r="I913"/>
      <c r="J913">
        <v>0.99</v>
      </c>
      <c r="L913" t="s">
        <v>285</v>
      </c>
    </row>
    <row r="914" spans="1:12" x14ac:dyDescent="0.2">
      <c r="A914" t="s">
        <v>18</v>
      </c>
      <c r="B914" t="s">
        <v>95</v>
      </c>
      <c r="C914" t="s">
        <v>13</v>
      </c>
      <c r="D914" t="s">
        <v>63</v>
      </c>
      <c r="E914" t="s">
        <v>64</v>
      </c>
      <c r="F914" t="s">
        <v>63</v>
      </c>
      <c r="G914" t="s">
        <v>693</v>
      </c>
      <c r="H914" t="s">
        <v>696</v>
      </c>
      <c r="I914"/>
      <c r="J914">
        <v>3.45</v>
      </c>
      <c r="L914" t="s">
        <v>131</v>
      </c>
    </row>
    <row r="915" spans="1:12" x14ac:dyDescent="0.2">
      <c r="A915" t="s">
        <v>18</v>
      </c>
      <c r="B915" t="s">
        <v>125</v>
      </c>
      <c r="C915" t="s">
        <v>13</v>
      </c>
      <c r="D915" t="s">
        <v>63</v>
      </c>
      <c r="E915" t="s">
        <v>64</v>
      </c>
      <c r="F915" t="s">
        <v>63</v>
      </c>
      <c r="G915" t="s">
        <v>693</v>
      </c>
      <c r="H915" t="s">
        <v>696</v>
      </c>
      <c r="I915"/>
      <c r="J915">
        <v>3.45</v>
      </c>
      <c r="L915" t="s">
        <v>103</v>
      </c>
    </row>
    <row r="916" spans="1:12" x14ac:dyDescent="0.2">
      <c r="A916" t="s">
        <v>27</v>
      </c>
      <c r="B916" t="s">
        <v>95</v>
      </c>
      <c r="C916" t="s">
        <v>13</v>
      </c>
      <c r="D916" t="s">
        <v>282</v>
      </c>
      <c r="E916" t="s">
        <v>64</v>
      </c>
      <c r="F916" t="s">
        <v>282</v>
      </c>
      <c r="G916" t="s">
        <v>693</v>
      </c>
      <c r="H916" t="s">
        <v>704</v>
      </c>
      <c r="I916"/>
      <c r="J916">
        <v>3.92</v>
      </c>
    </row>
    <row r="917" spans="1:12" x14ac:dyDescent="0.2">
      <c r="A917" t="s">
        <v>18</v>
      </c>
      <c r="B917" t="s">
        <v>125</v>
      </c>
      <c r="C917" t="s">
        <v>13</v>
      </c>
      <c r="D917" t="s">
        <v>282</v>
      </c>
      <c r="E917" t="s">
        <v>64</v>
      </c>
      <c r="F917" t="s">
        <v>282</v>
      </c>
      <c r="G917" t="s">
        <v>693</v>
      </c>
      <c r="H917" t="s">
        <v>696</v>
      </c>
      <c r="I917"/>
      <c r="J917">
        <v>3.45</v>
      </c>
      <c r="K917" t="s">
        <v>116</v>
      </c>
      <c r="L917" t="s">
        <v>117</v>
      </c>
    </row>
    <row r="918" spans="1:12" x14ac:dyDescent="0.2">
      <c r="A918" t="s">
        <v>18</v>
      </c>
      <c r="B918" t="s">
        <v>125</v>
      </c>
      <c r="C918" t="s">
        <v>13</v>
      </c>
      <c r="D918" t="s">
        <v>66</v>
      </c>
      <c r="E918" t="s">
        <v>64</v>
      </c>
      <c r="F918" t="s">
        <v>66</v>
      </c>
      <c r="G918" t="s">
        <v>693</v>
      </c>
      <c r="H918" t="s">
        <v>696</v>
      </c>
      <c r="I918"/>
      <c r="J918">
        <v>3.45</v>
      </c>
      <c r="L918" t="s">
        <v>132</v>
      </c>
    </row>
    <row r="919" spans="1:12" x14ac:dyDescent="0.2">
      <c r="A919" t="s">
        <v>215</v>
      </c>
      <c r="B919" t="s">
        <v>222</v>
      </c>
      <c r="C919" t="s">
        <v>13</v>
      </c>
      <c r="D919" t="s">
        <v>289</v>
      </c>
      <c r="E919" t="s">
        <v>64</v>
      </c>
      <c r="F919" t="s">
        <v>289</v>
      </c>
      <c r="G919" t="s">
        <v>693</v>
      </c>
      <c r="H919" t="s">
        <v>705</v>
      </c>
      <c r="I919"/>
      <c r="J919">
        <v>0.99</v>
      </c>
      <c r="K919" t="s">
        <v>224</v>
      </c>
      <c r="L919" t="s">
        <v>225</v>
      </c>
    </row>
    <row r="920" spans="1:12" x14ac:dyDescent="0.2">
      <c r="A920" t="s">
        <v>18</v>
      </c>
      <c r="B920" t="s">
        <v>125</v>
      </c>
      <c r="C920" t="s">
        <v>13</v>
      </c>
      <c r="D920" t="s">
        <v>289</v>
      </c>
      <c r="E920" t="s">
        <v>64</v>
      </c>
      <c r="F920" t="s">
        <v>289</v>
      </c>
      <c r="G920" t="s">
        <v>693</v>
      </c>
      <c r="H920" t="s">
        <v>696</v>
      </c>
      <c r="I920"/>
      <c r="J920">
        <v>3.45</v>
      </c>
      <c r="K920" t="s">
        <v>138</v>
      </c>
      <c r="L920" t="s">
        <v>139</v>
      </c>
    </row>
    <row r="921" spans="1:12" x14ac:dyDescent="0.2">
      <c r="A921" t="s">
        <v>18</v>
      </c>
      <c r="B921" t="s">
        <v>125</v>
      </c>
      <c r="C921" t="s">
        <v>13</v>
      </c>
      <c r="D921" t="s">
        <v>289</v>
      </c>
      <c r="E921" t="s">
        <v>64</v>
      </c>
      <c r="F921" t="s">
        <v>289</v>
      </c>
      <c r="G921" t="s">
        <v>693</v>
      </c>
      <c r="H921" t="s">
        <v>696</v>
      </c>
      <c r="I921"/>
      <c r="J921">
        <v>3.45</v>
      </c>
      <c r="K921" t="s">
        <v>123</v>
      </c>
      <c r="L921" t="s">
        <v>124</v>
      </c>
    </row>
    <row r="922" spans="1:12" x14ac:dyDescent="0.2">
      <c r="A922" t="s">
        <v>18</v>
      </c>
      <c r="B922" t="s">
        <v>110</v>
      </c>
      <c r="C922" t="s">
        <v>13</v>
      </c>
      <c r="D922" t="s">
        <v>68</v>
      </c>
      <c r="E922" t="s">
        <v>64</v>
      </c>
      <c r="F922" t="s">
        <v>68</v>
      </c>
      <c r="G922" t="s">
        <v>693</v>
      </c>
      <c r="H922" t="s">
        <v>696</v>
      </c>
      <c r="I922"/>
      <c r="J922">
        <v>3.45</v>
      </c>
      <c r="K922" t="s">
        <v>706</v>
      </c>
      <c r="L922" t="s">
        <v>153</v>
      </c>
    </row>
    <row r="923" spans="1:12" x14ac:dyDescent="0.2">
      <c r="A923" t="s">
        <v>18</v>
      </c>
      <c r="B923" t="s">
        <v>200</v>
      </c>
      <c r="C923" t="s">
        <v>13</v>
      </c>
      <c r="D923" t="s">
        <v>68</v>
      </c>
      <c r="E923" t="s">
        <v>64</v>
      </c>
      <c r="F923" t="s">
        <v>68</v>
      </c>
      <c r="G923" t="s">
        <v>693</v>
      </c>
      <c r="H923" t="s">
        <v>696</v>
      </c>
      <c r="I923"/>
      <c r="J923">
        <v>3.45</v>
      </c>
      <c r="L923" t="s">
        <v>199</v>
      </c>
    </row>
    <row r="924" spans="1:12" x14ac:dyDescent="0.2">
      <c r="A924" t="s">
        <v>18</v>
      </c>
      <c r="B924" t="s">
        <v>125</v>
      </c>
      <c r="C924" t="s">
        <v>13</v>
      </c>
      <c r="D924" t="s">
        <v>68</v>
      </c>
      <c r="E924" t="s">
        <v>64</v>
      </c>
      <c r="F924" t="s">
        <v>68</v>
      </c>
      <c r="G924" t="s">
        <v>693</v>
      </c>
      <c r="H924" t="s">
        <v>696</v>
      </c>
      <c r="I924"/>
      <c r="J924">
        <v>3.45</v>
      </c>
      <c r="L924" t="s">
        <v>154</v>
      </c>
    </row>
    <row r="925" spans="1:12" x14ac:dyDescent="0.2">
      <c r="A925" t="s">
        <v>18</v>
      </c>
      <c r="B925" t="s">
        <v>125</v>
      </c>
      <c r="C925" t="s">
        <v>13</v>
      </c>
      <c r="D925" t="s">
        <v>292</v>
      </c>
      <c r="E925" t="s">
        <v>64</v>
      </c>
      <c r="F925" t="s">
        <v>292</v>
      </c>
      <c r="G925" t="s">
        <v>693</v>
      </c>
      <c r="H925"/>
      <c r="I925"/>
      <c r="J925">
        <v>3.45</v>
      </c>
      <c r="L925" t="s">
        <v>134</v>
      </c>
    </row>
    <row r="926" spans="1:12" x14ac:dyDescent="0.2">
      <c r="A926" t="s">
        <v>18</v>
      </c>
      <c r="B926" t="s">
        <v>125</v>
      </c>
      <c r="C926" t="s">
        <v>13</v>
      </c>
      <c r="D926" t="s">
        <v>73</v>
      </c>
      <c r="E926" t="s">
        <v>64</v>
      </c>
      <c r="F926" t="s">
        <v>73</v>
      </c>
      <c r="G926" t="s">
        <v>693</v>
      </c>
      <c r="H926" t="s">
        <v>696</v>
      </c>
      <c r="I926"/>
      <c r="J926">
        <v>3.45</v>
      </c>
      <c r="K926" t="s">
        <v>100</v>
      </c>
      <c r="L926" t="s">
        <v>101</v>
      </c>
    </row>
    <row r="927" spans="1:12" x14ac:dyDescent="0.2">
      <c r="A927" t="s">
        <v>27</v>
      </c>
      <c r="B927" t="s">
        <v>95</v>
      </c>
      <c r="C927" t="s">
        <v>13</v>
      </c>
      <c r="D927" t="s">
        <v>76</v>
      </c>
      <c r="E927" t="s">
        <v>64</v>
      </c>
      <c r="F927" t="s">
        <v>76</v>
      </c>
      <c r="G927" t="s">
        <v>693</v>
      </c>
      <c r="H927" t="s">
        <v>694</v>
      </c>
      <c r="I927"/>
      <c r="J927">
        <v>168.5</v>
      </c>
    </row>
    <row r="928" spans="1:12" x14ac:dyDescent="0.2">
      <c r="A928" t="s">
        <v>215</v>
      </c>
      <c r="B928" t="s">
        <v>222</v>
      </c>
      <c r="C928" t="s">
        <v>13</v>
      </c>
      <c r="D928" t="s">
        <v>76</v>
      </c>
      <c r="E928" t="s">
        <v>64</v>
      </c>
      <c r="F928" t="s">
        <v>76</v>
      </c>
      <c r="G928" t="s">
        <v>693</v>
      </c>
      <c r="H928" t="s">
        <v>703</v>
      </c>
      <c r="I928"/>
      <c r="J928">
        <v>0.99</v>
      </c>
      <c r="K928" t="s">
        <v>313</v>
      </c>
      <c r="L928" t="s">
        <v>314</v>
      </c>
    </row>
    <row r="929" spans="1:12" x14ac:dyDescent="0.2">
      <c r="A929" t="s">
        <v>34</v>
      </c>
      <c r="B929" t="s">
        <v>95</v>
      </c>
      <c r="C929" t="s">
        <v>13</v>
      </c>
      <c r="D929" t="s">
        <v>510</v>
      </c>
      <c r="E929" t="s">
        <v>64</v>
      </c>
      <c r="F929" t="s">
        <v>510</v>
      </c>
      <c r="G929" t="s">
        <v>693</v>
      </c>
      <c r="H929" t="s">
        <v>707</v>
      </c>
      <c r="I929"/>
      <c r="J929">
        <v>20</v>
      </c>
    </row>
    <row r="930" spans="1:12" x14ac:dyDescent="0.2">
      <c r="A930" t="s">
        <v>18</v>
      </c>
      <c r="B930" t="s">
        <v>200</v>
      </c>
      <c r="C930" t="s">
        <v>13</v>
      </c>
      <c r="D930" t="s">
        <v>325</v>
      </c>
      <c r="E930" t="s">
        <v>64</v>
      </c>
      <c r="F930" t="s">
        <v>325</v>
      </c>
      <c r="G930" t="s">
        <v>693</v>
      </c>
      <c r="H930"/>
      <c r="I930"/>
      <c r="J930">
        <v>3.45</v>
      </c>
      <c r="L930" t="s">
        <v>207</v>
      </c>
    </row>
    <row r="931" spans="1:12" x14ac:dyDescent="0.2">
      <c r="A931" t="s">
        <v>18</v>
      </c>
      <c r="B931" t="s">
        <v>324</v>
      </c>
      <c r="C931" t="s">
        <v>13</v>
      </c>
      <c r="D931" t="s">
        <v>326</v>
      </c>
      <c r="E931" t="s">
        <v>64</v>
      </c>
      <c r="F931" t="s">
        <v>326</v>
      </c>
      <c r="G931" t="s">
        <v>693</v>
      </c>
      <c r="H931"/>
      <c r="I931"/>
      <c r="J931">
        <v>3.45</v>
      </c>
      <c r="K931" t="s">
        <v>192</v>
      </c>
      <c r="L931" t="s">
        <v>193</v>
      </c>
    </row>
    <row r="932" spans="1:12" x14ac:dyDescent="0.2">
      <c r="A932" t="s">
        <v>12</v>
      </c>
      <c r="B932" t="s">
        <v>95</v>
      </c>
      <c r="C932" t="s">
        <v>13</v>
      </c>
      <c r="D932" t="s">
        <v>326</v>
      </c>
      <c r="E932" t="s">
        <v>64</v>
      </c>
      <c r="F932" t="s">
        <v>326</v>
      </c>
      <c r="G932" t="s">
        <v>693</v>
      </c>
      <c r="H932" t="s">
        <v>708</v>
      </c>
      <c r="I932"/>
      <c r="J932">
        <v>75</v>
      </c>
    </row>
    <row r="933" spans="1:12" x14ac:dyDescent="0.2">
      <c r="A933" t="s">
        <v>18</v>
      </c>
      <c r="B933" t="s">
        <v>125</v>
      </c>
      <c r="C933" t="s">
        <v>13</v>
      </c>
      <c r="D933" t="s">
        <v>331</v>
      </c>
      <c r="E933" t="s">
        <v>64</v>
      </c>
      <c r="F933" t="s">
        <v>331</v>
      </c>
      <c r="G933" t="s">
        <v>693</v>
      </c>
      <c r="H933" t="s">
        <v>709</v>
      </c>
      <c r="I933"/>
      <c r="J933">
        <v>3.45</v>
      </c>
      <c r="K933" t="s">
        <v>204</v>
      </c>
      <c r="L933" t="s">
        <v>205</v>
      </c>
    </row>
    <row r="934" spans="1:12" x14ac:dyDescent="0.2">
      <c r="A934" t="s">
        <v>18</v>
      </c>
      <c r="B934" t="s">
        <v>125</v>
      </c>
      <c r="C934" t="s">
        <v>13</v>
      </c>
      <c r="D934" t="s">
        <v>334</v>
      </c>
      <c r="E934" t="s">
        <v>64</v>
      </c>
      <c r="F934" t="s">
        <v>334</v>
      </c>
      <c r="G934" t="s">
        <v>693</v>
      </c>
      <c r="H934" t="s">
        <v>710</v>
      </c>
      <c r="I934"/>
      <c r="J934">
        <v>3.45</v>
      </c>
      <c r="L934" t="s">
        <v>103</v>
      </c>
    </row>
    <row r="935" spans="1:12" x14ac:dyDescent="0.2">
      <c r="A935" t="s">
        <v>18</v>
      </c>
      <c r="B935" t="s">
        <v>125</v>
      </c>
      <c r="C935" t="s">
        <v>13</v>
      </c>
      <c r="D935" t="s">
        <v>339</v>
      </c>
      <c r="E935" t="s">
        <v>84</v>
      </c>
      <c r="F935" t="s">
        <v>331</v>
      </c>
      <c r="G935" t="s">
        <v>693</v>
      </c>
      <c r="H935" t="s">
        <v>711</v>
      </c>
      <c r="I935"/>
      <c r="J935">
        <v>3.45</v>
      </c>
      <c r="K935" t="s">
        <v>116</v>
      </c>
      <c r="L935" t="s">
        <v>117</v>
      </c>
    </row>
    <row r="936" spans="1:12" x14ac:dyDescent="0.2">
      <c r="A936" t="s">
        <v>18</v>
      </c>
      <c r="B936" t="s">
        <v>95</v>
      </c>
      <c r="C936" t="s">
        <v>13</v>
      </c>
      <c r="D936" t="s">
        <v>269</v>
      </c>
      <c r="E936" t="s">
        <v>42</v>
      </c>
      <c r="F936" t="s">
        <v>269</v>
      </c>
      <c r="G936" t="s">
        <v>717</v>
      </c>
      <c r="H936" t="s">
        <v>718</v>
      </c>
      <c r="I936"/>
      <c r="J936">
        <v>350</v>
      </c>
    </row>
    <row r="937" spans="1:12" x14ac:dyDescent="0.2">
      <c r="A937" t="s">
        <v>18</v>
      </c>
      <c r="B937" t="s">
        <v>95</v>
      </c>
      <c r="C937" t="s">
        <v>13</v>
      </c>
      <c r="D937" t="s">
        <v>282</v>
      </c>
      <c r="E937" t="s">
        <v>64</v>
      </c>
      <c r="F937" t="s">
        <v>282</v>
      </c>
      <c r="G937" t="s">
        <v>719</v>
      </c>
      <c r="H937" t="s">
        <v>720</v>
      </c>
      <c r="I937"/>
      <c r="J937">
        <v>1050</v>
      </c>
    </row>
    <row r="938" spans="1:12" x14ac:dyDescent="0.2">
      <c r="A938" t="s">
        <v>18</v>
      </c>
      <c r="B938" t="s">
        <v>95</v>
      </c>
      <c r="C938" t="s">
        <v>13</v>
      </c>
      <c r="D938" t="s">
        <v>69</v>
      </c>
      <c r="E938" t="s">
        <v>64</v>
      </c>
      <c r="F938" t="s">
        <v>292</v>
      </c>
      <c r="G938" t="s">
        <v>719</v>
      </c>
      <c r="H938" t="s">
        <v>721</v>
      </c>
      <c r="I938"/>
      <c r="J938">
        <v>75</v>
      </c>
    </row>
    <row r="939" spans="1:12" x14ac:dyDescent="0.2">
      <c r="A939" t="s">
        <v>18</v>
      </c>
      <c r="B939" t="s">
        <v>95</v>
      </c>
      <c r="C939" t="s">
        <v>13</v>
      </c>
      <c r="D939" t="s">
        <v>78</v>
      </c>
      <c r="E939" t="s">
        <v>64</v>
      </c>
      <c r="F939" t="s">
        <v>78</v>
      </c>
      <c r="G939" t="s">
        <v>719</v>
      </c>
      <c r="H939" t="s">
        <v>722</v>
      </c>
      <c r="I939"/>
      <c r="J939">
        <v>90</v>
      </c>
    </row>
    <row r="940" spans="1:12" x14ac:dyDescent="0.2">
      <c r="A940" t="s">
        <v>18</v>
      </c>
      <c r="B940" t="s">
        <v>95</v>
      </c>
      <c r="C940" t="s">
        <v>13</v>
      </c>
      <c r="D940" t="s">
        <v>77</v>
      </c>
      <c r="E940" t="s">
        <v>64</v>
      </c>
      <c r="F940" t="s">
        <v>77</v>
      </c>
      <c r="G940" t="s">
        <v>719</v>
      </c>
      <c r="H940" t="s">
        <v>723</v>
      </c>
      <c r="I940"/>
      <c r="J940">
        <v>25</v>
      </c>
    </row>
    <row r="941" spans="1:12" x14ac:dyDescent="0.2">
      <c r="A941" t="s">
        <v>12</v>
      </c>
      <c r="B941" t="s">
        <v>95</v>
      </c>
      <c r="C941" t="s">
        <v>13</v>
      </c>
      <c r="D941" t="s">
        <v>77</v>
      </c>
      <c r="E941" t="s">
        <v>64</v>
      </c>
      <c r="F941" t="s">
        <v>77</v>
      </c>
      <c r="G941" t="s">
        <v>719</v>
      </c>
      <c r="H941" t="s">
        <v>724</v>
      </c>
      <c r="I941"/>
      <c r="J941">
        <v>32</v>
      </c>
    </row>
    <row r="942" spans="1:12" x14ac:dyDescent="0.2">
      <c r="A942" t="s">
        <v>12</v>
      </c>
      <c r="B942" t="s">
        <v>95</v>
      </c>
      <c r="C942" t="s">
        <v>13</v>
      </c>
      <c r="D942" t="s">
        <v>77</v>
      </c>
      <c r="E942" t="s">
        <v>64</v>
      </c>
      <c r="F942" t="s">
        <v>77</v>
      </c>
      <c r="G942" t="s">
        <v>719</v>
      </c>
      <c r="H942" t="s">
        <v>725</v>
      </c>
      <c r="I942"/>
      <c r="J942">
        <v>171</v>
      </c>
    </row>
    <row r="943" spans="1:12" x14ac:dyDescent="0.2">
      <c r="A943" t="s">
        <v>12</v>
      </c>
      <c r="B943" t="s">
        <v>95</v>
      </c>
      <c r="C943" t="s">
        <v>13</v>
      </c>
      <c r="D943" t="s">
        <v>77</v>
      </c>
      <c r="E943" t="s">
        <v>64</v>
      </c>
      <c r="F943" t="s">
        <v>77</v>
      </c>
      <c r="G943" t="s">
        <v>719</v>
      </c>
      <c r="H943" t="s">
        <v>725</v>
      </c>
      <c r="I943"/>
      <c r="J943">
        <v>30</v>
      </c>
    </row>
    <row r="944" spans="1:12" x14ac:dyDescent="0.2">
      <c r="A944" t="s">
        <v>12</v>
      </c>
      <c r="B944" t="s">
        <v>95</v>
      </c>
      <c r="C944" t="s">
        <v>13</v>
      </c>
      <c r="D944" t="s">
        <v>334</v>
      </c>
      <c r="E944" t="s">
        <v>84</v>
      </c>
      <c r="F944" t="s">
        <v>334</v>
      </c>
      <c r="G944" t="s">
        <v>719</v>
      </c>
      <c r="H944" t="s">
        <v>726</v>
      </c>
      <c r="I944"/>
      <c r="J944">
        <v>81</v>
      </c>
    </row>
    <row r="945" spans="1:12" x14ac:dyDescent="0.2">
      <c r="A945" t="s">
        <v>12</v>
      </c>
      <c r="B945" t="s">
        <v>95</v>
      </c>
      <c r="C945" t="s">
        <v>13</v>
      </c>
      <c r="D945" t="s">
        <v>334</v>
      </c>
      <c r="E945" t="s">
        <v>84</v>
      </c>
      <c r="F945" t="s">
        <v>334</v>
      </c>
      <c r="G945" t="s">
        <v>719</v>
      </c>
      <c r="H945" t="s">
        <v>727</v>
      </c>
      <c r="I945"/>
      <c r="J945">
        <v>16</v>
      </c>
    </row>
    <row r="946" spans="1:12" x14ac:dyDescent="0.2">
      <c r="A946" t="s">
        <v>18</v>
      </c>
      <c r="B946" t="s">
        <v>95</v>
      </c>
      <c r="C946" t="s">
        <v>13</v>
      </c>
      <c r="D946" t="s">
        <v>158</v>
      </c>
      <c r="E946" t="s">
        <v>15</v>
      </c>
      <c r="F946" t="s">
        <v>158</v>
      </c>
      <c r="G946" t="s">
        <v>730</v>
      </c>
      <c r="H946" t="s">
        <v>731</v>
      </c>
      <c r="I946"/>
      <c r="J946">
        <v>1000</v>
      </c>
    </row>
    <row r="947" spans="1:12" x14ac:dyDescent="0.2">
      <c r="A947" t="s">
        <v>27</v>
      </c>
      <c r="B947" t="s">
        <v>95</v>
      </c>
      <c r="C947" t="s">
        <v>13</v>
      </c>
      <c r="D947" t="s">
        <v>69</v>
      </c>
      <c r="E947" t="s">
        <v>64</v>
      </c>
      <c r="F947" t="s">
        <v>77</v>
      </c>
      <c r="G947" t="s">
        <v>730</v>
      </c>
      <c r="H947" t="s">
        <v>731</v>
      </c>
      <c r="I947"/>
      <c r="J947">
        <v>1000</v>
      </c>
    </row>
    <row r="948" spans="1:12" x14ac:dyDescent="0.2">
      <c r="A948" t="s">
        <v>71</v>
      </c>
      <c r="B948" t="s">
        <v>125</v>
      </c>
      <c r="C948" t="s">
        <v>13</v>
      </c>
      <c r="D948" t="s">
        <v>256</v>
      </c>
      <c r="E948" t="s">
        <v>42</v>
      </c>
      <c r="F948" t="s">
        <v>256</v>
      </c>
      <c r="G948" t="s">
        <v>732</v>
      </c>
      <c r="H948" t="s">
        <v>733</v>
      </c>
      <c r="I948"/>
      <c r="J948">
        <v>4367.79</v>
      </c>
      <c r="K948" t="s">
        <v>247</v>
      </c>
      <c r="L948" t="s">
        <v>248</v>
      </c>
    </row>
    <row r="949" spans="1:12" x14ac:dyDescent="0.2">
      <c r="A949" t="s">
        <v>18</v>
      </c>
      <c r="B949" t="s">
        <v>125</v>
      </c>
      <c r="C949" t="s">
        <v>13</v>
      </c>
      <c r="D949" t="s">
        <v>63</v>
      </c>
      <c r="E949" t="s">
        <v>64</v>
      </c>
      <c r="F949" t="s">
        <v>63</v>
      </c>
      <c r="G949" t="s">
        <v>732</v>
      </c>
      <c r="H949" t="s">
        <v>734</v>
      </c>
      <c r="I949"/>
      <c r="J949">
        <v>3379.61</v>
      </c>
      <c r="K949" t="s">
        <v>182</v>
      </c>
      <c r="L949" t="s">
        <v>183</v>
      </c>
    </row>
    <row r="950" spans="1:12" x14ac:dyDescent="0.2">
      <c r="A950" t="s">
        <v>18</v>
      </c>
      <c r="B950" t="s">
        <v>95</v>
      </c>
      <c r="C950" t="s">
        <v>13</v>
      </c>
      <c r="D950" t="s">
        <v>46</v>
      </c>
      <c r="E950" t="s">
        <v>42</v>
      </c>
      <c r="F950" t="s">
        <v>46</v>
      </c>
      <c r="G950" t="s">
        <v>442</v>
      </c>
      <c r="J950" s="4">
        <v>674.22</v>
      </c>
    </row>
    <row r="951" spans="1:12" x14ac:dyDescent="0.2">
      <c r="A951" t="s">
        <v>27</v>
      </c>
      <c r="B951" t="s">
        <v>95</v>
      </c>
      <c r="C951" t="s">
        <v>13</v>
      </c>
      <c r="D951" t="s">
        <v>51</v>
      </c>
      <c r="E951" t="s">
        <v>42</v>
      </c>
      <c r="F951" t="s">
        <v>51</v>
      </c>
      <c r="G951" t="s">
        <v>442</v>
      </c>
      <c r="H951" s="3" t="s">
        <v>453</v>
      </c>
      <c r="J951" s="4">
        <v>1009.7</v>
      </c>
    </row>
    <row r="952" spans="1:12" x14ac:dyDescent="0.2">
      <c r="A952" t="s">
        <v>18</v>
      </c>
      <c r="B952" t="s">
        <v>95</v>
      </c>
      <c r="C952" t="s">
        <v>13</v>
      </c>
      <c r="D952" t="s">
        <v>51</v>
      </c>
      <c r="E952" t="s">
        <v>42</v>
      </c>
      <c r="F952" t="s">
        <v>51</v>
      </c>
      <c r="G952" t="s">
        <v>438</v>
      </c>
      <c r="H952" s="3" t="s">
        <v>483</v>
      </c>
      <c r="J952" s="4">
        <v>60</v>
      </c>
    </row>
    <row r="953" spans="1:12" x14ac:dyDescent="0.2">
      <c r="A953" t="s">
        <v>18</v>
      </c>
      <c r="B953" t="s">
        <v>95</v>
      </c>
      <c r="C953" t="s">
        <v>13</v>
      </c>
      <c r="D953" t="s">
        <v>54</v>
      </c>
      <c r="E953" t="s">
        <v>42</v>
      </c>
      <c r="F953" t="s">
        <v>54</v>
      </c>
      <c r="G953" t="s">
        <v>449</v>
      </c>
      <c r="H953" s="3" t="s">
        <v>484</v>
      </c>
      <c r="J953" s="4">
        <v>2384</v>
      </c>
    </row>
    <row r="954" spans="1:12" x14ac:dyDescent="0.2">
      <c r="A954" t="s">
        <v>18</v>
      </c>
      <c r="B954" t="s">
        <v>95</v>
      </c>
      <c r="C954" t="s">
        <v>13</v>
      </c>
      <c r="D954" t="s">
        <v>54</v>
      </c>
      <c r="E954" t="s">
        <v>42</v>
      </c>
      <c r="F954" t="s">
        <v>54</v>
      </c>
      <c r="G954" t="s">
        <v>443</v>
      </c>
      <c r="H954" s="3" t="s">
        <v>444</v>
      </c>
      <c r="J954" s="4">
        <v>39</v>
      </c>
    </row>
    <row r="955" spans="1:12" x14ac:dyDescent="0.2">
      <c r="A955" t="s">
        <v>12</v>
      </c>
      <c r="B955" t="s">
        <v>95</v>
      </c>
      <c r="C955" t="s">
        <v>13</v>
      </c>
      <c r="D955" t="s">
        <v>55</v>
      </c>
      <c r="E955" t="s">
        <v>42</v>
      </c>
      <c r="F955" t="s">
        <v>55</v>
      </c>
      <c r="G955" t="s">
        <v>443</v>
      </c>
      <c r="H955" s="3" t="s">
        <v>485</v>
      </c>
      <c r="J955" s="4">
        <v>9.7799999999999994</v>
      </c>
    </row>
    <row r="956" spans="1:12" x14ac:dyDescent="0.2">
      <c r="A956" t="s">
        <v>12</v>
      </c>
      <c r="B956" t="s">
        <v>95</v>
      </c>
      <c r="C956" t="s">
        <v>13</v>
      </c>
      <c r="D956" t="s">
        <v>55</v>
      </c>
      <c r="E956" t="s">
        <v>42</v>
      </c>
      <c r="F956" t="s">
        <v>55</v>
      </c>
      <c r="G956" t="s">
        <v>443</v>
      </c>
      <c r="H956" s="3" t="s">
        <v>444</v>
      </c>
      <c r="J956" s="4">
        <v>78.790000000000006</v>
      </c>
    </row>
    <row r="957" spans="1:12" x14ac:dyDescent="0.2">
      <c r="A957" t="s">
        <v>18</v>
      </c>
      <c r="B957" t="s">
        <v>95</v>
      </c>
      <c r="C957" t="s">
        <v>13</v>
      </c>
      <c r="D957" t="s">
        <v>56</v>
      </c>
      <c r="E957" t="s">
        <v>42</v>
      </c>
      <c r="F957" t="s">
        <v>56</v>
      </c>
      <c r="G957" t="s">
        <v>486</v>
      </c>
      <c r="H957" s="3" t="s">
        <v>487</v>
      </c>
      <c r="J957" s="4">
        <v>30</v>
      </c>
    </row>
    <row r="958" spans="1:12" x14ac:dyDescent="0.2">
      <c r="A958" t="s">
        <v>18</v>
      </c>
      <c r="B958" t="s">
        <v>95</v>
      </c>
      <c r="C958" t="s">
        <v>13</v>
      </c>
      <c r="D958" t="s">
        <v>56</v>
      </c>
      <c r="E958" t="s">
        <v>42</v>
      </c>
      <c r="F958" t="s">
        <v>56</v>
      </c>
      <c r="G958" t="s">
        <v>435</v>
      </c>
      <c r="H958" s="3" t="s">
        <v>436</v>
      </c>
      <c r="J958" s="4">
        <v>350</v>
      </c>
    </row>
    <row r="959" spans="1:12" x14ac:dyDescent="0.2">
      <c r="A959" t="s">
        <v>18</v>
      </c>
      <c r="B959" t="s">
        <v>95</v>
      </c>
      <c r="C959" t="s">
        <v>13</v>
      </c>
      <c r="D959" t="s">
        <v>49</v>
      </c>
      <c r="E959" t="s">
        <v>42</v>
      </c>
      <c r="F959" t="s">
        <v>49</v>
      </c>
      <c r="G959" t="s">
        <v>443</v>
      </c>
      <c r="H959" s="3" t="s">
        <v>444</v>
      </c>
      <c r="J959" s="4">
        <v>21.5</v>
      </c>
    </row>
    <row r="960" spans="1:12" x14ac:dyDescent="0.2">
      <c r="A960" t="s">
        <v>18</v>
      </c>
      <c r="B960" t="s">
        <v>95</v>
      </c>
      <c r="C960" t="s">
        <v>13</v>
      </c>
      <c r="D960" t="s">
        <v>49</v>
      </c>
      <c r="E960" t="s">
        <v>42</v>
      </c>
      <c r="F960" t="s">
        <v>49</v>
      </c>
      <c r="G960" t="s">
        <v>488</v>
      </c>
      <c r="J960" s="4">
        <v>100</v>
      </c>
    </row>
    <row r="961" spans="1:10" x14ac:dyDescent="0.2">
      <c r="A961" t="s">
        <v>18</v>
      </c>
      <c r="B961" t="s">
        <v>95</v>
      </c>
      <c r="C961" t="s">
        <v>13</v>
      </c>
      <c r="D961" t="s">
        <v>60</v>
      </c>
      <c r="E961" t="s">
        <v>42</v>
      </c>
      <c r="F961" t="s">
        <v>60</v>
      </c>
      <c r="G961" t="s">
        <v>443</v>
      </c>
      <c r="H961" s="3" t="s">
        <v>444</v>
      </c>
      <c r="J961" s="4">
        <v>18.670000000000002</v>
      </c>
    </row>
    <row r="962" spans="1:10" x14ac:dyDescent="0.2">
      <c r="A962" t="s">
        <v>27</v>
      </c>
      <c r="B962" t="s">
        <v>95</v>
      </c>
      <c r="C962" t="s">
        <v>13</v>
      </c>
      <c r="D962" t="s">
        <v>253</v>
      </c>
      <c r="E962" t="s">
        <v>42</v>
      </c>
      <c r="F962" t="s">
        <v>60</v>
      </c>
      <c r="G962" t="s">
        <v>445</v>
      </c>
      <c r="H962" s="3" t="s">
        <v>461</v>
      </c>
      <c r="J962" s="4">
        <v>730</v>
      </c>
    </row>
    <row r="963" spans="1:10" x14ac:dyDescent="0.2">
      <c r="A963" t="s">
        <v>27</v>
      </c>
      <c r="B963" t="s">
        <v>95</v>
      </c>
      <c r="C963" t="s">
        <v>13</v>
      </c>
      <c r="D963" t="s">
        <v>253</v>
      </c>
      <c r="E963" t="s">
        <v>42</v>
      </c>
      <c r="F963" t="s">
        <v>253</v>
      </c>
      <c r="G963" t="s">
        <v>445</v>
      </c>
      <c r="H963" s="3" t="s">
        <v>456</v>
      </c>
      <c r="J963" s="4">
        <v>397</v>
      </c>
    </row>
    <row r="964" spans="1:10" x14ac:dyDescent="0.2">
      <c r="A964" t="s">
        <v>12</v>
      </c>
      <c r="B964" t="s">
        <v>95</v>
      </c>
      <c r="C964" t="s">
        <v>13</v>
      </c>
      <c r="D964" t="s">
        <v>253</v>
      </c>
      <c r="E964" t="s">
        <v>42</v>
      </c>
      <c r="F964" t="s">
        <v>253</v>
      </c>
      <c r="G964" t="s">
        <v>443</v>
      </c>
      <c r="H964" s="3" t="s">
        <v>444</v>
      </c>
      <c r="J964" s="4">
        <v>24.27</v>
      </c>
    </row>
    <row r="965" spans="1:10" x14ac:dyDescent="0.2">
      <c r="A965" t="s">
        <v>18</v>
      </c>
      <c r="B965" t="s">
        <v>95</v>
      </c>
      <c r="C965" t="s">
        <v>13</v>
      </c>
      <c r="D965" t="s">
        <v>62</v>
      </c>
      <c r="E965" t="s">
        <v>42</v>
      </c>
      <c r="F965" t="s">
        <v>256</v>
      </c>
      <c r="G965" t="s">
        <v>451</v>
      </c>
      <c r="H965" s="3" t="s">
        <v>464</v>
      </c>
      <c r="J965" s="4">
        <v>156.88</v>
      </c>
    </row>
    <row r="966" spans="1:10" x14ac:dyDescent="0.2">
      <c r="A966" t="s">
        <v>27</v>
      </c>
      <c r="B966" t="s">
        <v>95</v>
      </c>
      <c r="C966" t="s">
        <v>13</v>
      </c>
      <c r="D966" t="s">
        <v>257</v>
      </c>
      <c r="E966" t="s">
        <v>42</v>
      </c>
      <c r="F966" t="s">
        <v>257</v>
      </c>
      <c r="G966" t="s">
        <v>442</v>
      </c>
      <c r="H966" s="3" t="s">
        <v>453</v>
      </c>
      <c r="J966" s="4">
        <v>1019.03</v>
      </c>
    </row>
    <row r="967" spans="1:10" x14ac:dyDescent="0.2">
      <c r="A967" t="s">
        <v>12</v>
      </c>
      <c r="B967" t="s">
        <v>95</v>
      </c>
      <c r="C967" t="s">
        <v>13</v>
      </c>
      <c r="D967" t="s">
        <v>278</v>
      </c>
      <c r="E967" t="s">
        <v>42</v>
      </c>
      <c r="F967" t="s">
        <v>301</v>
      </c>
      <c r="G967" t="s">
        <v>445</v>
      </c>
      <c r="H967" s="3" t="s">
        <v>489</v>
      </c>
      <c r="J967" s="4">
        <v>99</v>
      </c>
    </row>
    <row r="968" spans="1:10" x14ac:dyDescent="0.2">
      <c r="A968" t="s">
        <v>18</v>
      </c>
      <c r="B968" t="s">
        <v>95</v>
      </c>
      <c r="C968" t="s">
        <v>13</v>
      </c>
      <c r="D968" t="s">
        <v>63</v>
      </c>
      <c r="E968" t="s">
        <v>64</v>
      </c>
      <c r="F968" t="s">
        <v>63</v>
      </c>
      <c r="G968" t="s">
        <v>490</v>
      </c>
      <c r="H968" s="3" t="s">
        <v>491</v>
      </c>
      <c r="J968" s="4">
        <v>51.93</v>
      </c>
    </row>
    <row r="969" spans="1:10" x14ac:dyDescent="0.2">
      <c r="A969" t="s">
        <v>27</v>
      </c>
      <c r="B969" t="s">
        <v>95</v>
      </c>
      <c r="C969" t="s">
        <v>13</v>
      </c>
      <c r="D969" t="s">
        <v>66</v>
      </c>
      <c r="E969" t="s">
        <v>64</v>
      </c>
      <c r="F969" t="s">
        <v>66</v>
      </c>
      <c r="G969" t="s">
        <v>442</v>
      </c>
      <c r="J969" s="4">
        <v>647.37</v>
      </c>
    </row>
    <row r="970" spans="1:10" x14ac:dyDescent="0.2">
      <c r="A970" t="s">
        <v>18</v>
      </c>
      <c r="B970" t="s">
        <v>95</v>
      </c>
      <c r="C970" t="s">
        <v>13</v>
      </c>
      <c r="D970" t="s">
        <v>66</v>
      </c>
      <c r="E970" t="s">
        <v>64</v>
      </c>
      <c r="F970" t="s">
        <v>66</v>
      </c>
      <c r="G970" t="s">
        <v>469</v>
      </c>
      <c r="J970" s="4">
        <v>21.02</v>
      </c>
    </row>
    <row r="971" spans="1:10" x14ac:dyDescent="0.2">
      <c r="A971" t="s">
        <v>18</v>
      </c>
      <c r="B971" t="s">
        <v>95</v>
      </c>
      <c r="C971" t="s">
        <v>13</v>
      </c>
      <c r="D971" t="s">
        <v>289</v>
      </c>
      <c r="E971" t="s">
        <v>64</v>
      </c>
      <c r="F971" t="s">
        <v>65</v>
      </c>
      <c r="G971" t="s">
        <v>477</v>
      </c>
      <c r="H971" s="3" t="s">
        <v>478</v>
      </c>
      <c r="J971" s="4">
        <v>800</v>
      </c>
    </row>
    <row r="972" spans="1:10" x14ac:dyDescent="0.2">
      <c r="A972" t="s">
        <v>18</v>
      </c>
      <c r="B972" t="s">
        <v>95</v>
      </c>
      <c r="C972" t="s">
        <v>13</v>
      </c>
      <c r="D972" t="s">
        <v>289</v>
      </c>
      <c r="E972" t="s">
        <v>64</v>
      </c>
      <c r="F972" t="s">
        <v>289</v>
      </c>
      <c r="G972" t="s">
        <v>443</v>
      </c>
      <c r="H972" s="3" t="s">
        <v>492</v>
      </c>
      <c r="J972" s="4">
        <v>50</v>
      </c>
    </row>
    <row r="973" spans="1:10" x14ac:dyDescent="0.2">
      <c r="A973" t="s">
        <v>18</v>
      </c>
      <c r="B973" t="s">
        <v>95</v>
      </c>
      <c r="C973" t="s">
        <v>13</v>
      </c>
      <c r="D973" t="s">
        <v>289</v>
      </c>
      <c r="E973" t="s">
        <v>64</v>
      </c>
      <c r="F973" t="s">
        <v>289</v>
      </c>
      <c r="G973" t="s">
        <v>443</v>
      </c>
      <c r="H973" s="3" t="s">
        <v>493</v>
      </c>
      <c r="J973" s="4">
        <v>16</v>
      </c>
    </row>
    <row r="974" spans="1:10" x14ac:dyDescent="0.2">
      <c r="A974" t="s">
        <v>18</v>
      </c>
      <c r="B974" t="s">
        <v>95</v>
      </c>
      <c r="C974" t="s">
        <v>13</v>
      </c>
      <c r="D974" t="s">
        <v>67</v>
      </c>
      <c r="E974" t="s">
        <v>64</v>
      </c>
      <c r="F974" t="s">
        <v>65</v>
      </c>
      <c r="G974" t="s">
        <v>440</v>
      </c>
      <c r="H974" s="3" t="s">
        <v>441</v>
      </c>
      <c r="J974" s="4">
        <v>173.48</v>
      </c>
    </row>
    <row r="975" spans="1:10" x14ac:dyDescent="0.2">
      <c r="A975" t="s">
        <v>18</v>
      </c>
      <c r="B975" t="s">
        <v>95</v>
      </c>
      <c r="C975" t="s">
        <v>13</v>
      </c>
      <c r="D975" t="s">
        <v>292</v>
      </c>
      <c r="E975" t="s">
        <v>64</v>
      </c>
      <c r="F975" t="s">
        <v>292</v>
      </c>
      <c r="G975" t="s">
        <v>490</v>
      </c>
      <c r="H975" s="3" t="s">
        <v>494</v>
      </c>
      <c r="J975" s="4">
        <v>15</v>
      </c>
    </row>
    <row r="976" spans="1:10" x14ac:dyDescent="0.2">
      <c r="A976" t="s">
        <v>71</v>
      </c>
      <c r="B976" t="s">
        <v>95</v>
      </c>
      <c r="C976" t="s">
        <v>13</v>
      </c>
      <c r="D976" t="s">
        <v>69</v>
      </c>
      <c r="E976" t="s">
        <v>64</v>
      </c>
      <c r="F976" t="s">
        <v>309</v>
      </c>
      <c r="G976" t="s">
        <v>445</v>
      </c>
      <c r="H976" s="3" t="s">
        <v>495</v>
      </c>
      <c r="J976" s="4">
        <v>1500</v>
      </c>
    </row>
    <row r="977" spans="1:12" x14ac:dyDescent="0.2">
      <c r="A977" t="s">
        <v>18</v>
      </c>
      <c r="B977" t="s">
        <v>95</v>
      </c>
      <c r="C977" t="s">
        <v>13</v>
      </c>
      <c r="D977" t="s">
        <v>69</v>
      </c>
      <c r="E977" t="s">
        <v>64</v>
      </c>
      <c r="F977" t="s">
        <v>66</v>
      </c>
      <c r="G977" t="s">
        <v>445</v>
      </c>
      <c r="H977" s="3" t="s">
        <v>447</v>
      </c>
      <c r="J977" s="4">
        <v>385</v>
      </c>
    </row>
    <row r="978" spans="1:12" x14ac:dyDescent="0.2">
      <c r="A978" t="s">
        <v>18</v>
      </c>
      <c r="B978" t="s">
        <v>95</v>
      </c>
      <c r="C978" t="s">
        <v>13</v>
      </c>
      <c r="D978" t="s">
        <v>69</v>
      </c>
      <c r="E978" t="s">
        <v>64</v>
      </c>
      <c r="F978" t="s">
        <v>69</v>
      </c>
      <c r="G978" t="s">
        <v>490</v>
      </c>
      <c r="H978" s="3" t="s">
        <v>496</v>
      </c>
      <c r="J978" s="4">
        <v>53.16</v>
      </c>
    </row>
    <row r="979" spans="1:12" x14ac:dyDescent="0.2">
      <c r="A979" t="s">
        <v>18</v>
      </c>
      <c r="B979" t="s">
        <v>95</v>
      </c>
      <c r="C979" t="s">
        <v>13</v>
      </c>
      <c r="D979" t="s">
        <v>69</v>
      </c>
      <c r="E979" t="s">
        <v>64</v>
      </c>
      <c r="F979" t="s">
        <v>69</v>
      </c>
      <c r="G979" t="s">
        <v>451</v>
      </c>
      <c r="H979" s="3" t="s">
        <v>452</v>
      </c>
      <c r="J979" s="4">
        <v>156.72</v>
      </c>
    </row>
    <row r="980" spans="1:12" x14ac:dyDescent="0.2">
      <c r="A980" t="s">
        <v>12</v>
      </c>
      <c r="B980" t="s">
        <v>95</v>
      </c>
      <c r="C980" t="s">
        <v>13</v>
      </c>
      <c r="D980" t="s">
        <v>309</v>
      </c>
      <c r="E980" t="s">
        <v>64</v>
      </c>
      <c r="F980" t="s">
        <v>309</v>
      </c>
      <c r="G980" t="s">
        <v>469</v>
      </c>
      <c r="H980" s="3" t="s">
        <v>497</v>
      </c>
      <c r="J980" s="4">
        <v>8.5</v>
      </c>
    </row>
    <row r="981" spans="1:12" x14ac:dyDescent="0.2">
      <c r="A981" t="s">
        <v>27</v>
      </c>
      <c r="B981" t="s">
        <v>95</v>
      </c>
      <c r="C981" t="s">
        <v>13</v>
      </c>
      <c r="D981" t="s">
        <v>76</v>
      </c>
      <c r="E981" t="s">
        <v>64</v>
      </c>
      <c r="F981" t="s">
        <v>76</v>
      </c>
      <c r="G981" t="s">
        <v>442</v>
      </c>
      <c r="H981" s="3" t="s">
        <v>498</v>
      </c>
      <c r="J981" s="4">
        <v>1021.45</v>
      </c>
    </row>
    <row r="982" spans="1:12" x14ac:dyDescent="0.2">
      <c r="A982" t="s">
        <v>27</v>
      </c>
      <c r="B982" t="s">
        <v>95</v>
      </c>
      <c r="C982" t="s">
        <v>13</v>
      </c>
      <c r="D982" t="s">
        <v>76</v>
      </c>
      <c r="E982" t="s">
        <v>64</v>
      </c>
      <c r="F982" t="s">
        <v>76</v>
      </c>
      <c r="G982" t="s">
        <v>442</v>
      </c>
      <c r="H982" s="3" t="s">
        <v>498</v>
      </c>
      <c r="J982" s="4">
        <v>1546.2</v>
      </c>
    </row>
    <row r="983" spans="1:12" x14ac:dyDescent="0.2">
      <c r="A983" t="s">
        <v>18</v>
      </c>
      <c r="B983" t="s">
        <v>125</v>
      </c>
      <c r="C983" t="s">
        <v>13</v>
      </c>
      <c r="D983" t="s">
        <v>317</v>
      </c>
      <c r="E983" t="s">
        <v>64</v>
      </c>
      <c r="F983" t="s">
        <v>317</v>
      </c>
      <c r="G983" t="s">
        <v>488</v>
      </c>
      <c r="J983" s="4">
        <v>50</v>
      </c>
      <c r="L983" t="s">
        <v>499</v>
      </c>
    </row>
    <row r="984" spans="1:12" x14ac:dyDescent="0.2">
      <c r="A984" t="s">
        <v>27</v>
      </c>
      <c r="B984" t="s">
        <v>95</v>
      </c>
      <c r="C984" t="s">
        <v>13</v>
      </c>
      <c r="D984" t="s">
        <v>317</v>
      </c>
      <c r="E984" t="s">
        <v>64</v>
      </c>
      <c r="F984" t="s">
        <v>317</v>
      </c>
      <c r="G984" t="s">
        <v>445</v>
      </c>
      <c r="H984" s="3" t="s">
        <v>500</v>
      </c>
      <c r="J984" s="4">
        <v>570</v>
      </c>
    </row>
    <row r="985" spans="1:12" x14ac:dyDescent="0.2">
      <c r="A985" t="s">
        <v>12</v>
      </c>
      <c r="B985" t="s">
        <v>95</v>
      </c>
      <c r="C985" t="s">
        <v>13</v>
      </c>
      <c r="D985" t="s">
        <v>78</v>
      </c>
      <c r="E985" t="s">
        <v>64</v>
      </c>
      <c r="F985" t="s">
        <v>78</v>
      </c>
      <c r="G985" t="s">
        <v>438</v>
      </c>
      <c r="H985" s="3" t="s">
        <v>501</v>
      </c>
      <c r="J985" s="4">
        <v>85</v>
      </c>
    </row>
    <row r="986" spans="1:12" x14ac:dyDescent="0.2">
      <c r="A986" t="s">
        <v>18</v>
      </c>
      <c r="B986" t="s">
        <v>125</v>
      </c>
      <c r="C986" t="s">
        <v>13</v>
      </c>
      <c r="D986" t="s">
        <v>77</v>
      </c>
      <c r="E986" t="s">
        <v>64</v>
      </c>
      <c r="F986" t="s">
        <v>77</v>
      </c>
      <c r="G986" t="s">
        <v>488</v>
      </c>
      <c r="H986" s="3" t="s">
        <v>502</v>
      </c>
      <c r="J986" s="4">
        <v>50</v>
      </c>
      <c r="L986" t="s">
        <v>499</v>
      </c>
    </row>
    <row r="987" spans="1:12" x14ac:dyDescent="0.2">
      <c r="A987" t="s">
        <v>18</v>
      </c>
      <c r="B987" t="s">
        <v>125</v>
      </c>
      <c r="C987" t="s">
        <v>13</v>
      </c>
      <c r="D987" t="s">
        <v>77</v>
      </c>
      <c r="E987" t="s">
        <v>64</v>
      </c>
      <c r="F987" t="s">
        <v>77</v>
      </c>
      <c r="G987" t="s">
        <v>486</v>
      </c>
      <c r="H987" s="3" t="s">
        <v>503</v>
      </c>
      <c r="J987" s="4">
        <v>30</v>
      </c>
      <c r="L987" t="s">
        <v>499</v>
      </c>
    </row>
    <row r="988" spans="1:12" x14ac:dyDescent="0.2">
      <c r="A988" t="s">
        <v>58</v>
      </c>
      <c r="B988" t="s">
        <v>95</v>
      </c>
      <c r="C988" t="s">
        <v>13</v>
      </c>
      <c r="D988" t="s">
        <v>77</v>
      </c>
      <c r="E988" t="s">
        <v>64</v>
      </c>
      <c r="F988" t="s">
        <v>77</v>
      </c>
      <c r="G988" t="s">
        <v>504</v>
      </c>
      <c r="H988" s="3" t="s">
        <v>505</v>
      </c>
      <c r="J988" s="4">
        <v>10200</v>
      </c>
    </row>
    <row r="989" spans="1:12" x14ac:dyDescent="0.2">
      <c r="A989" t="s">
        <v>71</v>
      </c>
      <c r="B989" t="s">
        <v>95</v>
      </c>
      <c r="C989" t="s">
        <v>13</v>
      </c>
      <c r="D989" t="s">
        <v>77</v>
      </c>
      <c r="E989" t="s">
        <v>506</v>
      </c>
      <c r="F989" t="s">
        <v>77</v>
      </c>
      <c r="G989" t="s">
        <v>504</v>
      </c>
      <c r="H989" s="3" t="s">
        <v>507</v>
      </c>
      <c r="J989" s="4">
        <v>10200</v>
      </c>
    </row>
    <row r="990" spans="1:12" x14ac:dyDescent="0.2">
      <c r="A990" t="s">
        <v>12</v>
      </c>
      <c r="B990" t="s">
        <v>95</v>
      </c>
      <c r="C990" t="s">
        <v>13</v>
      </c>
      <c r="D990" t="s">
        <v>416</v>
      </c>
      <c r="E990" t="s">
        <v>84</v>
      </c>
      <c r="F990" t="s">
        <v>416</v>
      </c>
      <c r="G990" t="s">
        <v>443</v>
      </c>
      <c r="H990" s="3" t="s">
        <v>508</v>
      </c>
      <c r="J990" s="4">
        <v>15.28</v>
      </c>
    </row>
    <row r="991" spans="1:12" x14ac:dyDescent="0.2">
      <c r="A991" t="s">
        <v>71</v>
      </c>
      <c r="B991" t="s">
        <v>95</v>
      </c>
      <c r="C991" t="s">
        <v>13</v>
      </c>
      <c r="D991" t="s">
        <v>79</v>
      </c>
      <c r="E991" t="s">
        <v>64</v>
      </c>
      <c r="F991" t="s">
        <v>79</v>
      </c>
      <c r="G991" t="s">
        <v>435</v>
      </c>
      <c r="H991" s="3" t="s">
        <v>509</v>
      </c>
      <c r="J991" s="4">
        <v>20000</v>
      </c>
    </row>
    <row r="992" spans="1:12" x14ac:dyDescent="0.2">
      <c r="A992" t="s">
        <v>12</v>
      </c>
      <c r="B992" t="s">
        <v>95</v>
      </c>
      <c r="C992" t="s">
        <v>13</v>
      </c>
      <c r="D992" t="s">
        <v>510</v>
      </c>
      <c r="E992" t="s">
        <v>64</v>
      </c>
      <c r="F992" t="s">
        <v>80</v>
      </c>
      <c r="G992" t="s">
        <v>445</v>
      </c>
      <c r="H992" s="3" t="s">
        <v>461</v>
      </c>
      <c r="J992" s="4">
        <v>745.08</v>
      </c>
    </row>
    <row r="993" spans="1:12" x14ac:dyDescent="0.2">
      <c r="A993" t="s">
        <v>12</v>
      </c>
      <c r="B993" t="s">
        <v>95</v>
      </c>
      <c r="C993" t="s">
        <v>13</v>
      </c>
      <c r="D993" t="s">
        <v>325</v>
      </c>
      <c r="E993" t="s">
        <v>64</v>
      </c>
      <c r="F993" t="s">
        <v>325</v>
      </c>
      <c r="G993" t="s">
        <v>435</v>
      </c>
      <c r="H993" s="3" t="s">
        <v>436</v>
      </c>
      <c r="J993" s="4">
        <v>250</v>
      </c>
    </row>
    <row r="994" spans="1:12" x14ac:dyDescent="0.2">
      <c r="A994" t="s">
        <v>12</v>
      </c>
      <c r="B994" t="s">
        <v>95</v>
      </c>
      <c r="C994" t="s">
        <v>13</v>
      </c>
      <c r="D994" t="s">
        <v>325</v>
      </c>
      <c r="E994" t="s">
        <v>64</v>
      </c>
      <c r="F994" t="s">
        <v>325</v>
      </c>
      <c r="G994" t="s">
        <v>488</v>
      </c>
      <c r="J994" s="4">
        <v>250</v>
      </c>
      <c r="L994" t="s">
        <v>499</v>
      </c>
    </row>
    <row r="995" spans="1:12" x14ac:dyDescent="0.2">
      <c r="A995" t="s">
        <v>12</v>
      </c>
      <c r="B995" t="s">
        <v>95</v>
      </c>
      <c r="C995" t="s">
        <v>13</v>
      </c>
      <c r="D995" t="s">
        <v>80</v>
      </c>
      <c r="E995" t="s">
        <v>64</v>
      </c>
      <c r="F995" t="s">
        <v>80</v>
      </c>
      <c r="G995" t="s">
        <v>445</v>
      </c>
      <c r="H995" s="3" t="s">
        <v>511</v>
      </c>
      <c r="J995" s="4">
        <v>397</v>
      </c>
    </row>
    <row r="996" spans="1:12" x14ac:dyDescent="0.2">
      <c r="A996" t="s">
        <v>18</v>
      </c>
      <c r="B996" t="s">
        <v>95</v>
      </c>
      <c r="C996" t="s">
        <v>13</v>
      </c>
      <c r="D996" t="s">
        <v>512</v>
      </c>
      <c r="E996" t="s">
        <v>64</v>
      </c>
      <c r="F996" t="s">
        <v>331</v>
      </c>
      <c r="G996" t="s">
        <v>451</v>
      </c>
      <c r="H996" s="3" t="s">
        <v>464</v>
      </c>
      <c r="J996" s="4">
        <v>156.88</v>
      </c>
    </row>
    <row r="997" spans="1:12" x14ac:dyDescent="0.2">
      <c r="A997" t="s">
        <v>27</v>
      </c>
      <c r="B997" t="s">
        <v>95</v>
      </c>
      <c r="C997" t="s">
        <v>13</v>
      </c>
      <c r="D997" t="s">
        <v>326</v>
      </c>
      <c r="E997" t="s">
        <v>64</v>
      </c>
      <c r="F997" t="s">
        <v>326</v>
      </c>
      <c r="G997" t="s">
        <v>442</v>
      </c>
      <c r="H997" s="3" t="s">
        <v>513</v>
      </c>
      <c r="J997" s="4">
        <v>1030.9000000000001</v>
      </c>
    </row>
    <row r="998" spans="1:12" x14ac:dyDescent="0.2">
      <c r="A998" t="s">
        <v>12</v>
      </c>
      <c r="B998" t="s">
        <v>95</v>
      </c>
      <c r="C998" t="s">
        <v>13</v>
      </c>
      <c r="D998" t="s">
        <v>334</v>
      </c>
      <c r="E998" t="s">
        <v>84</v>
      </c>
      <c r="F998" t="s">
        <v>334</v>
      </c>
      <c r="G998" t="s">
        <v>488</v>
      </c>
      <c r="J998" s="4">
        <v>180</v>
      </c>
      <c r="L998" t="s">
        <v>499</v>
      </c>
    </row>
    <row r="999" spans="1:12" x14ac:dyDescent="0.2">
      <c r="A999" t="s">
        <v>12</v>
      </c>
      <c r="B999" t="s">
        <v>95</v>
      </c>
      <c r="C999" t="s">
        <v>13</v>
      </c>
      <c r="D999" t="s">
        <v>421</v>
      </c>
      <c r="E999" t="s">
        <v>64</v>
      </c>
      <c r="F999" t="s">
        <v>301</v>
      </c>
      <c r="G999" t="s">
        <v>445</v>
      </c>
      <c r="H999" s="3" t="s">
        <v>489</v>
      </c>
      <c r="J999" s="4">
        <v>99</v>
      </c>
    </row>
    <row r="1000" spans="1:12" x14ac:dyDescent="0.2">
      <c r="A1000" t="s">
        <v>18</v>
      </c>
      <c r="B1000" t="s">
        <v>95</v>
      </c>
      <c r="C1000" t="s">
        <v>13</v>
      </c>
      <c r="D1000" t="s">
        <v>338</v>
      </c>
      <c r="E1000" t="s">
        <v>84</v>
      </c>
      <c r="F1000" t="s">
        <v>89</v>
      </c>
      <c r="G1000" t="s">
        <v>490</v>
      </c>
      <c r="H1000" s="3" t="s">
        <v>491</v>
      </c>
      <c r="J1000" s="4">
        <v>45.24</v>
      </c>
    </row>
    <row r="1001" spans="1:12" x14ac:dyDescent="0.2">
      <c r="A1001" t="s">
        <v>18</v>
      </c>
      <c r="B1001" t="s">
        <v>95</v>
      </c>
      <c r="C1001" t="s">
        <v>13</v>
      </c>
      <c r="D1001" t="s">
        <v>301</v>
      </c>
      <c r="E1001" t="s">
        <v>84</v>
      </c>
      <c r="F1001" t="s">
        <v>301</v>
      </c>
      <c r="G1001" t="s">
        <v>477</v>
      </c>
      <c r="H1001" s="3" t="s">
        <v>514</v>
      </c>
      <c r="J1001" s="4">
        <v>1600</v>
      </c>
    </row>
    <row r="1002" spans="1:12" x14ac:dyDescent="0.2">
      <c r="A1002" t="s">
        <v>71</v>
      </c>
      <c r="B1002" t="s">
        <v>95</v>
      </c>
      <c r="C1002" t="s">
        <v>13</v>
      </c>
      <c r="D1002" t="s">
        <v>301</v>
      </c>
      <c r="E1002" t="s">
        <v>84</v>
      </c>
      <c r="F1002" t="s">
        <v>515</v>
      </c>
      <c r="G1002" t="s">
        <v>504</v>
      </c>
      <c r="J1002" s="4">
        <v>3000</v>
      </c>
    </row>
    <row r="1003" spans="1:12" x14ac:dyDescent="0.2">
      <c r="A1003" t="s">
        <v>12</v>
      </c>
      <c r="B1003" t="s">
        <v>95</v>
      </c>
      <c r="C1003" t="s">
        <v>13</v>
      </c>
      <c r="D1003" t="s">
        <v>83</v>
      </c>
      <c r="E1003" t="s">
        <v>84</v>
      </c>
      <c r="F1003" t="s">
        <v>85</v>
      </c>
      <c r="G1003" t="s">
        <v>440</v>
      </c>
      <c r="H1003" s="3" t="s">
        <v>441</v>
      </c>
      <c r="J1003" s="4">
        <v>163</v>
      </c>
    </row>
    <row r="1004" spans="1:12" x14ac:dyDescent="0.2">
      <c r="A1004" t="s">
        <v>12</v>
      </c>
      <c r="B1004" t="s">
        <v>95</v>
      </c>
      <c r="C1004" t="s">
        <v>13</v>
      </c>
      <c r="D1004" t="s">
        <v>83</v>
      </c>
      <c r="E1004" t="s">
        <v>84</v>
      </c>
      <c r="F1004" t="s">
        <v>83</v>
      </c>
      <c r="G1004" t="s">
        <v>443</v>
      </c>
      <c r="H1004" s="3" t="s">
        <v>444</v>
      </c>
      <c r="J1004" s="4">
        <v>249.66</v>
      </c>
    </row>
    <row r="1005" spans="1:12" x14ac:dyDescent="0.2">
      <c r="A1005" t="s">
        <v>12</v>
      </c>
      <c r="B1005" t="s">
        <v>95</v>
      </c>
      <c r="C1005" t="s">
        <v>13</v>
      </c>
      <c r="D1005" t="s">
        <v>83</v>
      </c>
      <c r="E1005" t="s">
        <v>84</v>
      </c>
      <c r="F1005" t="s">
        <v>83</v>
      </c>
      <c r="G1005" t="s">
        <v>438</v>
      </c>
      <c r="H1005" s="3" t="s">
        <v>516</v>
      </c>
      <c r="J1005" s="4">
        <v>450</v>
      </c>
    </row>
    <row r="1006" spans="1:12" x14ac:dyDescent="0.2">
      <c r="A1006" t="s">
        <v>18</v>
      </c>
      <c r="B1006" t="s">
        <v>95</v>
      </c>
      <c r="C1006" t="s">
        <v>13</v>
      </c>
      <c r="D1006" t="s">
        <v>87</v>
      </c>
      <c r="E1006" t="s">
        <v>84</v>
      </c>
      <c r="F1006" t="s">
        <v>87</v>
      </c>
      <c r="G1006" t="s">
        <v>488</v>
      </c>
      <c r="J1006" s="4">
        <v>120</v>
      </c>
      <c r="L1006" t="s">
        <v>517</v>
      </c>
    </row>
    <row r="1007" spans="1:12" x14ac:dyDescent="0.2">
      <c r="A1007" t="s">
        <v>12</v>
      </c>
      <c r="B1007" t="s">
        <v>95</v>
      </c>
      <c r="C1007" t="s">
        <v>13</v>
      </c>
      <c r="D1007" t="s">
        <v>85</v>
      </c>
      <c r="E1007" t="s">
        <v>84</v>
      </c>
      <c r="F1007" t="s">
        <v>85</v>
      </c>
      <c r="G1007" t="s">
        <v>488</v>
      </c>
      <c r="J1007" s="4">
        <v>120</v>
      </c>
      <c r="L1007" t="s">
        <v>499</v>
      </c>
    </row>
    <row r="1008" spans="1:12" x14ac:dyDescent="0.2">
      <c r="A1008" t="s">
        <v>12</v>
      </c>
      <c r="B1008" t="s">
        <v>95</v>
      </c>
      <c r="C1008" t="s">
        <v>13</v>
      </c>
      <c r="D1008" t="s">
        <v>85</v>
      </c>
      <c r="E1008" t="s">
        <v>84</v>
      </c>
      <c r="F1008" t="s">
        <v>346</v>
      </c>
      <c r="G1008" t="s">
        <v>442</v>
      </c>
      <c r="H1008" s="3" t="s">
        <v>283</v>
      </c>
      <c r="J1008" s="4">
        <v>660.79</v>
      </c>
    </row>
    <row r="1009" spans="1:12" x14ac:dyDescent="0.2">
      <c r="A1009" t="s">
        <v>71</v>
      </c>
      <c r="B1009" t="s">
        <v>95</v>
      </c>
      <c r="C1009" t="s">
        <v>13</v>
      </c>
      <c r="D1009" t="s">
        <v>351</v>
      </c>
      <c r="E1009" t="s">
        <v>84</v>
      </c>
      <c r="F1009" t="s">
        <v>352</v>
      </c>
      <c r="G1009" t="s">
        <v>445</v>
      </c>
      <c r="H1009" s="3" t="s">
        <v>518</v>
      </c>
      <c r="J1009" s="4">
        <v>1500</v>
      </c>
    </row>
    <row r="1010" spans="1:12" x14ac:dyDescent="0.2">
      <c r="A1010" t="s">
        <v>12</v>
      </c>
      <c r="B1010" t="s">
        <v>95</v>
      </c>
      <c r="C1010" t="s">
        <v>13</v>
      </c>
      <c r="D1010" t="s">
        <v>351</v>
      </c>
      <c r="E1010" t="s">
        <v>84</v>
      </c>
      <c r="F1010" t="s">
        <v>351</v>
      </c>
      <c r="G1010" t="s">
        <v>443</v>
      </c>
      <c r="H1010" s="3" t="s">
        <v>519</v>
      </c>
      <c r="J1010" s="4">
        <v>17</v>
      </c>
    </row>
    <row r="1011" spans="1:12" x14ac:dyDescent="0.2">
      <c r="A1011" t="s">
        <v>71</v>
      </c>
      <c r="B1011" t="s">
        <v>95</v>
      </c>
      <c r="C1011" t="s">
        <v>13</v>
      </c>
      <c r="D1011" t="s">
        <v>346</v>
      </c>
      <c r="E1011" t="s">
        <v>84</v>
      </c>
      <c r="F1011" t="s">
        <v>346</v>
      </c>
      <c r="G1011" t="s">
        <v>445</v>
      </c>
      <c r="H1011" s="3" t="s">
        <v>447</v>
      </c>
      <c r="J1011" s="4">
        <v>385</v>
      </c>
    </row>
    <row r="1012" spans="1:12" x14ac:dyDescent="0.2">
      <c r="A1012" t="s">
        <v>12</v>
      </c>
      <c r="B1012" t="s">
        <v>95</v>
      </c>
      <c r="C1012" t="s">
        <v>13</v>
      </c>
      <c r="D1012" t="s">
        <v>346</v>
      </c>
      <c r="E1012" t="s">
        <v>84</v>
      </c>
      <c r="F1012" t="s">
        <v>346</v>
      </c>
      <c r="G1012" t="s">
        <v>451</v>
      </c>
      <c r="H1012" s="3" t="s">
        <v>452</v>
      </c>
      <c r="J1012" s="4">
        <v>154.76</v>
      </c>
    </row>
    <row r="1013" spans="1:12" x14ac:dyDescent="0.2">
      <c r="A1013" t="s">
        <v>12</v>
      </c>
      <c r="B1013" t="s">
        <v>95</v>
      </c>
      <c r="C1013" t="s">
        <v>13</v>
      </c>
      <c r="D1013" t="s">
        <v>346</v>
      </c>
      <c r="E1013" t="s">
        <v>84</v>
      </c>
      <c r="F1013" t="s">
        <v>346</v>
      </c>
      <c r="G1013" t="s">
        <v>488</v>
      </c>
      <c r="H1013" s="3" t="s">
        <v>520</v>
      </c>
      <c r="J1013" s="4">
        <v>30</v>
      </c>
      <c r="L1013" t="s">
        <v>517</v>
      </c>
    </row>
    <row r="1014" spans="1:12" x14ac:dyDescent="0.2">
      <c r="A1014" t="s">
        <v>12</v>
      </c>
      <c r="B1014" t="s">
        <v>95</v>
      </c>
      <c r="C1014" t="s">
        <v>13</v>
      </c>
      <c r="D1014" t="s">
        <v>346</v>
      </c>
      <c r="E1014" t="s">
        <v>84</v>
      </c>
      <c r="F1014" t="s">
        <v>346</v>
      </c>
      <c r="G1014" t="s">
        <v>469</v>
      </c>
      <c r="H1014" s="3" t="s">
        <v>521</v>
      </c>
      <c r="J1014" s="4">
        <v>58</v>
      </c>
    </row>
    <row r="1015" spans="1:12" x14ac:dyDescent="0.2">
      <c r="A1015" t="s">
        <v>71</v>
      </c>
      <c r="B1015" t="s">
        <v>95</v>
      </c>
      <c r="C1015" t="s">
        <v>13</v>
      </c>
      <c r="D1015" t="s">
        <v>346</v>
      </c>
      <c r="E1015" t="s">
        <v>84</v>
      </c>
      <c r="F1015" t="s">
        <v>346</v>
      </c>
      <c r="G1015" t="s">
        <v>488</v>
      </c>
      <c r="H1015" s="3" t="s">
        <v>522</v>
      </c>
      <c r="J1015" s="4">
        <v>150</v>
      </c>
      <c r="L1015" t="s">
        <v>523</v>
      </c>
    </row>
    <row r="1016" spans="1:12" x14ac:dyDescent="0.2">
      <c r="A1016" t="s">
        <v>27</v>
      </c>
      <c r="B1016" t="s">
        <v>95</v>
      </c>
      <c r="C1016" t="s">
        <v>13</v>
      </c>
      <c r="D1016" t="s">
        <v>86</v>
      </c>
      <c r="E1016" t="s">
        <v>84</v>
      </c>
      <c r="F1016" t="s">
        <v>86</v>
      </c>
      <c r="G1016" t="s">
        <v>442</v>
      </c>
      <c r="H1016" s="3" t="s">
        <v>453</v>
      </c>
      <c r="J1016" s="4">
        <v>1032.21</v>
      </c>
    </row>
    <row r="1017" spans="1:12" x14ac:dyDescent="0.2">
      <c r="A1017" t="s">
        <v>27</v>
      </c>
      <c r="B1017" t="s">
        <v>95</v>
      </c>
      <c r="C1017" t="s">
        <v>13</v>
      </c>
      <c r="D1017" t="s">
        <v>88</v>
      </c>
      <c r="E1017" t="s">
        <v>84</v>
      </c>
      <c r="F1017" t="s">
        <v>88</v>
      </c>
      <c r="G1017" t="s">
        <v>445</v>
      </c>
      <c r="H1017" s="3" t="s">
        <v>456</v>
      </c>
      <c r="J1017" s="4">
        <v>397</v>
      </c>
    </row>
    <row r="1018" spans="1:12" x14ac:dyDescent="0.2">
      <c r="A1018" t="s">
        <v>71</v>
      </c>
      <c r="B1018" t="s">
        <v>95</v>
      </c>
      <c r="C1018" t="s">
        <v>13</v>
      </c>
      <c r="D1018" t="s">
        <v>88</v>
      </c>
      <c r="E1018" t="s">
        <v>84</v>
      </c>
      <c r="F1018" t="s">
        <v>88</v>
      </c>
      <c r="G1018" t="s">
        <v>438</v>
      </c>
      <c r="H1018" s="3" t="s">
        <v>524</v>
      </c>
      <c r="J1018" s="4">
        <v>1000</v>
      </c>
    </row>
    <row r="1019" spans="1:12" x14ac:dyDescent="0.2">
      <c r="A1019" t="s">
        <v>18</v>
      </c>
      <c r="B1019" t="s">
        <v>95</v>
      </c>
      <c r="C1019" t="s">
        <v>13</v>
      </c>
      <c r="D1019" t="s">
        <v>88</v>
      </c>
      <c r="E1019" t="s">
        <v>84</v>
      </c>
      <c r="F1019" t="s">
        <v>88</v>
      </c>
      <c r="G1019" t="s">
        <v>438</v>
      </c>
      <c r="H1019" s="3" t="s">
        <v>525</v>
      </c>
      <c r="J1019" s="4">
        <v>90</v>
      </c>
    </row>
    <row r="1020" spans="1:12" x14ac:dyDescent="0.2">
      <c r="A1020" t="s">
        <v>27</v>
      </c>
      <c r="B1020" t="s">
        <v>95</v>
      </c>
      <c r="C1020" t="s">
        <v>13</v>
      </c>
      <c r="D1020" t="s">
        <v>352</v>
      </c>
      <c r="E1020" t="s">
        <v>84</v>
      </c>
      <c r="F1020" t="s">
        <v>352</v>
      </c>
      <c r="G1020" t="s">
        <v>488</v>
      </c>
      <c r="J1020" s="4">
        <v>200</v>
      </c>
      <c r="L1020" t="s">
        <v>499</v>
      </c>
    </row>
    <row r="1021" spans="1:12" x14ac:dyDescent="0.2">
      <c r="A1021" t="s">
        <v>18</v>
      </c>
      <c r="B1021" t="s">
        <v>95</v>
      </c>
      <c r="C1021" t="s">
        <v>13</v>
      </c>
      <c r="D1021" t="s">
        <v>352</v>
      </c>
      <c r="E1021" t="s">
        <v>84</v>
      </c>
      <c r="F1021" t="s">
        <v>352</v>
      </c>
      <c r="G1021" t="s">
        <v>449</v>
      </c>
      <c r="H1021" s="3" t="s">
        <v>484</v>
      </c>
      <c r="J1021" s="4">
        <v>2384</v>
      </c>
    </row>
    <row r="1022" spans="1:12" x14ac:dyDescent="0.2">
      <c r="A1022" t="s">
        <v>18</v>
      </c>
      <c r="B1022" t="s">
        <v>95</v>
      </c>
      <c r="C1022" t="s">
        <v>13</v>
      </c>
      <c r="D1022" t="s">
        <v>90</v>
      </c>
      <c r="E1022" t="s">
        <v>84</v>
      </c>
      <c r="G1022" t="s">
        <v>504</v>
      </c>
      <c r="J1022" s="4">
        <v>3000</v>
      </c>
      <c r="L1022" t="s">
        <v>526</v>
      </c>
    </row>
    <row r="1023" spans="1:12" x14ac:dyDescent="0.2">
      <c r="A1023" t="s">
        <v>27</v>
      </c>
      <c r="B1023" t="s">
        <v>95</v>
      </c>
      <c r="C1023" t="s">
        <v>13</v>
      </c>
      <c r="D1023" t="s">
        <v>356</v>
      </c>
      <c r="E1023" t="s">
        <v>84</v>
      </c>
      <c r="F1023" t="s">
        <v>90</v>
      </c>
      <c r="G1023" t="s">
        <v>445</v>
      </c>
      <c r="H1023" s="3" t="s">
        <v>461</v>
      </c>
      <c r="J1023" s="4">
        <v>730</v>
      </c>
    </row>
    <row r="1024" spans="1:12" x14ac:dyDescent="0.2">
      <c r="A1024" t="s">
        <v>18</v>
      </c>
      <c r="B1024" t="s">
        <v>95</v>
      </c>
      <c r="C1024" t="s">
        <v>13</v>
      </c>
      <c r="D1024" t="s">
        <v>356</v>
      </c>
      <c r="E1024" t="s">
        <v>84</v>
      </c>
      <c r="F1024" t="s">
        <v>356</v>
      </c>
      <c r="G1024" t="s">
        <v>443</v>
      </c>
      <c r="H1024" s="3" t="s">
        <v>527</v>
      </c>
      <c r="J1024" s="4">
        <v>22</v>
      </c>
    </row>
    <row r="1025" spans="1:12" x14ac:dyDescent="0.2">
      <c r="A1025" t="s">
        <v>12</v>
      </c>
      <c r="B1025" t="s">
        <v>95</v>
      </c>
      <c r="C1025" t="s">
        <v>13</v>
      </c>
      <c r="D1025" t="s">
        <v>356</v>
      </c>
      <c r="E1025" t="s">
        <v>84</v>
      </c>
      <c r="F1025" t="s">
        <v>356</v>
      </c>
      <c r="G1025" t="s">
        <v>528</v>
      </c>
      <c r="H1025" s="3" t="s">
        <v>529</v>
      </c>
      <c r="J1025" s="4">
        <v>319.57</v>
      </c>
    </row>
    <row r="1026" spans="1:12" x14ac:dyDescent="0.2">
      <c r="A1026" t="s">
        <v>18</v>
      </c>
      <c r="B1026" t="s">
        <v>95</v>
      </c>
      <c r="C1026" t="s">
        <v>13</v>
      </c>
      <c r="D1026" t="s">
        <v>92</v>
      </c>
      <c r="E1026" t="s">
        <v>84</v>
      </c>
      <c r="F1026" t="s">
        <v>92</v>
      </c>
      <c r="G1026" t="s">
        <v>488</v>
      </c>
      <c r="J1026" s="4">
        <v>300</v>
      </c>
      <c r="L1026" t="s">
        <v>499</v>
      </c>
    </row>
    <row r="1027" spans="1:12" x14ac:dyDescent="0.2">
      <c r="A1027" t="s">
        <v>18</v>
      </c>
      <c r="B1027" t="s">
        <v>95</v>
      </c>
      <c r="C1027" t="s">
        <v>13</v>
      </c>
      <c r="D1027" t="s">
        <v>92</v>
      </c>
      <c r="E1027" t="s">
        <v>84</v>
      </c>
      <c r="F1027" t="s">
        <v>92</v>
      </c>
      <c r="G1027" t="s">
        <v>443</v>
      </c>
      <c r="H1027" s="3" t="s">
        <v>530</v>
      </c>
      <c r="J1027" s="4">
        <v>29</v>
      </c>
    </row>
    <row r="1028" spans="1:12" x14ac:dyDescent="0.2">
      <c r="A1028" t="s">
        <v>27</v>
      </c>
      <c r="B1028" t="s">
        <v>95</v>
      </c>
      <c r="C1028" t="s">
        <v>13</v>
      </c>
      <c r="D1028" t="s">
        <v>92</v>
      </c>
      <c r="E1028" t="s">
        <v>84</v>
      </c>
      <c r="F1028" t="s">
        <v>92</v>
      </c>
      <c r="G1028" t="s">
        <v>445</v>
      </c>
      <c r="H1028" s="3" t="s">
        <v>531</v>
      </c>
      <c r="J1028" s="4">
        <v>899.01</v>
      </c>
    </row>
    <row r="1029" spans="1:12" x14ac:dyDescent="0.2">
      <c r="A1029" t="s">
        <v>27</v>
      </c>
      <c r="B1029" t="s">
        <v>95</v>
      </c>
      <c r="C1029" t="s">
        <v>13</v>
      </c>
      <c r="D1029" t="s">
        <v>532</v>
      </c>
      <c r="E1029" t="s">
        <v>84</v>
      </c>
      <c r="F1029" t="s">
        <v>90</v>
      </c>
      <c r="G1029" t="s">
        <v>451</v>
      </c>
      <c r="H1029" s="3" t="s">
        <v>464</v>
      </c>
      <c r="J1029" s="4">
        <v>160.22999999999999</v>
      </c>
    </row>
    <row r="1030" spans="1:12" x14ac:dyDescent="0.2">
      <c r="A1030" t="s">
        <v>18</v>
      </c>
      <c r="B1030" t="s">
        <v>95</v>
      </c>
      <c r="C1030" t="s">
        <v>13</v>
      </c>
      <c r="D1030" t="s">
        <v>93</v>
      </c>
      <c r="E1030" t="s">
        <v>84</v>
      </c>
      <c r="F1030" t="s">
        <v>93</v>
      </c>
      <c r="G1030" t="s">
        <v>443</v>
      </c>
      <c r="H1030" s="3" t="s">
        <v>530</v>
      </c>
      <c r="J1030" s="4">
        <v>22</v>
      </c>
    </row>
    <row r="1031" spans="1:12" x14ac:dyDescent="0.2">
      <c r="A1031" t="s">
        <v>27</v>
      </c>
      <c r="B1031" t="s">
        <v>95</v>
      </c>
      <c r="C1031" t="s">
        <v>13</v>
      </c>
      <c r="D1031" t="s">
        <v>93</v>
      </c>
      <c r="E1031" t="s">
        <v>84</v>
      </c>
      <c r="F1031" t="s">
        <v>93</v>
      </c>
      <c r="G1031" t="s">
        <v>442</v>
      </c>
      <c r="H1031" s="3" t="s">
        <v>453</v>
      </c>
      <c r="J1031" s="4">
        <v>1042.33</v>
      </c>
    </row>
    <row r="1032" spans="1:12" x14ac:dyDescent="0.2">
      <c r="A1032" t="s">
        <v>18</v>
      </c>
      <c r="B1032" t="s">
        <v>95</v>
      </c>
      <c r="C1032" t="s">
        <v>13</v>
      </c>
      <c r="D1032" t="s">
        <v>358</v>
      </c>
      <c r="E1032" t="s">
        <v>84</v>
      </c>
      <c r="F1032" t="s">
        <v>358</v>
      </c>
      <c r="G1032" t="s">
        <v>443</v>
      </c>
      <c r="H1032" s="3" t="s">
        <v>530</v>
      </c>
      <c r="J1032" s="4">
        <v>22</v>
      </c>
    </row>
    <row r="1033" spans="1:12" x14ac:dyDescent="0.2">
      <c r="A1033" t="s">
        <v>18</v>
      </c>
      <c r="B1033" t="s">
        <v>95</v>
      </c>
      <c r="C1033" t="s">
        <v>13</v>
      </c>
      <c r="D1033" t="s">
        <v>359</v>
      </c>
      <c r="E1033" t="s">
        <v>84</v>
      </c>
      <c r="F1033" t="s">
        <v>359</v>
      </c>
      <c r="G1033" t="s">
        <v>443</v>
      </c>
      <c r="H1033" s="3" t="s">
        <v>454</v>
      </c>
      <c r="J1033" s="4">
        <v>22</v>
      </c>
    </row>
    <row r="1034" spans="1:12" x14ac:dyDescent="0.2">
      <c r="A1034" t="s">
        <v>18</v>
      </c>
      <c r="B1034" t="s">
        <v>95</v>
      </c>
      <c r="C1034" t="s">
        <v>13</v>
      </c>
      <c r="D1034" t="s">
        <v>359</v>
      </c>
      <c r="E1034" t="s">
        <v>84</v>
      </c>
      <c r="F1034" t="s">
        <v>359</v>
      </c>
      <c r="G1034" t="s">
        <v>490</v>
      </c>
      <c r="H1034" s="3" t="s">
        <v>533</v>
      </c>
      <c r="J1034" s="4">
        <v>20</v>
      </c>
    </row>
    <row r="1035" spans="1:12" x14ac:dyDescent="0.2">
      <c r="A1035" t="s">
        <v>18</v>
      </c>
      <c r="B1035" t="s">
        <v>95</v>
      </c>
      <c r="C1035" t="s">
        <v>13</v>
      </c>
      <c r="D1035" t="s">
        <v>94</v>
      </c>
      <c r="E1035" t="s">
        <v>84</v>
      </c>
      <c r="F1035" t="s">
        <v>94</v>
      </c>
      <c r="G1035" t="s">
        <v>443</v>
      </c>
      <c r="H1035" s="3" t="s">
        <v>454</v>
      </c>
      <c r="J1035" s="4">
        <v>22</v>
      </c>
    </row>
    <row r="1036" spans="1:12" x14ac:dyDescent="0.2">
      <c r="A1036" t="s">
        <v>18</v>
      </c>
      <c r="B1036" t="s">
        <v>95</v>
      </c>
      <c r="C1036" t="s">
        <v>13</v>
      </c>
      <c r="D1036" t="s">
        <v>360</v>
      </c>
      <c r="E1036" t="s">
        <v>84</v>
      </c>
      <c r="F1036" t="s">
        <v>360</v>
      </c>
      <c r="G1036" t="s">
        <v>488</v>
      </c>
      <c r="J1036" s="4">
        <v>70</v>
      </c>
      <c r="L1036" t="s">
        <v>381</v>
      </c>
    </row>
    <row r="1037" spans="1:12" x14ac:dyDescent="0.2">
      <c r="A1037" t="s">
        <v>18</v>
      </c>
      <c r="B1037" t="s">
        <v>95</v>
      </c>
      <c r="C1037" t="s">
        <v>13</v>
      </c>
      <c r="D1037" t="s">
        <v>534</v>
      </c>
      <c r="E1037" t="s">
        <v>84</v>
      </c>
      <c r="G1037" t="s">
        <v>445</v>
      </c>
      <c r="H1037" s="3" t="s">
        <v>489</v>
      </c>
      <c r="J1037" s="4">
        <v>99</v>
      </c>
    </row>
    <row r="1038" spans="1:12" x14ac:dyDescent="0.2">
      <c r="A1038" t="s">
        <v>18</v>
      </c>
      <c r="B1038" t="s">
        <v>95</v>
      </c>
      <c r="C1038" t="s">
        <v>13</v>
      </c>
      <c r="D1038" t="s">
        <v>14</v>
      </c>
      <c r="E1038" t="s">
        <v>15</v>
      </c>
      <c r="F1038" t="s">
        <v>14</v>
      </c>
      <c r="G1038" t="s">
        <v>535</v>
      </c>
      <c r="H1038" s="3" t="s">
        <v>536</v>
      </c>
      <c r="J1038" s="4">
        <v>60</v>
      </c>
    </row>
    <row r="1039" spans="1:12" x14ac:dyDescent="0.2">
      <c r="A1039" t="s">
        <v>18</v>
      </c>
      <c r="B1039" t="s">
        <v>95</v>
      </c>
      <c r="C1039" t="s">
        <v>13</v>
      </c>
      <c r="D1039" t="s">
        <v>14</v>
      </c>
      <c r="E1039" t="s">
        <v>15</v>
      </c>
      <c r="F1039" t="s">
        <v>14</v>
      </c>
      <c r="G1039" t="s">
        <v>535</v>
      </c>
      <c r="H1039" s="3" t="s">
        <v>537</v>
      </c>
      <c r="J1039" s="4">
        <v>10.29</v>
      </c>
    </row>
    <row r="1040" spans="1:12" x14ac:dyDescent="0.2">
      <c r="A1040" t="s">
        <v>18</v>
      </c>
      <c r="B1040" t="s">
        <v>95</v>
      </c>
      <c r="C1040" t="s">
        <v>13</v>
      </c>
      <c r="D1040" t="s">
        <v>14</v>
      </c>
      <c r="E1040" t="s">
        <v>15</v>
      </c>
      <c r="F1040" t="s">
        <v>14</v>
      </c>
      <c r="G1040" t="s">
        <v>538</v>
      </c>
      <c r="H1040" s="3" t="s">
        <v>539</v>
      </c>
      <c r="J1040" s="4">
        <v>100</v>
      </c>
    </row>
    <row r="1041" spans="1:12" x14ac:dyDescent="0.2">
      <c r="A1041" t="s">
        <v>18</v>
      </c>
      <c r="B1041" t="s">
        <v>95</v>
      </c>
      <c r="C1041" t="s">
        <v>13</v>
      </c>
      <c r="D1041" t="s">
        <v>114</v>
      </c>
      <c r="E1041" t="s">
        <v>15</v>
      </c>
      <c r="F1041" t="s">
        <v>114</v>
      </c>
      <c r="G1041" t="s">
        <v>540</v>
      </c>
      <c r="H1041" s="3" t="s">
        <v>541</v>
      </c>
      <c r="J1041" s="4">
        <v>350</v>
      </c>
    </row>
    <row r="1042" spans="1:12" x14ac:dyDescent="0.2">
      <c r="A1042" t="s">
        <v>18</v>
      </c>
      <c r="B1042" t="s">
        <v>95</v>
      </c>
      <c r="C1042" t="s">
        <v>13</v>
      </c>
      <c r="D1042" t="s">
        <v>114</v>
      </c>
      <c r="E1042" t="s">
        <v>15</v>
      </c>
      <c r="F1042" t="s">
        <v>114</v>
      </c>
      <c r="G1042" t="s">
        <v>542</v>
      </c>
      <c r="H1042" s="3" t="s">
        <v>543</v>
      </c>
      <c r="J1042" s="4">
        <v>300</v>
      </c>
    </row>
    <row r="1043" spans="1:12" x14ac:dyDescent="0.2">
      <c r="A1043" t="s">
        <v>18</v>
      </c>
      <c r="B1043" t="s">
        <v>95</v>
      </c>
      <c r="C1043" t="s">
        <v>13</v>
      </c>
      <c r="D1043" t="s">
        <v>122</v>
      </c>
      <c r="E1043" t="s">
        <v>15</v>
      </c>
      <c r="F1043" t="s">
        <v>122</v>
      </c>
      <c r="G1043" t="s">
        <v>544</v>
      </c>
      <c r="H1043" s="3" t="s">
        <v>545</v>
      </c>
      <c r="J1043" s="4">
        <v>17.3</v>
      </c>
    </row>
    <row r="1044" spans="1:12" x14ac:dyDescent="0.2">
      <c r="A1044" t="s">
        <v>18</v>
      </c>
      <c r="B1044" t="s">
        <v>95</v>
      </c>
      <c r="C1044" t="s">
        <v>13</v>
      </c>
      <c r="D1044" t="s">
        <v>122</v>
      </c>
      <c r="E1044" t="s">
        <v>15</v>
      </c>
      <c r="F1044" t="s">
        <v>122</v>
      </c>
      <c r="G1044" t="s">
        <v>546</v>
      </c>
      <c r="H1044" s="3" t="s">
        <v>547</v>
      </c>
      <c r="J1044" s="4">
        <v>200</v>
      </c>
    </row>
    <row r="1045" spans="1:12" x14ac:dyDescent="0.2">
      <c r="A1045" t="s">
        <v>18</v>
      </c>
      <c r="B1045" t="s">
        <v>95</v>
      </c>
      <c r="C1045" t="s">
        <v>13</v>
      </c>
      <c r="D1045" t="s">
        <v>126</v>
      </c>
      <c r="E1045" t="s">
        <v>15</v>
      </c>
      <c r="F1045" t="s">
        <v>126</v>
      </c>
      <c r="G1045" t="s">
        <v>546</v>
      </c>
      <c r="H1045" s="3" t="s">
        <v>548</v>
      </c>
      <c r="J1045" s="4">
        <v>1100</v>
      </c>
    </row>
    <row r="1046" spans="1:12" x14ac:dyDescent="0.2">
      <c r="A1046" t="s">
        <v>18</v>
      </c>
      <c r="B1046" t="s">
        <v>95</v>
      </c>
      <c r="C1046" t="s">
        <v>13</v>
      </c>
      <c r="D1046" t="s">
        <v>21</v>
      </c>
      <c r="E1046" t="s">
        <v>15</v>
      </c>
      <c r="F1046" t="s">
        <v>21</v>
      </c>
      <c r="G1046" t="s">
        <v>542</v>
      </c>
      <c r="H1046" s="3" t="s">
        <v>549</v>
      </c>
      <c r="J1046" s="4">
        <v>900</v>
      </c>
    </row>
    <row r="1047" spans="1:12" x14ac:dyDescent="0.2">
      <c r="A1047" t="s">
        <v>18</v>
      </c>
      <c r="B1047" t="s">
        <v>95</v>
      </c>
      <c r="C1047" t="s">
        <v>13</v>
      </c>
      <c r="D1047" t="s">
        <v>21</v>
      </c>
      <c r="E1047" t="s">
        <v>15</v>
      </c>
      <c r="F1047" t="s">
        <v>21</v>
      </c>
      <c r="G1047" t="s">
        <v>544</v>
      </c>
      <c r="H1047" s="3" t="s">
        <v>550</v>
      </c>
      <c r="J1047" s="4">
        <v>22</v>
      </c>
    </row>
    <row r="1048" spans="1:12" x14ac:dyDescent="0.2">
      <c r="A1048" t="s">
        <v>18</v>
      </c>
      <c r="B1048" t="s">
        <v>95</v>
      </c>
      <c r="C1048" t="s">
        <v>13</v>
      </c>
      <c r="D1048" t="s">
        <v>142</v>
      </c>
      <c r="E1048" t="s">
        <v>15</v>
      </c>
      <c r="F1048" t="s">
        <v>142</v>
      </c>
      <c r="G1048" t="s">
        <v>551</v>
      </c>
      <c r="H1048" s="3" t="s">
        <v>552</v>
      </c>
      <c r="J1048" s="4">
        <v>50</v>
      </c>
      <c r="K1048" t="s">
        <v>553</v>
      </c>
      <c r="L1048" t="s">
        <v>554</v>
      </c>
    </row>
    <row r="1049" spans="1:12" x14ac:dyDescent="0.2">
      <c r="A1049" t="s">
        <v>18</v>
      </c>
      <c r="B1049" t="s">
        <v>95</v>
      </c>
      <c r="C1049" t="s">
        <v>13</v>
      </c>
      <c r="D1049" t="s">
        <v>24</v>
      </c>
      <c r="E1049" t="s">
        <v>15</v>
      </c>
      <c r="F1049" t="s">
        <v>24</v>
      </c>
      <c r="G1049" t="s">
        <v>540</v>
      </c>
      <c r="H1049" s="3" t="s">
        <v>555</v>
      </c>
      <c r="J1049" s="4">
        <v>208</v>
      </c>
    </row>
    <row r="1050" spans="1:12" x14ac:dyDescent="0.2">
      <c r="A1050" t="s">
        <v>18</v>
      </c>
      <c r="B1050" t="s">
        <v>95</v>
      </c>
      <c r="C1050" t="s">
        <v>13</v>
      </c>
      <c r="D1050" t="s">
        <v>24</v>
      </c>
      <c r="E1050" t="s">
        <v>15</v>
      </c>
      <c r="F1050" t="s">
        <v>24</v>
      </c>
      <c r="G1050" t="s">
        <v>538</v>
      </c>
      <c r="H1050" s="3" t="s">
        <v>556</v>
      </c>
      <c r="J1050" s="4">
        <v>50</v>
      </c>
    </row>
    <row r="1051" spans="1:12" x14ac:dyDescent="0.2">
      <c r="A1051" t="s">
        <v>18</v>
      </c>
      <c r="B1051" t="s">
        <v>95</v>
      </c>
      <c r="C1051" t="s">
        <v>13</v>
      </c>
      <c r="D1051" t="s">
        <v>24</v>
      </c>
      <c r="E1051" t="s">
        <v>15</v>
      </c>
      <c r="F1051" t="s">
        <v>24</v>
      </c>
      <c r="G1051" t="s">
        <v>546</v>
      </c>
      <c r="H1051" s="3" t="s">
        <v>381</v>
      </c>
      <c r="J1051" s="4">
        <v>150</v>
      </c>
    </row>
    <row r="1052" spans="1:12" x14ac:dyDescent="0.2">
      <c r="A1052" t="s">
        <v>18</v>
      </c>
      <c r="B1052" t="s">
        <v>95</v>
      </c>
      <c r="C1052" t="s">
        <v>13</v>
      </c>
      <c r="D1052" t="s">
        <v>24</v>
      </c>
      <c r="E1052" t="s">
        <v>15</v>
      </c>
      <c r="F1052" t="s">
        <v>24</v>
      </c>
      <c r="G1052" t="s">
        <v>557</v>
      </c>
      <c r="H1052" s="3" t="s">
        <v>558</v>
      </c>
      <c r="J1052" s="4">
        <v>205</v>
      </c>
    </row>
    <row r="1053" spans="1:12" x14ac:dyDescent="0.2">
      <c r="A1053" t="s">
        <v>18</v>
      </c>
      <c r="B1053" t="s">
        <v>95</v>
      </c>
      <c r="C1053" t="s">
        <v>13</v>
      </c>
      <c r="D1053" t="s">
        <v>148</v>
      </c>
      <c r="E1053" t="s">
        <v>15</v>
      </c>
      <c r="F1053" t="s">
        <v>148</v>
      </c>
      <c r="G1053" t="s">
        <v>540</v>
      </c>
      <c r="H1053" s="3" t="s">
        <v>559</v>
      </c>
      <c r="J1053" s="4">
        <v>222</v>
      </c>
    </row>
    <row r="1054" spans="1:12" x14ac:dyDescent="0.2">
      <c r="A1054" t="s">
        <v>18</v>
      </c>
      <c r="B1054" t="s">
        <v>95</v>
      </c>
      <c r="C1054" t="s">
        <v>13</v>
      </c>
      <c r="D1054" t="s">
        <v>148</v>
      </c>
      <c r="E1054" t="s">
        <v>15</v>
      </c>
      <c r="F1054" t="s">
        <v>148</v>
      </c>
      <c r="G1054" t="s">
        <v>538</v>
      </c>
      <c r="H1054" s="3" t="s">
        <v>560</v>
      </c>
      <c r="J1054" s="4">
        <v>100</v>
      </c>
    </row>
    <row r="1055" spans="1:12" x14ac:dyDescent="0.2">
      <c r="A1055" t="s">
        <v>18</v>
      </c>
      <c r="B1055" t="s">
        <v>95</v>
      </c>
      <c r="C1055" t="s">
        <v>13</v>
      </c>
      <c r="D1055" t="s">
        <v>158</v>
      </c>
      <c r="E1055" t="s">
        <v>15</v>
      </c>
      <c r="F1055" t="s">
        <v>158</v>
      </c>
      <c r="G1055" t="s">
        <v>561</v>
      </c>
      <c r="H1055" s="3" t="s">
        <v>562</v>
      </c>
      <c r="J1055" s="4">
        <v>87.17</v>
      </c>
    </row>
    <row r="1056" spans="1:12" x14ac:dyDescent="0.2">
      <c r="A1056" t="s">
        <v>18</v>
      </c>
      <c r="B1056" t="s">
        <v>95</v>
      </c>
      <c r="C1056" t="s">
        <v>13</v>
      </c>
      <c r="D1056" t="s">
        <v>158</v>
      </c>
      <c r="E1056" t="s">
        <v>15</v>
      </c>
      <c r="F1056" t="s">
        <v>158</v>
      </c>
      <c r="G1056" t="s">
        <v>544</v>
      </c>
      <c r="H1056" s="3" t="s">
        <v>454</v>
      </c>
      <c r="J1056" s="4">
        <v>22</v>
      </c>
    </row>
    <row r="1057" spans="1:12" x14ac:dyDescent="0.2">
      <c r="A1057" t="s">
        <v>18</v>
      </c>
      <c r="B1057" t="s">
        <v>95</v>
      </c>
      <c r="C1057" t="s">
        <v>13</v>
      </c>
      <c r="D1057" t="s">
        <v>158</v>
      </c>
      <c r="E1057" t="s">
        <v>15</v>
      </c>
      <c r="F1057" t="s">
        <v>158</v>
      </c>
      <c r="G1057" t="s">
        <v>540</v>
      </c>
      <c r="H1057" s="3" t="s">
        <v>563</v>
      </c>
      <c r="J1057" s="4">
        <v>42</v>
      </c>
    </row>
    <row r="1058" spans="1:12" x14ac:dyDescent="0.2">
      <c r="A1058" t="s">
        <v>18</v>
      </c>
      <c r="B1058" t="s">
        <v>95</v>
      </c>
      <c r="C1058" t="s">
        <v>13</v>
      </c>
      <c r="D1058" t="s">
        <v>158</v>
      </c>
      <c r="E1058" t="s">
        <v>15</v>
      </c>
      <c r="F1058" t="s">
        <v>158</v>
      </c>
      <c r="G1058" t="s">
        <v>546</v>
      </c>
      <c r="H1058" s="3" t="s">
        <v>564</v>
      </c>
      <c r="J1058" s="4">
        <v>400</v>
      </c>
    </row>
    <row r="1059" spans="1:12" x14ac:dyDescent="0.2">
      <c r="A1059" t="s">
        <v>18</v>
      </c>
      <c r="B1059" t="s">
        <v>95</v>
      </c>
      <c r="C1059" t="s">
        <v>13</v>
      </c>
      <c r="D1059" t="s">
        <v>158</v>
      </c>
      <c r="E1059" t="s">
        <v>15</v>
      </c>
      <c r="F1059" t="s">
        <v>158</v>
      </c>
      <c r="G1059" t="s">
        <v>546</v>
      </c>
      <c r="H1059" s="3" t="s">
        <v>565</v>
      </c>
      <c r="J1059" s="4">
        <v>100</v>
      </c>
    </row>
    <row r="1060" spans="1:12" x14ac:dyDescent="0.2">
      <c r="A1060" t="s">
        <v>18</v>
      </c>
      <c r="B1060" t="s">
        <v>95</v>
      </c>
      <c r="C1060" t="s">
        <v>13</v>
      </c>
      <c r="D1060" t="s">
        <v>566</v>
      </c>
      <c r="E1060" t="s">
        <v>15</v>
      </c>
      <c r="F1060" t="s">
        <v>566</v>
      </c>
      <c r="G1060" t="s">
        <v>540</v>
      </c>
      <c r="H1060" s="3" t="s">
        <v>567</v>
      </c>
      <c r="J1060" s="4">
        <v>250</v>
      </c>
    </row>
    <row r="1061" spans="1:12" x14ac:dyDescent="0.2">
      <c r="A1061" t="s">
        <v>18</v>
      </c>
      <c r="B1061" t="s">
        <v>95</v>
      </c>
      <c r="C1061" t="s">
        <v>13</v>
      </c>
      <c r="D1061" t="s">
        <v>566</v>
      </c>
      <c r="E1061" t="s">
        <v>15</v>
      </c>
      <c r="F1061" t="s">
        <v>566</v>
      </c>
      <c r="G1061" t="s">
        <v>546</v>
      </c>
      <c r="H1061" s="3" t="s">
        <v>568</v>
      </c>
      <c r="J1061" s="4">
        <v>1500</v>
      </c>
    </row>
    <row r="1062" spans="1:12" x14ac:dyDescent="0.2">
      <c r="A1062" t="s">
        <v>18</v>
      </c>
      <c r="B1062" t="s">
        <v>95</v>
      </c>
      <c r="C1062" t="s">
        <v>13</v>
      </c>
      <c r="D1062" t="s">
        <v>566</v>
      </c>
      <c r="E1062" t="s">
        <v>15</v>
      </c>
      <c r="F1062" t="s">
        <v>566</v>
      </c>
      <c r="G1062" t="s">
        <v>546</v>
      </c>
      <c r="H1062" s="3" t="s">
        <v>569</v>
      </c>
      <c r="J1062" s="4">
        <v>550</v>
      </c>
    </row>
    <row r="1063" spans="1:12" x14ac:dyDescent="0.2">
      <c r="A1063" t="s">
        <v>12</v>
      </c>
      <c r="B1063" t="s">
        <v>95</v>
      </c>
      <c r="C1063" t="s">
        <v>13</v>
      </c>
      <c r="D1063" t="s">
        <v>566</v>
      </c>
      <c r="E1063" t="s">
        <v>15</v>
      </c>
      <c r="F1063" t="s">
        <v>566</v>
      </c>
      <c r="G1063" t="s">
        <v>570</v>
      </c>
      <c r="H1063" s="3" t="s">
        <v>571</v>
      </c>
      <c r="J1063" s="4">
        <v>68.58</v>
      </c>
    </row>
    <row r="1064" spans="1:12" x14ac:dyDescent="0.2">
      <c r="A1064" t="s">
        <v>18</v>
      </c>
      <c r="B1064" t="s">
        <v>95</v>
      </c>
      <c r="C1064" t="s">
        <v>13</v>
      </c>
      <c r="D1064" t="s">
        <v>143</v>
      </c>
      <c r="E1064" t="s">
        <v>15</v>
      </c>
      <c r="F1064" t="s">
        <v>143</v>
      </c>
      <c r="G1064" t="s">
        <v>542</v>
      </c>
      <c r="H1064" s="3" t="s">
        <v>572</v>
      </c>
      <c r="J1064" s="4">
        <v>1520</v>
      </c>
    </row>
    <row r="1065" spans="1:12" x14ac:dyDescent="0.2">
      <c r="A1065" t="s">
        <v>18</v>
      </c>
      <c r="B1065" t="s">
        <v>95</v>
      </c>
      <c r="C1065" t="s">
        <v>13</v>
      </c>
      <c r="D1065" t="s">
        <v>167</v>
      </c>
      <c r="E1065" t="s">
        <v>15</v>
      </c>
      <c r="F1065" t="s">
        <v>167</v>
      </c>
      <c r="G1065" t="s">
        <v>551</v>
      </c>
      <c r="H1065" s="3" t="s">
        <v>573</v>
      </c>
      <c r="J1065" s="4">
        <v>237.91</v>
      </c>
      <c r="K1065" t="s">
        <v>574</v>
      </c>
      <c r="L1065" t="s">
        <v>575</v>
      </c>
    </row>
    <row r="1066" spans="1:12" x14ac:dyDescent="0.2">
      <c r="A1066" t="s">
        <v>18</v>
      </c>
      <c r="B1066" t="s">
        <v>95</v>
      </c>
      <c r="C1066" t="s">
        <v>13</v>
      </c>
      <c r="D1066" t="s">
        <v>167</v>
      </c>
      <c r="E1066" t="s">
        <v>15</v>
      </c>
      <c r="F1066" t="s">
        <v>167</v>
      </c>
      <c r="G1066" t="s">
        <v>544</v>
      </c>
      <c r="H1066" s="3" t="s">
        <v>454</v>
      </c>
      <c r="J1066" s="4">
        <v>22</v>
      </c>
    </row>
    <row r="1067" spans="1:12" x14ac:dyDescent="0.2">
      <c r="A1067" t="s">
        <v>18</v>
      </c>
      <c r="B1067" t="s">
        <v>95</v>
      </c>
      <c r="C1067" t="s">
        <v>13</v>
      </c>
      <c r="D1067" t="s">
        <v>28</v>
      </c>
      <c r="E1067" t="s">
        <v>15</v>
      </c>
      <c r="F1067" t="s">
        <v>28</v>
      </c>
      <c r="G1067" t="s">
        <v>544</v>
      </c>
      <c r="H1067" s="3" t="s">
        <v>454</v>
      </c>
      <c r="J1067" s="4">
        <v>22</v>
      </c>
    </row>
    <row r="1068" spans="1:12" x14ac:dyDescent="0.2">
      <c r="A1068" t="s">
        <v>27</v>
      </c>
      <c r="B1068" t="s">
        <v>95</v>
      </c>
      <c r="C1068" t="s">
        <v>13</v>
      </c>
      <c r="D1068" t="s">
        <v>28</v>
      </c>
      <c r="E1068" t="s">
        <v>15</v>
      </c>
      <c r="F1068" t="s">
        <v>28</v>
      </c>
      <c r="G1068" t="s">
        <v>538</v>
      </c>
      <c r="H1068" s="3" t="s">
        <v>576</v>
      </c>
      <c r="J1068" s="4">
        <v>930.16</v>
      </c>
    </row>
    <row r="1069" spans="1:12" x14ac:dyDescent="0.2">
      <c r="A1069" t="s">
        <v>18</v>
      </c>
      <c r="B1069" t="s">
        <v>95</v>
      </c>
      <c r="C1069" t="s">
        <v>13</v>
      </c>
      <c r="D1069" t="s">
        <v>28</v>
      </c>
      <c r="E1069" t="s">
        <v>15</v>
      </c>
      <c r="F1069" t="s">
        <v>28</v>
      </c>
      <c r="G1069" t="s">
        <v>546</v>
      </c>
      <c r="H1069" s="3" t="s">
        <v>577</v>
      </c>
      <c r="J1069" s="4">
        <v>700</v>
      </c>
    </row>
    <row r="1070" spans="1:12" x14ac:dyDescent="0.2">
      <c r="A1070" t="s">
        <v>18</v>
      </c>
      <c r="B1070" t="s">
        <v>125</v>
      </c>
      <c r="C1070" t="s">
        <v>13</v>
      </c>
      <c r="D1070" t="s">
        <v>29</v>
      </c>
      <c r="E1070" t="s">
        <v>15</v>
      </c>
      <c r="F1070" t="s">
        <v>29</v>
      </c>
      <c r="G1070" t="s">
        <v>551</v>
      </c>
      <c r="H1070" s="3" t="s">
        <v>578</v>
      </c>
      <c r="J1070" s="4">
        <v>42</v>
      </c>
    </row>
    <row r="1071" spans="1:12" x14ac:dyDescent="0.2">
      <c r="A1071" t="s">
        <v>18</v>
      </c>
      <c r="B1071" t="s">
        <v>95</v>
      </c>
      <c r="C1071" t="s">
        <v>13</v>
      </c>
      <c r="D1071" t="s">
        <v>29</v>
      </c>
      <c r="E1071" t="s">
        <v>15</v>
      </c>
      <c r="F1071" t="s">
        <v>29</v>
      </c>
      <c r="G1071" t="s">
        <v>538</v>
      </c>
      <c r="H1071" s="3" t="s">
        <v>579</v>
      </c>
      <c r="J1071" s="4">
        <v>35</v>
      </c>
    </row>
    <row r="1072" spans="1:12" x14ac:dyDescent="0.2">
      <c r="A1072" t="s">
        <v>18</v>
      </c>
      <c r="B1072" t="s">
        <v>95</v>
      </c>
      <c r="C1072" t="s">
        <v>13</v>
      </c>
      <c r="D1072" t="s">
        <v>31</v>
      </c>
      <c r="E1072" t="s">
        <v>15</v>
      </c>
      <c r="F1072" t="s">
        <v>31</v>
      </c>
      <c r="G1072" t="s">
        <v>544</v>
      </c>
      <c r="H1072" s="3" t="s">
        <v>550</v>
      </c>
      <c r="J1072" s="4">
        <v>22</v>
      </c>
    </row>
    <row r="1073" spans="1:12" x14ac:dyDescent="0.2">
      <c r="A1073" t="s">
        <v>18</v>
      </c>
      <c r="B1073" t="s">
        <v>95</v>
      </c>
      <c r="C1073" t="s">
        <v>13</v>
      </c>
      <c r="D1073" t="s">
        <v>31</v>
      </c>
      <c r="E1073" t="s">
        <v>15</v>
      </c>
      <c r="F1073" t="s">
        <v>31</v>
      </c>
      <c r="G1073" t="s">
        <v>580</v>
      </c>
      <c r="H1073" s="3" t="s">
        <v>581</v>
      </c>
      <c r="J1073" s="4">
        <v>712</v>
      </c>
    </row>
    <row r="1074" spans="1:12" x14ac:dyDescent="0.2">
      <c r="A1074" t="s">
        <v>18</v>
      </c>
      <c r="B1074" t="s">
        <v>95</v>
      </c>
      <c r="C1074" t="s">
        <v>13</v>
      </c>
      <c r="D1074" t="s">
        <v>31</v>
      </c>
      <c r="E1074" t="s">
        <v>15</v>
      </c>
      <c r="F1074" t="s">
        <v>31</v>
      </c>
      <c r="G1074" t="s">
        <v>551</v>
      </c>
      <c r="J1074" s="4">
        <v>50</v>
      </c>
      <c r="L1074" t="s">
        <v>582</v>
      </c>
    </row>
    <row r="1075" spans="1:12" x14ac:dyDescent="0.2">
      <c r="A1075" t="s">
        <v>18</v>
      </c>
      <c r="B1075" t="s">
        <v>95</v>
      </c>
      <c r="C1075" t="s">
        <v>13</v>
      </c>
      <c r="D1075" t="s">
        <v>31</v>
      </c>
      <c r="E1075" t="s">
        <v>15</v>
      </c>
      <c r="F1075" t="s">
        <v>31</v>
      </c>
      <c r="G1075" t="s">
        <v>580</v>
      </c>
      <c r="H1075" s="3" t="s">
        <v>583</v>
      </c>
      <c r="J1075" s="4">
        <v>5000</v>
      </c>
    </row>
    <row r="1076" spans="1:12" x14ac:dyDescent="0.2">
      <c r="A1076" t="s">
        <v>18</v>
      </c>
      <c r="B1076" t="s">
        <v>95</v>
      </c>
      <c r="C1076" t="s">
        <v>13</v>
      </c>
      <c r="D1076" t="s">
        <v>31</v>
      </c>
      <c r="E1076" t="s">
        <v>15</v>
      </c>
      <c r="F1076" t="s">
        <v>31</v>
      </c>
      <c r="G1076" t="s">
        <v>538</v>
      </c>
      <c r="H1076" s="3" t="s">
        <v>460</v>
      </c>
      <c r="J1076" s="4">
        <v>100</v>
      </c>
    </row>
    <row r="1077" spans="1:12" x14ac:dyDescent="0.2">
      <c r="A1077" t="s">
        <v>18</v>
      </c>
      <c r="B1077" t="s">
        <v>95</v>
      </c>
      <c r="C1077" t="s">
        <v>13</v>
      </c>
      <c r="D1077" t="s">
        <v>31</v>
      </c>
      <c r="E1077" t="s">
        <v>15</v>
      </c>
      <c r="F1077" t="s">
        <v>31</v>
      </c>
      <c r="G1077" t="s">
        <v>546</v>
      </c>
      <c r="H1077" s="3" t="s">
        <v>584</v>
      </c>
      <c r="J1077" s="4">
        <v>50</v>
      </c>
    </row>
    <row r="1078" spans="1:12" x14ac:dyDescent="0.2">
      <c r="A1078" t="s">
        <v>18</v>
      </c>
      <c r="B1078" t="s">
        <v>95</v>
      </c>
      <c r="C1078" t="s">
        <v>13</v>
      </c>
      <c r="D1078" t="s">
        <v>31</v>
      </c>
      <c r="E1078" t="s">
        <v>15</v>
      </c>
      <c r="F1078" t="s">
        <v>31</v>
      </c>
      <c r="G1078" t="s">
        <v>580</v>
      </c>
      <c r="H1078" s="3" t="s">
        <v>549</v>
      </c>
      <c r="J1078" s="4">
        <v>565.77</v>
      </c>
    </row>
    <row r="1079" spans="1:12" x14ac:dyDescent="0.2">
      <c r="A1079" t="s">
        <v>18</v>
      </c>
      <c r="B1079" t="s">
        <v>95</v>
      </c>
      <c r="C1079" t="s">
        <v>13</v>
      </c>
      <c r="D1079" t="s">
        <v>457</v>
      </c>
      <c r="E1079" t="s">
        <v>15</v>
      </c>
      <c r="F1079" t="s">
        <v>457</v>
      </c>
      <c r="G1079" t="s">
        <v>546</v>
      </c>
      <c r="H1079" s="3" t="s">
        <v>584</v>
      </c>
      <c r="J1079" s="4">
        <v>600</v>
      </c>
    </row>
    <row r="1080" spans="1:12" x14ac:dyDescent="0.2">
      <c r="A1080" t="s">
        <v>18</v>
      </c>
      <c r="B1080" t="s">
        <v>95</v>
      </c>
      <c r="C1080" t="s">
        <v>13</v>
      </c>
      <c r="D1080" t="s">
        <v>457</v>
      </c>
      <c r="E1080" t="s">
        <v>15</v>
      </c>
      <c r="F1080" t="s">
        <v>457</v>
      </c>
      <c r="G1080" t="s">
        <v>538</v>
      </c>
      <c r="H1080" s="3" t="s">
        <v>585</v>
      </c>
      <c r="J1080" s="4">
        <v>120</v>
      </c>
    </row>
    <row r="1081" spans="1:12" x14ac:dyDescent="0.2">
      <c r="A1081" t="s">
        <v>12</v>
      </c>
      <c r="B1081" t="s">
        <v>95</v>
      </c>
      <c r="C1081" t="s">
        <v>13</v>
      </c>
      <c r="D1081" t="s">
        <v>586</v>
      </c>
      <c r="E1081" t="s">
        <v>15</v>
      </c>
      <c r="F1081" t="s">
        <v>586</v>
      </c>
      <c r="G1081" t="s">
        <v>538</v>
      </c>
      <c r="H1081" s="3" t="s">
        <v>587</v>
      </c>
      <c r="J1081" s="4">
        <v>36.78</v>
      </c>
    </row>
    <row r="1082" spans="1:12" x14ac:dyDescent="0.2">
      <c r="A1082" t="s">
        <v>18</v>
      </c>
      <c r="B1082" t="s">
        <v>95</v>
      </c>
      <c r="C1082" t="s">
        <v>13</v>
      </c>
      <c r="D1082" t="s">
        <v>191</v>
      </c>
      <c r="E1082" t="s">
        <v>15</v>
      </c>
      <c r="F1082" t="s">
        <v>191</v>
      </c>
      <c r="G1082" t="s">
        <v>570</v>
      </c>
      <c r="J1082" s="4">
        <v>101</v>
      </c>
    </row>
    <row r="1083" spans="1:12" x14ac:dyDescent="0.2">
      <c r="A1083" t="s">
        <v>18</v>
      </c>
      <c r="B1083" t="s">
        <v>95</v>
      </c>
      <c r="C1083" t="s">
        <v>13</v>
      </c>
      <c r="D1083" t="s">
        <v>191</v>
      </c>
      <c r="E1083" t="s">
        <v>15</v>
      </c>
      <c r="F1083" t="s">
        <v>191</v>
      </c>
      <c r="G1083" t="s">
        <v>544</v>
      </c>
      <c r="H1083" s="3" t="s">
        <v>550</v>
      </c>
      <c r="J1083" s="4">
        <v>11</v>
      </c>
    </row>
    <row r="1084" spans="1:12" x14ac:dyDescent="0.2">
      <c r="A1084" t="s">
        <v>18</v>
      </c>
      <c r="B1084" t="s">
        <v>95</v>
      </c>
      <c r="C1084" t="s">
        <v>13</v>
      </c>
      <c r="D1084" t="s">
        <v>191</v>
      </c>
      <c r="E1084" t="s">
        <v>15</v>
      </c>
      <c r="F1084" t="s">
        <v>191</v>
      </c>
      <c r="G1084" t="s">
        <v>580</v>
      </c>
      <c r="H1084" s="3" t="s">
        <v>588</v>
      </c>
      <c r="J1084" s="4">
        <v>2925.7</v>
      </c>
    </row>
    <row r="1085" spans="1:12" x14ac:dyDescent="0.2">
      <c r="A1085" t="s">
        <v>18</v>
      </c>
      <c r="B1085" t="s">
        <v>95</v>
      </c>
      <c r="C1085" t="s">
        <v>13</v>
      </c>
      <c r="D1085" t="s">
        <v>191</v>
      </c>
      <c r="E1085" t="s">
        <v>15</v>
      </c>
      <c r="F1085" t="s">
        <v>191</v>
      </c>
      <c r="G1085" t="s">
        <v>561</v>
      </c>
      <c r="J1085" s="4">
        <v>220</v>
      </c>
    </row>
    <row r="1086" spans="1:12" x14ac:dyDescent="0.2">
      <c r="A1086" t="s">
        <v>18</v>
      </c>
      <c r="B1086" t="s">
        <v>95</v>
      </c>
      <c r="C1086" t="s">
        <v>13</v>
      </c>
      <c r="D1086" t="s">
        <v>190</v>
      </c>
      <c r="E1086" t="s">
        <v>15</v>
      </c>
      <c r="F1086" t="s">
        <v>190</v>
      </c>
      <c r="G1086" t="s">
        <v>535</v>
      </c>
      <c r="H1086" s="3" t="s">
        <v>579</v>
      </c>
      <c r="J1086" s="4">
        <v>110</v>
      </c>
    </row>
    <row r="1087" spans="1:12" x14ac:dyDescent="0.2">
      <c r="A1087" t="s">
        <v>18</v>
      </c>
      <c r="B1087" t="s">
        <v>95</v>
      </c>
      <c r="C1087" t="s">
        <v>13</v>
      </c>
      <c r="D1087" t="s">
        <v>391</v>
      </c>
      <c r="E1087" t="s">
        <v>15</v>
      </c>
      <c r="F1087" t="s">
        <v>391</v>
      </c>
      <c r="G1087" t="s">
        <v>538</v>
      </c>
      <c r="H1087" s="3" t="s">
        <v>589</v>
      </c>
      <c r="J1087" s="4">
        <v>30</v>
      </c>
    </row>
    <row r="1088" spans="1:12" x14ac:dyDescent="0.2">
      <c r="A1088" t="s">
        <v>18</v>
      </c>
      <c r="B1088" t="s">
        <v>95</v>
      </c>
      <c r="C1088" t="s">
        <v>13</v>
      </c>
      <c r="D1088" t="s">
        <v>391</v>
      </c>
      <c r="E1088" t="s">
        <v>15</v>
      </c>
      <c r="F1088" t="s">
        <v>391</v>
      </c>
      <c r="G1088" t="s">
        <v>570</v>
      </c>
      <c r="J1088" s="4">
        <v>9</v>
      </c>
    </row>
    <row r="1089" spans="1:10" x14ac:dyDescent="0.2">
      <c r="A1089" t="s">
        <v>18</v>
      </c>
      <c r="B1089" t="s">
        <v>95</v>
      </c>
      <c r="C1089" t="s">
        <v>13</v>
      </c>
      <c r="D1089" t="s">
        <v>197</v>
      </c>
      <c r="E1089" t="s">
        <v>15</v>
      </c>
      <c r="F1089" t="s">
        <v>197</v>
      </c>
      <c r="G1089" t="s">
        <v>546</v>
      </c>
      <c r="H1089" s="3" t="s">
        <v>568</v>
      </c>
      <c r="J1089" s="4">
        <v>600</v>
      </c>
    </row>
    <row r="1090" spans="1:10" x14ac:dyDescent="0.2">
      <c r="A1090" t="s">
        <v>18</v>
      </c>
      <c r="B1090" t="s">
        <v>95</v>
      </c>
      <c r="C1090" t="s">
        <v>13</v>
      </c>
      <c r="D1090" t="s">
        <v>590</v>
      </c>
      <c r="E1090" t="s">
        <v>15</v>
      </c>
      <c r="F1090" t="s">
        <v>590</v>
      </c>
      <c r="G1090" t="s">
        <v>546</v>
      </c>
      <c r="H1090" s="3" t="s">
        <v>381</v>
      </c>
      <c r="J1090" s="4">
        <v>300</v>
      </c>
    </row>
    <row r="1091" spans="1:10" x14ac:dyDescent="0.2">
      <c r="A1091" t="s">
        <v>18</v>
      </c>
      <c r="B1091" t="s">
        <v>95</v>
      </c>
      <c r="C1091" t="s">
        <v>13</v>
      </c>
      <c r="D1091" t="s">
        <v>590</v>
      </c>
      <c r="E1091" t="s">
        <v>15</v>
      </c>
      <c r="F1091" t="s">
        <v>590</v>
      </c>
      <c r="G1091" t="s">
        <v>542</v>
      </c>
      <c r="H1091" s="3" t="s">
        <v>591</v>
      </c>
      <c r="J1091" s="4">
        <v>250</v>
      </c>
    </row>
    <row r="1092" spans="1:10" x14ac:dyDescent="0.2">
      <c r="A1092" t="s">
        <v>18</v>
      </c>
      <c r="B1092" t="s">
        <v>95</v>
      </c>
      <c r="C1092" t="s">
        <v>13</v>
      </c>
      <c r="D1092" t="s">
        <v>38</v>
      </c>
      <c r="E1092" t="s">
        <v>15</v>
      </c>
      <c r="F1092" t="s">
        <v>38</v>
      </c>
      <c r="G1092" t="s">
        <v>544</v>
      </c>
      <c r="H1092" s="3" t="s">
        <v>550</v>
      </c>
      <c r="J1092" s="4">
        <v>22</v>
      </c>
    </row>
    <row r="1093" spans="1:10" x14ac:dyDescent="0.2">
      <c r="A1093" t="s">
        <v>18</v>
      </c>
      <c r="B1093" t="s">
        <v>95</v>
      </c>
      <c r="C1093" t="s">
        <v>13</v>
      </c>
      <c r="D1093" t="s">
        <v>201</v>
      </c>
      <c r="E1093" t="s">
        <v>15</v>
      </c>
      <c r="F1093" t="s">
        <v>201</v>
      </c>
      <c r="G1093" t="s">
        <v>546</v>
      </c>
      <c r="H1093" s="3" t="s">
        <v>592</v>
      </c>
      <c r="J1093" s="4">
        <v>80</v>
      </c>
    </row>
    <row r="1094" spans="1:10" x14ac:dyDescent="0.2">
      <c r="A1094" t="s">
        <v>18</v>
      </c>
      <c r="B1094" t="s">
        <v>95</v>
      </c>
      <c r="C1094" t="s">
        <v>13</v>
      </c>
      <c r="D1094" t="s">
        <v>127</v>
      </c>
      <c r="E1094" t="s">
        <v>42</v>
      </c>
      <c r="F1094" t="s">
        <v>127</v>
      </c>
      <c r="G1094" t="s">
        <v>593</v>
      </c>
      <c r="H1094" s="3" t="s">
        <v>594</v>
      </c>
      <c r="J1094" s="4">
        <v>3000</v>
      </c>
    </row>
    <row r="1095" spans="1:10" x14ac:dyDescent="0.2">
      <c r="A1095" t="s">
        <v>18</v>
      </c>
      <c r="B1095" t="s">
        <v>95</v>
      </c>
      <c r="C1095" t="s">
        <v>13</v>
      </c>
      <c r="D1095" t="s">
        <v>127</v>
      </c>
      <c r="E1095" t="s">
        <v>42</v>
      </c>
      <c r="F1095" t="s">
        <v>127</v>
      </c>
      <c r="G1095" t="s">
        <v>544</v>
      </c>
      <c r="H1095" s="3" t="s">
        <v>454</v>
      </c>
      <c r="J1095" s="4">
        <v>20</v>
      </c>
    </row>
    <row r="1096" spans="1:10" x14ac:dyDescent="0.2">
      <c r="A1096" t="s">
        <v>18</v>
      </c>
      <c r="B1096" t="s">
        <v>95</v>
      </c>
      <c r="C1096" t="s">
        <v>13</v>
      </c>
      <c r="D1096" t="s">
        <v>127</v>
      </c>
      <c r="E1096" t="s">
        <v>42</v>
      </c>
      <c r="F1096" t="s">
        <v>127</v>
      </c>
      <c r="G1096" t="s">
        <v>595</v>
      </c>
      <c r="H1096" s="3" t="s">
        <v>596</v>
      </c>
      <c r="J1096" s="4">
        <v>377.4</v>
      </c>
    </row>
    <row r="1097" spans="1:10" x14ac:dyDescent="0.2">
      <c r="A1097" t="s">
        <v>18</v>
      </c>
      <c r="B1097" t="s">
        <v>95</v>
      </c>
      <c r="C1097" t="s">
        <v>13</v>
      </c>
      <c r="D1097" t="s">
        <v>208</v>
      </c>
      <c r="E1097" t="s">
        <v>15</v>
      </c>
      <c r="F1097" t="s">
        <v>208</v>
      </c>
      <c r="G1097" t="s">
        <v>597</v>
      </c>
      <c r="H1097" s="3" t="s">
        <v>598</v>
      </c>
      <c r="J1097" s="4">
        <v>100</v>
      </c>
    </row>
    <row r="1098" spans="1:10" x14ac:dyDescent="0.2">
      <c r="A1098" t="s">
        <v>18</v>
      </c>
      <c r="B1098" t="s">
        <v>95</v>
      </c>
      <c r="C1098" t="s">
        <v>13</v>
      </c>
      <c r="D1098" t="s">
        <v>208</v>
      </c>
      <c r="E1098" t="s">
        <v>42</v>
      </c>
      <c r="F1098" t="s">
        <v>208</v>
      </c>
      <c r="G1098" t="s">
        <v>570</v>
      </c>
      <c r="J1098" s="4">
        <v>26.9</v>
      </c>
    </row>
    <row r="1099" spans="1:10" x14ac:dyDescent="0.2">
      <c r="A1099" t="s">
        <v>18</v>
      </c>
      <c r="B1099" t="s">
        <v>95</v>
      </c>
      <c r="C1099" t="s">
        <v>13</v>
      </c>
      <c r="D1099" t="s">
        <v>208</v>
      </c>
      <c r="E1099" t="s">
        <v>15</v>
      </c>
      <c r="F1099" t="s">
        <v>208</v>
      </c>
      <c r="G1099" t="s">
        <v>570</v>
      </c>
      <c r="J1099" s="4">
        <v>5</v>
      </c>
    </row>
    <row r="1100" spans="1:10" x14ac:dyDescent="0.2">
      <c r="A1100" t="s">
        <v>18</v>
      </c>
      <c r="B1100" t="s">
        <v>95</v>
      </c>
      <c r="C1100" t="s">
        <v>13</v>
      </c>
      <c r="D1100" t="s">
        <v>214</v>
      </c>
      <c r="E1100" t="s">
        <v>15</v>
      </c>
      <c r="F1100" t="s">
        <v>214</v>
      </c>
      <c r="G1100" t="s">
        <v>597</v>
      </c>
      <c r="H1100" s="3" t="s">
        <v>599</v>
      </c>
      <c r="J1100" s="4">
        <v>300</v>
      </c>
    </row>
    <row r="1101" spans="1:10" x14ac:dyDescent="0.2">
      <c r="A1101" t="s">
        <v>18</v>
      </c>
      <c r="B1101" t="s">
        <v>95</v>
      </c>
      <c r="C1101" t="s">
        <v>13</v>
      </c>
      <c r="D1101" t="s">
        <v>214</v>
      </c>
      <c r="E1101" t="s">
        <v>15</v>
      </c>
      <c r="F1101" t="s">
        <v>41</v>
      </c>
      <c r="G1101" t="s">
        <v>600</v>
      </c>
      <c r="H1101" s="3" t="s">
        <v>601</v>
      </c>
      <c r="J1101" s="4">
        <v>250</v>
      </c>
    </row>
    <row r="1102" spans="1:10" x14ac:dyDescent="0.2">
      <c r="A1102" t="s">
        <v>12</v>
      </c>
      <c r="B1102" t="s">
        <v>95</v>
      </c>
      <c r="C1102" t="s">
        <v>13</v>
      </c>
      <c r="D1102" t="s">
        <v>214</v>
      </c>
      <c r="E1102" t="s">
        <v>15</v>
      </c>
      <c r="F1102" t="s">
        <v>214</v>
      </c>
      <c r="G1102" t="s">
        <v>570</v>
      </c>
      <c r="J1102" s="4">
        <v>40</v>
      </c>
    </row>
    <row r="1103" spans="1:10" x14ac:dyDescent="0.2">
      <c r="A1103" t="s">
        <v>18</v>
      </c>
      <c r="B1103" t="s">
        <v>95</v>
      </c>
      <c r="C1103" t="s">
        <v>13</v>
      </c>
      <c r="D1103" t="s">
        <v>474</v>
      </c>
      <c r="E1103" t="s">
        <v>42</v>
      </c>
      <c r="F1103" t="s">
        <v>474</v>
      </c>
      <c r="G1103" t="s">
        <v>542</v>
      </c>
      <c r="H1103" s="3" t="s">
        <v>602</v>
      </c>
      <c r="J1103" s="4">
        <v>200</v>
      </c>
    </row>
    <row r="1104" spans="1:10" x14ac:dyDescent="0.2">
      <c r="A1104" t="s">
        <v>18</v>
      </c>
      <c r="B1104" t="s">
        <v>95</v>
      </c>
      <c r="C1104" t="s">
        <v>13</v>
      </c>
      <c r="D1104" t="s">
        <v>474</v>
      </c>
      <c r="E1104" t="s">
        <v>42</v>
      </c>
      <c r="F1104" t="s">
        <v>474</v>
      </c>
      <c r="G1104" t="s">
        <v>546</v>
      </c>
      <c r="H1104" s="3" t="s">
        <v>584</v>
      </c>
      <c r="J1104" s="4">
        <v>800</v>
      </c>
    </row>
    <row r="1105" spans="1:12" x14ac:dyDescent="0.2">
      <c r="A1105" t="s">
        <v>18</v>
      </c>
      <c r="B1105" t="s">
        <v>95</v>
      </c>
      <c r="C1105" t="s">
        <v>13</v>
      </c>
      <c r="D1105" t="s">
        <v>216</v>
      </c>
      <c r="E1105" t="s">
        <v>42</v>
      </c>
      <c r="F1105" t="s">
        <v>216</v>
      </c>
      <c r="G1105" t="s">
        <v>546</v>
      </c>
      <c r="H1105" s="3" t="s">
        <v>584</v>
      </c>
      <c r="J1105" s="4">
        <v>300</v>
      </c>
    </row>
    <row r="1106" spans="1:12" x14ac:dyDescent="0.2">
      <c r="A1106" t="s">
        <v>18</v>
      </c>
      <c r="B1106" t="s">
        <v>95</v>
      </c>
      <c r="C1106" t="s">
        <v>13</v>
      </c>
      <c r="D1106" t="s">
        <v>52</v>
      </c>
      <c r="E1106" t="s">
        <v>42</v>
      </c>
      <c r="F1106" t="s">
        <v>52</v>
      </c>
      <c r="G1106" t="s">
        <v>551</v>
      </c>
      <c r="H1106" s="3" t="s">
        <v>603</v>
      </c>
      <c r="J1106" s="4">
        <v>60</v>
      </c>
      <c r="L1106" t="s">
        <v>604</v>
      </c>
    </row>
    <row r="1107" spans="1:12" x14ac:dyDescent="0.2">
      <c r="A1107" t="s">
        <v>18</v>
      </c>
      <c r="B1107" t="s">
        <v>95</v>
      </c>
      <c r="C1107" t="s">
        <v>13</v>
      </c>
      <c r="D1107" t="s">
        <v>52</v>
      </c>
      <c r="E1107" t="s">
        <v>42</v>
      </c>
      <c r="F1107" t="s">
        <v>52</v>
      </c>
      <c r="G1107" t="s">
        <v>544</v>
      </c>
      <c r="H1107" s="3" t="s">
        <v>550</v>
      </c>
      <c r="J1107" s="4">
        <v>22</v>
      </c>
    </row>
    <row r="1108" spans="1:12" x14ac:dyDescent="0.2">
      <c r="A1108" t="s">
        <v>18</v>
      </c>
      <c r="B1108" t="s">
        <v>95</v>
      </c>
      <c r="C1108" t="s">
        <v>13</v>
      </c>
      <c r="D1108" t="s">
        <v>52</v>
      </c>
      <c r="E1108" t="s">
        <v>42</v>
      </c>
      <c r="F1108" t="s">
        <v>41</v>
      </c>
      <c r="G1108" t="s">
        <v>538</v>
      </c>
      <c r="H1108" s="3" t="s">
        <v>605</v>
      </c>
      <c r="J1108" s="4">
        <v>447</v>
      </c>
    </row>
    <row r="1109" spans="1:12" x14ac:dyDescent="0.2">
      <c r="A1109" t="s">
        <v>27</v>
      </c>
      <c r="B1109" t="s">
        <v>95</v>
      </c>
      <c r="C1109" t="s">
        <v>13</v>
      </c>
      <c r="D1109" t="s">
        <v>52</v>
      </c>
      <c r="E1109" t="s">
        <v>42</v>
      </c>
      <c r="F1109" t="s">
        <v>52</v>
      </c>
      <c r="G1109" t="s">
        <v>595</v>
      </c>
      <c r="H1109" s="3" t="s">
        <v>606</v>
      </c>
      <c r="J1109" s="4">
        <v>14.15</v>
      </c>
    </row>
    <row r="1110" spans="1:12" x14ac:dyDescent="0.2">
      <c r="A1110" t="s">
        <v>12</v>
      </c>
      <c r="B1110" t="s">
        <v>95</v>
      </c>
      <c r="C1110" t="s">
        <v>13</v>
      </c>
      <c r="D1110" t="s">
        <v>52</v>
      </c>
      <c r="E1110" t="s">
        <v>42</v>
      </c>
      <c r="F1110" t="s">
        <v>52</v>
      </c>
      <c r="G1110" t="s">
        <v>542</v>
      </c>
      <c r="H1110" s="3" t="s">
        <v>583</v>
      </c>
      <c r="J1110" s="4">
        <v>150</v>
      </c>
    </row>
    <row r="1111" spans="1:12" x14ac:dyDescent="0.2">
      <c r="A1111" t="s">
        <v>12</v>
      </c>
      <c r="B1111" t="s">
        <v>110</v>
      </c>
      <c r="C1111" t="s">
        <v>13</v>
      </c>
      <c r="D1111" t="s">
        <v>52</v>
      </c>
      <c r="E1111" t="s">
        <v>42</v>
      </c>
      <c r="F1111" t="s">
        <v>52</v>
      </c>
      <c r="G1111" t="s">
        <v>551</v>
      </c>
      <c r="H1111" s="3" t="s">
        <v>607</v>
      </c>
      <c r="J1111" s="4">
        <v>17.34</v>
      </c>
      <c r="K1111" t="s">
        <v>152</v>
      </c>
      <c r="L1111" t="s">
        <v>153</v>
      </c>
    </row>
    <row r="1112" spans="1:12" x14ac:dyDescent="0.2">
      <c r="A1112" t="s">
        <v>18</v>
      </c>
      <c r="B1112" t="s">
        <v>95</v>
      </c>
      <c r="C1112" t="s">
        <v>13</v>
      </c>
      <c r="D1112" t="s">
        <v>41</v>
      </c>
      <c r="E1112" t="s">
        <v>42</v>
      </c>
      <c r="F1112" t="s">
        <v>41</v>
      </c>
      <c r="G1112" t="s">
        <v>546</v>
      </c>
      <c r="H1112" s="3" t="s">
        <v>584</v>
      </c>
      <c r="J1112" s="4">
        <v>200</v>
      </c>
    </row>
    <row r="1113" spans="1:12" x14ac:dyDescent="0.2">
      <c r="A1113" t="s">
        <v>18</v>
      </c>
      <c r="B1113" t="s">
        <v>95</v>
      </c>
      <c r="C1113" t="s">
        <v>13</v>
      </c>
      <c r="D1113" t="s">
        <v>41</v>
      </c>
      <c r="E1113" t="s">
        <v>42</v>
      </c>
      <c r="F1113" t="s">
        <v>41</v>
      </c>
      <c r="G1113" t="s">
        <v>538</v>
      </c>
      <c r="H1113" s="3" t="s">
        <v>608</v>
      </c>
      <c r="J1113" s="4">
        <v>171.69</v>
      </c>
    </row>
    <row r="1114" spans="1:12" x14ac:dyDescent="0.2">
      <c r="A1114" t="s">
        <v>18</v>
      </c>
      <c r="B1114" t="s">
        <v>95</v>
      </c>
      <c r="C1114" t="s">
        <v>13</v>
      </c>
      <c r="D1114" t="s">
        <v>41</v>
      </c>
      <c r="E1114" t="s">
        <v>42</v>
      </c>
      <c r="F1114" t="s">
        <v>41</v>
      </c>
      <c r="G1114" t="s">
        <v>538</v>
      </c>
      <c r="H1114" s="3" t="s">
        <v>340</v>
      </c>
      <c r="J1114" s="4">
        <v>1518</v>
      </c>
    </row>
    <row r="1115" spans="1:12" x14ac:dyDescent="0.2">
      <c r="A1115" t="s">
        <v>12</v>
      </c>
      <c r="B1115" t="s">
        <v>95</v>
      </c>
      <c r="C1115" t="s">
        <v>13</v>
      </c>
      <c r="D1115" t="s">
        <v>43</v>
      </c>
      <c r="E1115" t="s">
        <v>42</v>
      </c>
      <c r="F1115" t="s">
        <v>43</v>
      </c>
      <c r="G1115" t="s">
        <v>546</v>
      </c>
      <c r="H1115" s="3" t="s">
        <v>584</v>
      </c>
      <c r="J1115" s="4">
        <v>100</v>
      </c>
      <c r="L1115" t="s">
        <v>584</v>
      </c>
    </row>
    <row r="1116" spans="1:12" x14ac:dyDescent="0.2">
      <c r="A1116" t="s">
        <v>18</v>
      </c>
      <c r="B1116" t="s">
        <v>125</v>
      </c>
      <c r="C1116" t="s">
        <v>13</v>
      </c>
      <c r="D1116" t="s">
        <v>231</v>
      </c>
      <c r="E1116" t="s">
        <v>42</v>
      </c>
      <c r="F1116" t="s">
        <v>231</v>
      </c>
      <c r="G1116" t="s">
        <v>561</v>
      </c>
      <c r="H1116" s="3" t="s">
        <v>609</v>
      </c>
      <c r="J1116" s="4">
        <v>150</v>
      </c>
      <c r="K1116" t="s">
        <v>235</v>
      </c>
      <c r="L1116" t="s">
        <v>236</v>
      </c>
    </row>
    <row r="1117" spans="1:12" x14ac:dyDescent="0.2">
      <c r="A1117" t="s">
        <v>18</v>
      </c>
      <c r="B1117" t="s">
        <v>95</v>
      </c>
      <c r="C1117" t="s">
        <v>13</v>
      </c>
      <c r="D1117" t="s">
        <v>231</v>
      </c>
      <c r="E1117" t="s">
        <v>42</v>
      </c>
      <c r="F1117" t="s">
        <v>231</v>
      </c>
      <c r="G1117" t="s">
        <v>546</v>
      </c>
      <c r="H1117" s="3" t="s">
        <v>584</v>
      </c>
      <c r="J1117" s="4">
        <v>100</v>
      </c>
    </row>
    <row r="1118" spans="1:12" x14ac:dyDescent="0.2">
      <c r="A1118" t="s">
        <v>18</v>
      </c>
      <c r="B1118" t="s">
        <v>125</v>
      </c>
      <c r="C1118" t="s">
        <v>13</v>
      </c>
      <c r="D1118" t="s">
        <v>231</v>
      </c>
      <c r="E1118" t="s">
        <v>42</v>
      </c>
      <c r="F1118" t="s">
        <v>231</v>
      </c>
      <c r="G1118" t="s">
        <v>551</v>
      </c>
      <c r="J1118" s="4">
        <v>237.91</v>
      </c>
      <c r="K1118" t="s">
        <v>574</v>
      </c>
      <c r="L1118" t="s">
        <v>575</v>
      </c>
    </row>
    <row r="1119" spans="1:12" x14ac:dyDescent="0.2">
      <c r="A1119" t="s">
        <v>18</v>
      </c>
      <c r="B1119" t="s">
        <v>95</v>
      </c>
      <c r="C1119" t="s">
        <v>13</v>
      </c>
      <c r="D1119" t="s">
        <v>231</v>
      </c>
      <c r="E1119" t="s">
        <v>42</v>
      </c>
      <c r="F1119" t="s">
        <v>231</v>
      </c>
      <c r="G1119" t="s">
        <v>538</v>
      </c>
      <c r="J1119" s="4">
        <v>10</v>
      </c>
    </row>
    <row r="1120" spans="1:12" x14ac:dyDescent="0.2">
      <c r="A1120" t="s">
        <v>18</v>
      </c>
      <c r="B1120" t="s">
        <v>95</v>
      </c>
      <c r="C1120" t="s">
        <v>13</v>
      </c>
      <c r="D1120" t="s">
        <v>45</v>
      </c>
      <c r="E1120" t="s">
        <v>42</v>
      </c>
      <c r="F1120" t="s">
        <v>45</v>
      </c>
      <c r="G1120" t="s">
        <v>570</v>
      </c>
      <c r="H1120" s="3" t="s">
        <v>610</v>
      </c>
      <c r="J1120" s="4">
        <v>52</v>
      </c>
    </row>
    <row r="1121" spans="1:12" x14ac:dyDescent="0.2">
      <c r="A1121" t="s">
        <v>18</v>
      </c>
      <c r="B1121" t="s">
        <v>95</v>
      </c>
      <c r="C1121" t="s">
        <v>13</v>
      </c>
      <c r="D1121" t="s">
        <v>45</v>
      </c>
      <c r="E1121" t="s">
        <v>42</v>
      </c>
      <c r="F1121" t="s">
        <v>45</v>
      </c>
      <c r="G1121" t="s">
        <v>546</v>
      </c>
      <c r="H1121" s="3" t="s">
        <v>584</v>
      </c>
      <c r="J1121" s="4">
        <v>400</v>
      </c>
    </row>
    <row r="1122" spans="1:12" x14ac:dyDescent="0.2">
      <c r="A1122" t="s">
        <v>18</v>
      </c>
      <c r="B1122" t="s">
        <v>95</v>
      </c>
      <c r="C1122" t="s">
        <v>13</v>
      </c>
      <c r="D1122" t="s">
        <v>45</v>
      </c>
      <c r="E1122" t="s">
        <v>42</v>
      </c>
      <c r="F1122" t="s">
        <v>45</v>
      </c>
      <c r="G1122" t="s">
        <v>542</v>
      </c>
      <c r="H1122" s="3" t="s">
        <v>583</v>
      </c>
      <c r="J1122" s="4">
        <v>150</v>
      </c>
    </row>
    <row r="1123" spans="1:12" x14ac:dyDescent="0.2">
      <c r="A1123" t="s">
        <v>12</v>
      </c>
      <c r="B1123" t="s">
        <v>95</v>
      </c>
      <c r="C1123" t="s">
        <v>13</v>
      </c>
      <c r="D1123" t="s">
        <v>611</v>
      </c>
      <c r="E1123" t="s">
        <v>42</v>
      </c>
      <c r="F1123" t="s">
        <v>611</v>
      </c>
      <c r="G1123" t="s">
        <v>542</v>
      </c>
      <c r="H1123" s="3" t="s">
        <v>583</v>
      </c>
      <c r="J1123" s="4">
        <v>300</v>
      </c>
    </row>
    <row r="1124" spans="1:12" x14ac:dyDescent="0.2">
      <c r="A1124" t="s">
        <v>12</v>
      </c>
      <c r="B1124" t="s">
        <v>95</v>
      </c>
      <c r="C1124" t="s">
        <v>13</v>
      </c>
      <c r="D1124" t="s">
        <v>47</v>
      </c>
      <c r="E1124" t="s">
        <v>42</v>
      </c>
      <c r="F1124" t="s">
        <v>47</v>
      </c>
      <c r="G1124" t="s">
        <v>546</v>
      </c>
      <c r="H1124" s="3" t="s">
        <v>584</v>
      </c>
      <c r="J1124" s="4">
        <v>1300</v>
      </c>
      <c r="L1124" t="s">
        <v>584</v>
      </c>
    </row>
    <row r="1125" spans="1:12" x14ac:dyDescent="0.2">
      <c r="A1125" t="s">
        <v>27</v>
      </c>
      <c r="B1125" t="s">
        <v>95</v>
      </c>
      <c r="C1125" t="s">
        <v>13</v>
      </c>
      <c r="D1125" t="s">
        <v>48</v>
      </c>
      <c r="E1125" t="s">
        <v>42</v>
      </c>
      <c r="F1125" t="s">
        <v>48</v>
      </c>
      <c r="G1125" t="s">
        <v>542</v>
      </c>
      <c r="H1125" s="3" t="s">
        <v>583</v>
      </c>
      <c r="J1125" s="4">
        <v>900</v>
      </c>
    </row>
    <row r="1126" spans="1:12" x14ac:dyDescent="0.2">
      <c r="A1126" t="s">
        <v>215</v>
      </c>
      <c r="B1126" t="s">
        <v>95</v>
      </c>
      <c r="C1126" t="s">
        <v>13</v>
      </c>
      <c r="D1126" t="s">
        <v>48</v>
      </c>
      <c r="E1126" t="s">
        <v>42</v>
      </c>
      <c r="F1126" t="s">
        <v>48</v>
      </c>
      <c r="G1126" t="s">
        <v>546</v>
      </c>
      <c r="J1126" s="4">
        <v>50</v>
      </c>
      <c r="L1126" t="s">
        <v>547</v>
      </c>
    </row>
    <row r="1127" spans="1:12" x14ac:dyDescent="0.2">
      <c r="A1127" t="s">
        <v>18</v>
      </c>
      <c r="B1127" t="s">
        <v>95</v>
      </c>
      <c r="C1127" t="s">
        <v>13</v>
      </c>
      <c r="D1127" t="s">
        <v>51</v>
      </c>
      <c r="E1127" t="s">
        <v>42</v>
      </c>
      <c r="F1127" t="s">
        <v>51</v>
      </c>
      <c r="G1127" t="s">
        <v>544</v>
      </c>
      <c r="H1127" s="3" t="s">
        <v>454</v>
      </c>
      <c r="J1127" s="4">
        <v>22</v>
      </c>
    </row>
    <row r="1128" spans="1:12" x14ac:dyDescent="0.2">
      <c r="A1128" t="s">
        <v>18</v>
      </c>
      <c r="B1128" t="s">
        <v>95</v>
      </c>
      <c r="C1128" t="s">
        <v>13</v>
      </c>
      <c r="D1128" t="s">
        <v>54</v>
      </c>
      <c r="E1128" t="s">
        <v>42</v>
      </c>
      <c r="F1128" t="s">
        <v>54</v>
      </c>
      <c r="G1128" t="s">
        <v>546</v>
      </c>
      <c r="H1128" s="3" t="s">
        <v>584</v>
      </c>
      <c r="J1128" s="4">
        <v>220</v>
      </c>
    </row>
    <row r="1129" spans="1:12" x14ac:dyDescent="0.2">
      <c r="A1129" t="s">
        <v>18</v>
      </c>
      <c r="B1129" t="s">
        <v>95</v>
      </c>
      <c r="C1129" t="s">
        <v>13</v>
      </c>
      <c r="D1129" t="s">
        <v>54</v>
      </c>
      <c r="E1129" t="s">
        <v>42</v>
      </c>
      <c r="F1129" t="s">
        <v>54</v>
      </c>
      <c r="G1129" t="s">
        <v>546</v>
      </c>
      <c r="H1129" s="3" t="s">
        <v>612</v>
      </c>
      <c r="J1129" s="4">
        <v>450</v>
      </c>
    </row>
    <row r="1130" spans="1:12" x14ac:dyDescent="0.2">
      <c r="A1130" t="s">
        <v>12</v>
      </c>
      <c r="B1130" t="s">
        <v>125</v>
      </c>
      <c r="C1130" t="s">
        <v>13</v>
      </c>
      <c r="D1130" t="s">
        <v>54</v>
      </c>
      <c r="E1130" t="s">
        <v>15</v>
      </c>
      <c r="F1130" t="s">
        <v>253</v>
      </c>
      <c r="G1130" t="s">
        <v>580</v>
      </c>
      <c r="H1130" s="3" t="s">
        <v>613</v>
      </c>
      <c r="J1130" s="4">
        <v>3544</v>
      </c>
      <c r="L1130" t="s">
        <v>523</v>
      </c>
    </row>
    <row r="1131" spans="1:12" x14ac:dyDescent="0.2">
      <c r="A1131" t="s">
        <v>12</v>
      </c>
      <c r="B1131" t="s">
        <v>95</v>
      </c>
      <c r="C1131" t="s">
        <v>13</v>
      </c>
      <c r="D1131" t="s">
        <v>55</v>
      </c>
      <c r="E1131" t="s">
        <v>42</v>
      </c>
      <c r="F1131" t="s">
        <v>55</v>
      </c>
      <c r="G1131" t="s">
        <v>570</v>
      </c>
      <c r="H1131" s="3" t="s">
        <v>614</v>
      </c>
      <c r="J1131" s="4">
        <v>10</v>
      </c>
    </row>
    <row r="1132" spans="1:12" x14ac:dyDescent="0.2">
      <c r="A1132" t="s">
        <v>12</v>
      </c>
      <c r="B1132" t="s">
        <v>95</v>
      </c>
      <c r="C1132" t="s">
        <v>13</v>
      </c>
      <c r="D1132" t="s">
        <v>55</v>
      </c>
      <c r="E1132" t="s">
        <v>42</v>
      </c>
      <c r="F1132" t="s">
        <v>55</v>
      </c>
      <c r="G1132" t="s">
        <v>570</v>
      </c>
      <c r="H1132" s="3" t="s">
        <v>615</v>
      </c>
      <c r="J1132" s="4">
        <v>17</v>
      </c>
    </row>
    <row r="1133" spans="1:12" x14ac:dyDescent="0.2">
      <c r="A1133" t="s">
        <v>12</v>
      </c>
      <c r="B1133" t="s">
        <v>95</v>
      </c>
      <c r="C1133" t="s">
        <v>13</v>
      </c>
      <c r="D1133" t="s">
        <v>55</v>
      </c>
      <c r="E1133" t="s">
        <v>42</v>
      </c>
      <c r="F1133" t="s">
        <v>55</v>
      </c>
      <c r="G1133" t="s">
        <v>570</v>
      </c>
      <c r="H1133" s="3" t="s">
        <v>616</v>
      </c>
      <c r="J1133" s="4">
        <v>18</v>
      </c>
    </row>
    <row r="1134" spans="1:12" x14ac:dyDescent="0.2">
      <c r="A1134" t="s">
        <v>18</v>
      </c>
      <c r="B1134" t="s">
        <v>95</v>
      </c>
      <c r="C1134" t="s">
        <v>13</v>
      </c>
      <c r="D1134" t="s">
        <v>55</v>
      </c>
      <c r="E1134" t="s">
        <v>42</v>
      </c>
      <c r="F1134" t="s">
        <v>55</v>
      </c>
      <c r="G1134" t="s">
        <v>546</v>
      </c>
      <c r="H1134" s="3" t="s">
        <v>584</v>
      </c>
      <c r="J1134" s="4">
        <v>200</v>
      </c>
    </row>
    <row r="1135" spans="1:12" x14ac:dyDescent="0.2">
      <c r="A1135" t="s">
        <v>18</v>
      </c>
      <c r="B1135" t="s">
        <v>95</v>
      </c>
      <c r="C1135" t="s">
        <v>13</v>
      </c>
      <c r="D1135" t="s">
        <v>55</v>
      </c>
      <c r="E1135" t="s">
        <v>42</v>
      </c>
      <c r="F1135" t="s">
        <v>55</v>
      </c>
      <c r="G1135" t="s">
        <v>580</v>
      </c>
      <c r="H1135" s="3" t="s">
        <v>583</v>
      </c>
      <c r="J1135" s="4">
        <v>5000</v>
      </c>
    </row>
    <row r="1136" spans="1:12" x14ac:dyDescent="0.2">
      <c r="A1136" t="s">
        <v>12</v>
      </c>
      <c r="B1136" t="s">
        <v>95</v>
      </c>
      <c r="C1136" t="s">
        <v>13</v>
      </c>
      <c r="D1136" t="s">
        <v>401</v>
      </c>
      <c r="E1136" t="s">
        <v>42</v>
      </c>
      <c r="F1136" t="s">
        <v>401</v>
      </c>
      <c r="G1136" t="s">
        <v>538</v>
      </c>
      <c r="H1136" s="3" t="s">
        <v>584</v>
      </c>
      <c r="J1136" s="4">
        <v>50</v>
      </c>
    </row>
    <row r="1137" spans="1:10" x14ac:dyDescent="0.2">
      <c r="A1137" t="s">
        <v>18</v>
      </c>
      <c r="B1137" t="s">
        <v>95</v>
      </c>
      <c r="C1137" t="s">
        <v>13</v>
      </c>
      <c r="D1137" t="s">
        <v>401</v>
      </c>
      <c r="E1137" t="s">
        <v>42</v>
      </c>
      <c r="F1137" t="s">
        <v>401</v>
      </c>
      <c r="G1137" t="s">
        <v>546</v>
      </c>
      <c r="H1137" s="3" t="s">
        <v>584</v>
      </c>
      <c r="J1137" s="4">
        <v>1200</v>
      </c>
    </row>
    <row r="1138" spans="1:10" x14ac:dyDescent="0.2">
      <c r="A1138" t="s">
        <v>27</v>
      </c>
      <c r="B1138" t="s">
        <v>95</v>
      </c>
      <c r="C1138" t="s">
        <v>13</v>
      </c>
      <c r="D1138" t="s">
        <v>56</v>
      </c>
      <c r="E1138" t="s">
        <v>42</v>
      </c>
      <c r="F1138" t="s">
        <v>56</v>
      </c>
      <c r="G1138" t="s">
        <v>538</v>
      </c>
      <c r="H1138" s="3" t="s">
        <v>576</v>
      </c>
      <c r="J1138" s="4">
        <v>2223</v>
      </c>
    </row>
    <row r="1139" spans="1:10" x14ac:dyDescent="0.2">
      <c r="A1139" t="s">
        <v>18</v>
      </c>
      <c r="B1139" t="s">
        <v>95</v>
      </c>
      <c r="C1139" t="s">
        <v>13</v>
      </c>
      <c r="D1139" t="s">
        <v>49</v>
      </c>
      <c r="E1139" t="s">
        <v>42</v>
      </c>
      <c r="F1139" t="s">
        <v>49</v>
      </c>
      <c r="G1139" t="s">
        <v>570</v>
      </c>
      <c r="J1139" s="4">
        <v>34</v>
      </c>
    </row>
    <row r="1140" spans="1:10" x14ac:dyDescent="0.2">
      <c r="A1140" t="s">
        <v>18</v>
      </c>
      <c r="B1140" t="s">
        <v>95</v>
      </c>
      <c r="C1140" t="s">
        <v>13</v>
      </c>
      <c r="D1140" t="s">
        <v>49</v>
      </c>
      <c r="E1140" t="s">
        <v>42</v>
      </c>
      <c r="F1140" t="s">
        <v>49</v>
      </c>
      <c r="G1140" t="s">
        <v>544</v>
      </c>
      <c r="H1140" s="3" t="s">
        <v>550</v>
      </c>
      <c r="J1140" s="4">
        <v>22</v>
      </c>
    </row>
    <row r="1141" spans="1:10" x14ac:dyDescent="0.2">
      <c r="A1141" t="s">
        <v>18</v>
      </c>
      <c r="B1141" t="s">
        <v>95</v>
      </c>
      <c r="C1141" t="s">
        <v>13</v>
      </c>
      <c r="D1141" t="s">
        <v>49</v>
      </c>
      <c r="E1141" t="s">
        <v>42</v>
      </c>
      <c r="F1141" t="s">
        <v>49</v>
      </c>
      <c r="G1141" t="s">
        <v>580</v>
      </c>
      <c r="H1141" s="3" t="s">
        <v>549</v>
      </c>
      <c r="J1141" s="4">
        <v>272.43</v>
      </c>
    </row>
    <row r="1142" spans="1:10" x14ac:dyDescent="0.2">
      <c r="A1142" t="s">
        <v>12</v>
      </c>
      <c r="B1142" t="s">
        <v>95</v>
      </c>
      <c r="C1142" t="s">
        <v>13</v>
      </c>
      <c r="D1142" t="s">
        <v>49</v>
      </c>
      <c r="E1142" t="s">
        <v>42</v>
      </c>
      <c r="F1142" t="s">
        <v>49</v>
      </c>
      <c r="G1142" t="s">
        <v>546</v>
      </c>
      <c r="H1142" s="3" t="s">
        <v>565</v>
      </c>
      <c r="J1142" s="4">
        <v>50</v>
      </c>
    </row>
    <row r="1143" spans="1:10" x14ac:dyDescent="0.2">
      <c r="A1143" t="s">
        <v>18</v>
      </c>
      <c r="B1143" t="s">
        <v>95</v>
      </c>
      <c r="C1143" t="s">
        <v>13</v>
      </c>
      <c r="D1143" t="s">
        <v>59</v>
      </c>
      <c r="E1143" t="s">
        <v>42</v>
      </c>
      <c r="F1143" t="s">
        <v>59</v>
      </c>
      <c r="G1143" t="s">
        <v>546</v>
      </c>
      <c r="H1143" s="3" t="s">
        <v>617</v>
      </c>
      <c r="J1143" s="4">
        <v>50</v>
      </c>
    </row>
    <row r="1144" spans="1:10" x14ac:dyDescent="0.2">
      <c r="A1144" t="s">
        <v>12</v>
      </c>
      <c r="B1144" t="s">
        <v>95</v>
      </c>
      <c r="C1144" t="s">
        <v>13</v>
      </c>
      <c r="D1144" t="s">
        <v>59</v>
      </c>
      <c r="E1144" t="s">
        <v>42</v>
      </c>
      <c r="F1144" t="s">
        <v>59</v>
      </c>
      <c r="G1144" t="s">
        <v>546</v>
      </c>
      <c r="H1144" s="3" t="s">
        <v>584</v>
      </c>
      <c r="J1144" s="4">
        <v>100</v>
      </c>
    </row>
    <row r="1145" spans="1:10" x14ac:dyDescent="0.2">
      <c r="A1145" t="s">
        <v>18</v>
      </c>
      <c r="B1145" t="s">
        <v>95</v>
      </c>
      <c r="C1145" t="s">
        <v>13</v>
      </c>
      <c r="D1145" t="s">
        <v>60</v>
      </c>
      <c r="E1145" t="s">
        <v>42</v>
      </c>
      <c r="F1145" t="s">
        <v>60</v>
      </c>
      <c r="G1145" t="s">
        <v>618</v>
      </c>
      <c r="H1145" s="3" t="s">
        <v>619</v>
      </c>
      <c r="J1145" s="4">
        <v>79</v>
      </c>
    </row>
    <row r="1146" spans="1:10" x14ac:dyDescent="0.2">
      <c r="A1146" t="s">
        <v>12</v>
      </c>
      <c r="B1146" t="s">
        <v>95</v>
      </c>
      <c r="C1146" t="s">
        <v>13</v>
      </c>
      <c r="D1146" t="s">
        <v>253</v>
      </c>
      <c r="E1146" t="s">
        <v>42</v>
      </c>
      <c r="F1146" t="s">
        <v>253</v>
      </c>
      <c r="G1146" t="s">
        <v>597</v>
      </c>
      <c r="H1146" s="3" t="s">
        <v>620</v>
      </c>
      <c r="J1146" s="4">
        <v>1000</v>
      </c>
    </row>
    <row r="1147" spans="1:10" x14ac:dyDescent="0.2">
      <c r="A1147" t="s">
        <v>12</v>
      </c>
      <c r="B1147" t="s">
        <v>95</v>
      </c>
      <c r="C1147" t="s">
        <v>13</v>
      </c>
      <c r="D1147" t="s">
        <v>253</v>
      </c>
      <c r="E1147" t="s">
        <v>42</v>
      </c>
      <c r="F1147" t="s">
        <v>253</v>
      </c>
      <c r="G1147" t="s">
        <v>546</v>
      </c>
      <c r="H1147" s="3" t="s">
        <v>584</v>
      </c>
      <c r="J1147" s="4">
        <v>150</v>
      </c>
    </row>
    <row r="1148" spans="1:10" x14ac:dyDescent="0.2">
      <c r="A1148" t="s">
        <v>12</v>
      </c>
      <c r="B1148" t="s">
        <v>95</v>
      </c>
      <c r="C1148" t="s">
        <v>13</v>
      </c>
      <c r="D1148" t="s">
        <v>253</v>
      </c>
      <c r="E1148" t="s">
        <v>42</v>
      </c>
      <c r="F1148" t="s">
        <v>253</v>
      </c>
      <c r="G1148" t="s">
        <v>546</v>
      </c>
      <c r="H1148" s="3" t="s">
        <v>565</v>
      </c>
      <c r="J1148" s="4">
        <v>100</v>
      </c>
    </row>
    <row r="1149" spans="1:10" x14ac:dyDescent="0.2">
      <c r="A1149" t="s">
        <v>12</v>
      </c>
      <c r="B1149" t="s">
        <v>95</v>
      </c>
      <c r="C1149" t="s">
        <v>13</v>
      </c>
      <c r="D1149" t="s">
        <v>253</v>
      </c>
      <c r="E1149" t="s">
        <v>42</v>
      </c>
      <c r="F1149" t="s">
        <v>253</v>
      </c>
      <c r="G1149" t="s">
        <v>535</v>
      </c>
      <c r="H1149" s="3" t="s">
        <v>621</v>
      </c>
      <c r="J1149" s="4">
        <v>50</v>
      </c>
    </row>
    <row r="1150" spans="1:10" x14ac:dyDescent="0.2">
      <c r="A1150" t="s">
        <v>18</v>
      </c>
      <c r="B1150" t="s">
        <v>95</v>
      </c>
      <c r="C1150" t="s">
        <v>13</v>
      </c>
      <c r="D1150" t="s">
        <v>61</v>
      </c>
      <c r="E1150" t="s">
        <v>42</v>
      </c>
      <c r="F1150" t="s">
        <v>61</v>
      </c>
      <c r="G1150" t="s">
        <v>546</v>
      </c>
      <c r="H1150" s="3" t="s">
        <v>547</v>
      </c>
      <c r="J1150" s="4">
        <v>650</v>
      </c>
    </row>
    <row r="1151" spans="1:10" x14ac:dyDescent="0.2">
      <c r="A1151" t="s">
        <v>18</v>
      </c>
      <c r="B1151" t="s">
        <v>95</v>
      </c>
      <c r="C1151" t="s">
        <v>13</v>
      </c>
      <c r="D1151" t="s">
        <v>61</v>
      </c>
      <c r="E1151" t="s">
        <v>42</v>
      </c>
      <c r="F1151" t="s">
        <v>61</v>
      </c>
      <c r="G1151" t="s">
        <v>546</v>
      </c>
      <c r="H1151" s="3" t="s">
        <v>584</v>
      </c>
      <c r="J1151" s="4">
        <v>1000</v>
      </c>
    </row>
    <row r="1152" spans="1:10" x14ac:dyDescent="0.2">
      <c r="A1152" t="s">
        <v>18</v>
      </c>
      <c r="B1152" t="s">
        <v>95</v>
      </c>
      <c r="C1152" t="s">
        <v>13</v>
      </c>
      <c r="D1152" t="s">
        <v>62</v>
      </c>
      <c r="E1152" t="s">
        <v>42</v>
      </c>
      <c r="F1152" t="s">
        <v>62</v>
      </c>
      <c r="G1152" t="s">
        <v>542</v>
      </c>
      <c r="H1152" s="3" t="s">
        <v>622</v>
      </c>
      <c r="J1152" s="4">
        <v>250</v>
      </c>
    </row>
    <row r="1153" spans="1:12" x14ac:dyDescent="0.2">
      <c r="A1153" t="s">
        <v>18</v>
      </c>
      <c r="B1153" t="s">
        <v>125</v>
      </c>
      <c r="C1153" t="s">
        <v>13</v>
      </c>
      <c r="D1153" t="s">
        <v>62</v>
      </c>
      <c r="E1153" t="s">
        <v>42</v>
      </c>
      <c r="F1153" t="s">
        <v>62</v>
      </c>
      <c r="G1153" t="s">
        <v>597</v>
      </c>
      <c r="H1153" s="3" t="s">
        <v>623</v>
      </c>
      <c r="J1153" s="4">
        <v>75</v>
      </c>
      <c r="L1153" t="s">
        <v>624</v>
      </c>
    </row>
    <row r="1154" spans="1:12" x14ac:dyDescent="0.2">
      <c r="A1154" t="s">
        <v>18</v>
      </c>
      <c r="B1154" t="s">
        <v>95</v>
      </c>
      <c r="C1154" t="s">
        <v>13</v>
      </c>
      <c r="D1154" t="s">
        <v>62</v>
      </c>
      <c r="E1154" t="s">
        <v>42</v>
      </c>
      <c r="F1154" t="s">
        <v>62</v>
      </c>
      <c r="G1154" t="s">
        <v>625</v>
      </c>
      <c r="H1154" s="3" t="s">
        <v>626</v>
      </c>
      <c r="J1154" s="4">
        <v>1000</v>
      </c>
    </row>
    <row r="1155" spans="1:12" x14ac:dyDescent="0.2">
      <c r="A1155" t="s">
        <v>18</v>
      </c>
      <c r="B1155" t="s">
        <v>95</v>
      </c>
      <c r="C1155" t="s">
        <v>13</v>
      </c>
      <c r="D1155" t="s">
        <v>256</v>
      </c>
      <c r="E1155" t="s">
        <v>42</v>
      </c>
      <c r="F1155" t="s">
        <v>256</v>
      </c>
      <c r="G1155" t="s">
        <v>570</v>
      </c>
      <c r="J1155" s="4">
        <v>77.66</v>
      </c>
    </row>
    <row r="1156" spans="1:12" x14ac:dyDescent="0.2">
      <c r="A1156" t="s">
        <v>18</v>
      </c>
      <c r="B1156" t="s">
        <v>95</v>
      </c>
      <c r="C1156" t="s">
        <v>13</v>
      </c>
      <c r="D1156" t="s">
        <v>256</v>
      </c>
      <c r="E1156" t="s">
        <v>42</v>
      </c>
      <c r="F1156" t="s">
        <v>256</v>
      </c>
      <c r="G1156" t="s">
        <v>544</v>
      </c>
      <c r="H1156" s="3" t="s">
        <v>454</v>
      </c>
      <c r="J1156" s="4">
        <v>22</v>
      </c>
    </row>
    <row r="1157" spans="1:12" x14ac:dyDescent="0.2">
      <c r="A1157" t="s">
        <v>18</v>
      </c>
      <c r="B1157" t="s">
        <v>95</v>
      </c>
      <c r="C1157" t="s">
        <v>13</v>
      </c>
      <c r="D1157" t="s">
        <v>256</v>
      </c>
      <c r="E1157" t="s">
        <v>42</v>
      </c>
      <c r="F1157" t="s">
        <v>256</v>
      </c>
      <c r="G1157" t="s">
        <v>542</v>
      </c>
      <c r="H1157" s="3" t="s">
        <v>583</v>
      </c>
      <c r="J1157" s="4">
        <v>300</v>
      </c>
    </row>
    <row r="1158" spans="1:12" x14ac:dyDescent="0.2">
      <c r="A1158" t="s">
        <v>18</v>
      </c>
      <c r="B1158" t="s">
        <v>95</v>
      </c>
      <c r="C1158" t="s">
        <v>13</v>
      </c>
      <c r="D1158" t="s">
        <v>265</v>
      </c>
      <c r="E1158" t="s">
        <v>42</v>
      </c>
      <c r="F1158" t="s">
        <v>265</v>
      </c>
      <c r="G1158" t="s">
        <v>542</v>
      </c>
      <c r="H1158" s="3" t="s">
        <v>583</v>
      </c>
      <c r="J1158" s="4">
        <v>500</v>
      </c>
    </row>
    <row r="1159" spans="1:12" x14ac:dyDescent="0.2">
      <c r="A1159" t="s">
        <v>18</v>
      </c>
      <c r="B1159" t="s">
        <v>95</v>
      </c>
      <c r="C1159" t="s">
        <v>13</v>
      </c>
      <c r="D1159" t="s">
        <v>269</v>
      </c>
      <c r="E1159" t="s">
        <v>42</v>
      </c>
      <c r="F1159" t="s">
        <v>269</v>
      </c>
      <c r="G1159" t="s">
        <v>625</v>
      </c>
      <c r="H1159" s="3" t="s">
        <v>627</v>
      </c>
      <c r="J1159" s="4">
        <v>500</v>
      </c>
    </row>
    <row r="1160" spans="1:12" x14ac:dyDescent="0.2">
      <c r="A1160" t="s">
        <v>12</v>
      </c>
      <c r="B1160" t="s">
        <v>95</v>
      </c>
      <c r="C1160" t="s">
        <v>13</v>
      </c>
      <c r="D1160" t="s">
        <v>274</v>
      </c>
      <c r="E1160" t="s">
        <v>42</v>
      </c>
      <c r="F1160" t="s">
        <v>274</v>
      </c>
      <c r="G1160" t="s">
        <v>546</v>
      </c>
      <c r="H1160" s="3" t="s">
        <v>565</v>
      </c>
      <c r="J1160" s="4">
        <v>450</v>
      </c>
    </row>
    <row r="1161" spans="1:12" x14ac:dyDescent="0.2">
      <c r="A1161" t="s">
        <v>12</v>
      </c>
      <c r="B1161" t="s">
        <v>95</v>
      </c>
      <c r="C1161" t="s">
        <v>13</v>
      </c>
      <c r="D1161" t="s">
        <v>274</v>
      </c>
      <c r="E1161" t="s">
        <v>42</v>
      </c>
      <c r="F1161" t="s">
        <v>274</v>
      </c>
      <c r="G1161" t="s">
        <v>570</v>
      </c>
      <c r="J1161" s="4">
        <v>5.8</v>
      </c>
    </row>
    <row r="1162" spans="1:12" x14ac:dyDescent="0.2">
      <c r="A1162" t="s">
        <v>12</v>
      </c>
      <c r="B1162" t="s">
        <v>95</v>
      </c>
      <c r="C1162" t="s">
        <v>13</v>
      </c>
      <c r="D1162" t="s">
        <v>274</v>
      </c>
      <c r="E1162" t="s">
        <v>64</v>
      </c>
      <c r="F1162" t="s">
        <v>274</v>
      </c>
      <c r="G1162" t="s">
        <v>570</v>
      </c>
      <c r="J1162" s="4">
        <v>21</v>
      </c>
    </row>
    <row r="1163" spans="1:12" x14ac:dyDescent="0.2">
      <c r="A1163" t="s">
        <v>12</v>
      </c>
      <c r="B1163" t="s">
        <v>95</v>
      </c>
      <c r="C1163" t="s">
        <v>13</v>
      </c>
      <c r="D1163" t="s">
        <v>274</v>
      </c>
      <c r="E1163" t="s">
        <v>42</v>
      </c>
      <c r="F1163" t="s">
        <v>274</v>
      </c>
      <c r="G1163" t="s">
        <v>570</v>
      </c>
      <c r="J1163" s="4">
        <v>4.5999999999999996</v>
      </c>
    </row>
    <row r="1164" spans="1:12" x14ac:dyDescent="0.2">
      <c r="A1164" t="s">
        <v>12</v>
      </c>
      <c r="B1164" t="s">
        <v>95</v>
      </c>
      <c r="C1164" t="s">
        <v>13</v>
      </c>
      <c r="D1164" t="s">
        <v>274</v>
      </c>
      <c r="E1164" t="s">
        <v>42</v>
      </c>
      <c r="F1164" t="s">
        <v>274</v>
      </c>
      <c r="G1164" t="s">
        <v>570</v>
      </c>
      <c r="J1164" s="4">
        <v>10.4</v>
      </c>
    </row>
    <row r="1165" spans="1:12" x14ac:dyDescent="0.2">
      <c r="A1165" t="s">
        <v>18</v>
      </c>
      <c r="B1165" t="s">
        <v>95</v>
      </c>
      <c r="C1165" t="s">
        <v>13</v>
      </c>
      <c r="D1165" t="s">
        <v>278</v>
      </c>
      <c r="E1165" t="s">
        <v>42</v>
      </c>
      <c r="F1165" t="s">
        <v>257</v>
      </c>
      <c r="G1165" t="s">
        <v>600</v>
      </c>
      <c r="H1165" s="3" t="s">
        <v>601</v>
      </c>
      <c r="J1165" s="4">
        <v>250</v>
      </c>
    </row>
    <row r="1166" spans="1:12" x14ac:dyDescent="0.2">
      <c r="A1166" t="s">
        <v>18</v>
      </c>
      <c r="B1166" t="s">
        <v>95</v>
      </c>
      <c r="C1166" t="s">
        <v>13</v>
      </c>
      <c r="D1166" t="s">
        <v>63</v>
      </c>
      <c r="E1166" t="s">
        <v>64</v>
      </c>
      <c r="F1166" t="s">
        <v>265</v>
      </c>
      <c r="G1166" t="s">
        <v>595</v>
      </c>
      <c r="H1166" s="3" t="s">
        <v>628</v>
      </c>
      <c r="J1166" s="4">
        <v>911</v>
      </c>
    </row>
    <row r="1167" spans="1:12" x14ac:dyDescent="0.2">
      <c r="A1167" t="s">
        <v>18</v>
      </c>
      <c r="B1167" t="s">
        <v>95</v>
      </c>
      <c r="C1167" t="s">
        <v>13</v>
      </c>
      <c r="D1167" t="s">
        <v>63</v>
      </c>
      <c r="E1167" t="s">
        <v>64</v>
      </c>
      <c r="F1167" t="s">
        <v>63</v>
      </c>
      <c r="G1167" t="s">
        <v>546</v>
      </c>
      <c r="J1167" s="4">
        <v>450</v>
      </c>
      <c r="L1167" t="s">
        <v>584</v>
      </c>
    </row>
    <row r="1168" spans="1:12" x14ac:dyDescent="0.2">
      <c r="A1168" t="s">
        <v>12</v>
      </c>
      <c r="B1168" t="s">
        <v>95</v>
      </c>
      <c r="C1168" t="s">
        <v>13</v>
      </c>
      <c r="D1168" t="s">
        <v>282</v>
      </c>
      <c r="E1168" t="s">
        <v>64</v>
      </c>
      <c r="F1168" t="s">
        <v>282</v>
      </c>
      <c r="G1168" t="s">
        <v>546</v>
      </c>
      <c r="J1168" s="4">
        <v>50</v>
      </c>
      <c r="L1168" t="s">
        <v>547</v>
      </c>
    </row>
    <row r="1169" spans="1:12" x14ac:dyDescent="0.2">
      <c r="A1169" t="s">
        <v>18</v>
      </c>
      <c r="B1169" t="s">
        <v>95</v>
      </c>
      <c r="C1169" t="s">
        <v>13</v>
      </c>
      <c r="D1169" t="s">
        <v>65</v>
      </c>
      <c r="E1169" t="s">
        <v>64</v>
      </c>
      <c r="F1169" t="s">
        <v>66</v>
      </c>
      <c r="G1169" t="s">
        <v>538</v>
      </c>
      <c r="H1169" s="3" t="s">
        <v>629</v>
      </c>
      <c r="J1169" s="4">
        <v>447</v>
      </c>
    </row>
    <row r="1170" spans="1:12" x14ac:dyDescent="0.2">
      <c r="A1170" t="s">
        <v>18</v>
      </c>
      <c r="B1170" t="s">
        <v>125</v>
      </c>
      <c r="C1170" t="s">
        <v>13</v>
      </c>
      <c r="D1170" t="s">
        <v>65</v>
      </c>
      <c r="E1170" t="s">
        <v>64</v>
      </c>
      <c r="F1170" t="s">
        <v>65</v>
      </c>
      <c r="G1170" t="s">
        <v>597</v>
      </c>
      <c r="H1170" s="3" t="s">
        <v>630</v>
      </c>
      <c r="J1170" s="4">
        <v>100</v>
      </c>
      <c r="L1170" t="s">
        <v>631</v>
      </c>
    </row>
    <row r="1171" spans="1:12" x14ac:dyDescent="0.2">
      <c r="A1171" t="s">
        <v>12</v>
      </c>
      <c r="B1171" t="s">
        <v>95</v>
      </c>
      <c r="C1171" t="s">
        <v>13</v>
      </c>
      <c r="D1171" t="s">
        <v>65</v>
      </c>
      <c r="E1171" t="s">
        <v>64</v>
      </c>
      <c r="F1171" t="s">
        <v>65</v>
      </c>
      <c r="G1171" t="s">
        <v>570</v>
      </c>
      <c r="J1171" s="4">
        <v>9.11</v>
      </c>
    </row>
    <row r="1172" spans="1:12" x14ac:dyDescent="0.2">
      <c r="A1172" t="s">
        <v>12</v>
      </c>
      <c r="B1172" t="s">
        <v>95</v>
      </c>
      <c r="C1172" t="s">
        <v>13</v>
      </c>
      <c r="D1172" t="s">
        <v>65</v>
      </c>
      <c r="E1172" t="s">
        <v>64</v>
      </c>
      <c r="F1172" t="s">
        <v>65</v>
      </c>
      <c r="G1172" t="s">
        <v>570</v>
      </c>
      <c r="J1172" s="4">
        <v>54.35</v>
      </c>
    </row>
    <row r="1173" spans="1:12" x14ac:dyDescent="0.2">
      <c r="A1173" t="s">
        <v>18</v>
      </c>
      <c r="B1173" t="s">
        <v>95</v>
      </c>
      <c r="C1173" t="s">
        <v>13</v>
      </c>
      <c r="D1173" t="s">
        <v>65</v>
      </c>
      <c r="E1173" t="s">
        <v>64</v>
      </c>
      <c r="F1173" t="s">
        <v>65</v>
      </c>
      <c r="G1173" t="s">
        <v>625</v>
      </c>
      <c r="H1173" s="3" t="s">
        <v>626</v>
      </c>
      <c r="J1173" s="4">
        <v>500</v>
      </c>
    </row>
    <row r="1174" spans="1:12" x14ac:dyDescent="0.2">
      <c r="A1174" t="s">
        <v>18</v>
      </c>
      <c r="B1174" t="s">
        <v>95</v>
      </c>
      <c r="C1174" t="s">
        <v>13</v>
      </c>
      <c r="D1174" t="s">
        <v>65</v>
      </c>
      <c r="E1174" t="s">
        <v>64</v>
      </c>
      <c r="F1174" t="s">
        <v>65</v>
      </c>
      <c r="G1174" t="s">
        <v>570</v>
      </c>
      <c r="H1174" s="3" t="s">
        <v>632</v>
      </c>
      <c r="J1174" s="4">
        <v>22</v>
      </c>
    </row>
    <row r="1175" spans="1:12" x14ac:dyDescent="0.2">
      <c r="A1175" t="s">
        <v>71</v>
      </c>
      <c r="B1175" t="s">
        <v>95</v>
      </c>
      <c r="C1175" t="s">
        <v>13</v>
      </c>
      <c r="D1175" t="s">
        <v>66</v>
      </c>
      <c r="E1175" t="s">
        <v>64</v>
      </c>
      <c r="F1175" t="s">
        <v>66</v>
      </c>
      <c r="G1175" t="s">
        <v>633</v>
      </c>
      <c r="H1175" s="3" t="s">
        <v>634</v>
      </c>
      <c r="J1175" s="4">
        <v>1700</v>
      </c>
    </row>
    <row r="1176" spans="1:12" x14ac:dyDescent="0.2">
      <c r="A1176" t="s">
        <v>27</v>
      </c>
      <c r="B1176" t="s">
        <v>95</v>
      </c>
      <c r="C1176" t="s">
        <v>13</v>
      </c>
      <c r="D1176" t="s">
        <v>66</v>
      </c>
      <c r="E1176" t="s">
        <v>64</v>
      </c>
      <c r="F1176" t="s">
        <v>66</v>
      </c>
      <c r="G1176" t="s">
        <v>625</v>
      </c>
      <c r="H1176" s="3" t="s">
        <v>635</v>
      </c>
      <c r="J1176" s="4">
        <v>724.88</v>
      </c>
    </row>
    <row r="1177" spans="1:12" x14ac:dyDescent="0.2">
      <c r="A1177" t="s">
        <v>18</v>
      </c>
      <c r="B1177" t="s">
        <v>95</v>
      </c>
      <c r="C1177" t="s">
        <v>13</v>
      </c>
      <c r="D1177" t="s">
        <v>66</v>
      </c>
      <c r="E1177" t="s">
        <v>636</v>
      </c>
      <c r="F1177" t="s">
        <v>66</v>
      </c>
      <c r="G1177" t="s">
        <v>551</v>
      </c>
      <c r="H1177" s="3" t="s">
        <v>637</v>
      </c>
      <c r="J1177" s="4">
        <v>34.47</v>
      </c>
    </row>
    <row r="1178" spans="1:12" x14ac:dyDescent="0.2">
      <c r="A1178" t="s">
        <v>18</v>
      </c>
      <c r="B1178" t="s">
        <v>125</v>
      </c>
      <c r="C1178" t="s">
        <v>13</v>
      </c>
      <c r="D1178" t="s">
        <v>66</v>
      </c>
      <c r="E1178" t="s">
        <v>42</v>
      </c>
      <c r="F1178" t="s">
        <v>66</v>
      </c>
      <c r="G1178" t="s">
        <v>561</v>
      </c>
      <c r="J1178" s="4">
        <v>15.77</v>
      </c>
      <c r="K1178" t="s">
        <v>240</v>
      </c>
      <c r="L1178" t="s">
        <v>241</v>
      </c>
    </row>
    <row r="1179" spans="1:12" x14ac:dyDescent="0.2">
      <c r="A1179" t="s">
        <v>71</v>
      </c>
      <c r="B1179" t="s">
        <v>95</v>
      </c>
      <c r="C1179" t="s">
        <v>13</v>
      </c>
      <c r="D1179" t="s">
        <v>289</v>
      </c>
      <c r="E1179" t="s">
        <v>64</v>
      </c>
      <c r="F1179" t="s">
        <v>289</v>
      </c>
      <c r="G1179" t="s">
        <v>570</v>
      </c>
      <c r="H1179" s="3" t="s">
        <v>638</v>
      </c>
      <c r="J1179" s="4">
        <v>372</v>
      </c>
    </row>
    <row r="1180" spans="1:12" x14ac:dyDescent="0.2">
      <c r="A1180" t="s">
        <v>18</v>
      </c>
      <c r="B1180" t="s">
        <v>95</v>
      </c>
      <c r="C1180" t="s">
        <v>13</v>
      </c>
      <c r="D1180" t="s">
        <v>289</v>
      </c>
      <c r="E1180" t="s">
        <v>42</v>
      </c>
      <c r="F1180" t="s">
        <v>289</v>
      </c>
      <c r="G1180" t="s">
        <v>580</v>
      </c>
      <c r="H1180" s="3" t="s">
        <v>639</v>
      </c>
      <c r="J1180" s="4">
        <v>700</v>
      </c>
      <c r="L1180" t="s">
        <v>583</v>
      </c>
    </row>
    <row r="1181" spans="1:12" x14ac:dyDescent="0.2">
      <c r="A1181" t="s">
        <v>18</v>
      </c>
      <c r="B1181" t="s">
        <v>95</v>
      </c>
      <c r="C1181" t="s">
        <v>13</v>
      </c>
      <c r="D1181" t="s">
        <v>289</v>
      </c>
      <c r="E1181" t="s">
        <v>64</v>
      </c>
      <c r="F1181" t="s">
        <v>289</v>
      </c>
      <c r="G1181" t="s">
        <v>546</v>
      </c>
      <c r="H1181" s="3" t="s">
        <v>502</v>
      </c>
      <c r="J1181" s="4">
        <v>100</v>
      </c>
      <c r="L1181" t="s">
        <v>584</v>
      </c>
    </row>
    <row r="1182" spans="1:12" x14ac:dyDescent="0.2">
      <c r="A1182" t="s">
        <v>18</v>
      </c>
      <c r="B1182" t="s">
        <v>95</v>
      </c>
      <c r="C1182" t="s">
        <v>13</v>
      </c>
      <c r="D1182" t="s">
        <v>289</v>
      </c>
      <c r="E1182" t="s">
        <v>64</v>
      </c>
      <c r="F1182" t="s">
        <v>289</v>
      </c>
      <c r="G1182" t="s">
        <v>546</v>
      </c>
      <c r="J1182" s="4">
        <v>50</v>
      </c>
      <c r="L1182" t="s">
        <v>547</v>
      </c>
    </row>
    <row r="1183" spans="1:12" x14ac:dyDescent="0.2">
      <c r="A1183" t="s">
        <v>27</v>
      </c>
      <c r="B1183" t="s">
        <v>95</v>
      </c>
      <c r="C1183" t="s">
        <v>13</v>
      </c>
      <c r="D1183" t="s">
        <v>289</v>
      </c>
      <c r="E1183" t="s">
        <v>64</v>
      </c>
      <c r="F1183" t="s">
        <v>88</v>
      </c>
      <c r="G1183" t="s">
        <v>538</v>
      </c>
      <c r="H1183" s="3" t="s">
        <v>619</v>
      </c>
      <c r="J1183" s="4">
        <v>150</v>
      </c>
      <c r="L1183" t="s">
        <v>640</v>
      </c>
    </row>
    <row r="1184" spans="1:12" x14ac:dyDescent="0.2">
      <c r="A1184" t="s">
        <v>18</v>
      </c>
      <c r="B1184" t="s">
        <v>95</v>
      </c>
      <c r="C1184" t="s">
        <v>13</v>
      </c>
      <c r="D1184" t="s">
        <v>67</v>
      </c>
      <c r="E1184" t="s">
        <v>64</v>
      </c>
      <c r="F1184" t="s">
        <v>67</v>
      </c>
      <c r="G1184" t="s">
        <v>546</v>
      </c>
      <c r="J1184" s="4">
        <v>500</v>
      </c>
      <c r="L1184" t="s">
        <v>547</v>
      </c>
    </row>
    <row r="1185" spans="1:12" x14ac:dyDescent="0.2">
      <c r="A1185" t="s">
        <v>18</v>
      </c>
      <c r="B1185" t="s">
        <v>95</v>
      </c>
      <c r="C1185" t="s">
        <v>13</v>
      </c>
      <c r="D1185" t="s">
        <v>67</v>
      </c>
      <c r="E1185" t="s">
        <v>64</v>
      </c>
      <c r="F1185" t="s">
        <v>67</v>
      </c>
      <c r="G1185" t="s">
        <v>546</v>
      </c>
      <c r="J1185" s="4">
        <v>200</v>
      </c>
      <c r="L1185" t="s">
        <v>584</v>
      </c>
    </row>
    <row r="1186" spans="1:12" x14ac:dyDescent="0.2">
      <c r="A1186" t="s">
        <v>18</v>
      </c>
      <c r="B1186" t="s">
        <v>95</v>
      </c>
      <c r="C1186" t="s">
        <v>13</v>
      </c>
      <c r="D1186" t="s">
        <v>296</v>
      </c>
      <c r="E1186" t="s">
        <v>64</v>
      </c>
      <c r="F1186" t="s">
        <v>296</v>
      </c>
      <c r="G1186" t="s">
        <v>546</v>
      </c>
      <c r="J1186" s="4">
        <v>600</v>
      </c>
      <c r="L1186" t="s">
        <v>584</v>
      </c>
    </row>
    <row r="1187" spans="1:12" x14ac:dyDescent="0.2">
      <c r="A1187" t="s">
        <v>18</v>
      </c>
      <c r="B1187" t="s">
        <v>95</v>
      </c>
      <c r="C1187" t="s">
        <v>13</v>
      </c>
      <c r="D1187" t="s">
        <v>68</v>
      </c>
      <c r="E1187" t="s">
        <v>42</v>
      </c>
      <c r="F1187" t="s">
        <v>68</v>
      </c>
      <c r="G1187" t="s">
        <v>580</v>
      </c>
      <c r="J1187" s="4">
        <v>400</v>
      </c>
      <c r="L1187" t="s">
        <v>499</v>
      </c>
    </row>
    <row r="1188" spans="1:12" x14ac:dyDescent="0.2">
      <c r="A1188" t="s">
        <v>18</v>
      </c>
      <c r="B1188" t="s">
        <v>95</v>
      </c>
      <c r="C1188" t="s">
        <v>13</v>
      </c>
      <c r="D1188" t="s">
        <v>68</v>
      </c>
      <c r="E1188" t="s">
        <v>64</v>
      </c>
      <c r="F1188" t="s">
        <v>68</v>
      </c>
      <c r="G1188" t="s">
        <v>546</v>
      </c>
      <c r="J1188" s="4">
        <v>50</v>
      </c>
      <c r="L1188" t="s">
        <v>547</v>
      </c>
    </row>
    <row r="1189" spans="1:12" x14ac:dyDescent="0.2">
      <c r="A1189" t="s">
        <v>18</v>
      </c>
      <c r="B1189" t="s">
        <v>95</v>
      </c>
      <c r="C1189" t="s">
        <v>13</v>
      </c>
      <c r="D1189" t="s">
        <v>68</v>
      </c>
      <c r="E1189" t="s">
        <v>64</v>
      </c>
      <c r="F1189" t="s">
        <v>68</v>
      </c>
      <c r="G1189" t="s">
        <v>546</v>
      </c>
      <c r="J1189" s="4">
        <v>100</v>
      </c>
      <c r="L1189" t="s">
        <v>584</v>
      </c>
    </row>
    <row r="1190" spans="1:12" x14ac:dyDescent="0.2">
      <c r="A1190" t="s">
        <v>12</v>
      </c>
      <c r="B1190" t="s">
        <v>95</v>
      </c>
      <c r="C1190" t="s">
        <v>13</v>
      </c>
      <c r="D1190" t="s">
        <v>69</v>
      </c>
      <c r="E1190" t="s">
        <v>42</v>
      </c>
      <c r="F1190" t="s">
        <v>69</v>
      </c>
      <c r="G1190" t="s">
        <v>580</v>
      </c>
      <c r="H1190" s="3" t="s">
        <v>641</v>
      </c>
      <c r="J1190" s="4">
        <v>3000</v>
      </c>
      <c r="L1190" t="s">
        <v>583</v>
      </c>
    </row>
    <row r="1191" spans="1:12" x14ac:dyDescent="0.2">
      <c r="A1191" t="s">
        <v>18</v>
      </c>
      <c r="B1191" t="s">
        <v>95</v>
      </c>
      <c r="C1191" t="s">
        <v>13</v>
      </c>
      <c r="D1191" t="s">
        <v>73</v>
      </c>
      <c r="E1191" t="s">
        <v>64</v>
      </c>
      <c r="F1191" t="s">
        <v>73</v>
      </c>
      <c r="G1191" t="s">
        <v>546</v>
      </c>
      <c r="J1191" s="4">
        <v>50</v>
      </c>
      <c r="L1191" t="s">
        <v>584</v>
      </c>
    </row>
    <row r="1192" spans="1:12" x14ac:dyDescent="0.2">
      <c r="A1192" t="s">
        <v>18</v>
      </c>
      <c r="B1192" t="s">
        <v>95</v>
      </c>
      <c r="C1192" t="s">
        <v>13</v>
      </c>
      <c r="D1192" t="s">
        <v>309</v>
      </c>
      <c r="E1192" t="s">
        <v>64</v>
      </c>
      <c r="F1192" t="s">
        <v>309</v>
      </c>
      <c r="G1192" t="s">
        <v>546</v>
      </c>
      <c r="H1192" s="3" t="s">
        <v>642</v>
      </c>
      <c r="J1192" s="4">
        <v>100</v>
      </c>
      <c r="L1192" t="s">
        <v>547</v>
      </c>
    </row>
    <row r="1193" spans="1:12" x14ac:dyDescent="0.2">
      <c r="A1193" t="s">
        <v>18</v>
      </c>
      <c r="B1193" t="s">
        <v>95</v>
      </c>
      <c r="C1193" t="s">
        <v>13</v>
      </c>
      <c r="D1193" t="s">
        <v>309</v>
      </c>
      <c r="E1193" t="s">
        <v>64</v>
      </c>
      <c r="F1193" t="s">
        <v>309</v>
      </c>
      <c r="G1193" t="s">
        <v>546</v>
      </c>
      <c r="H1193" s="3" t="s">
        <v>643</v>
      </c>
      <c r="J1193" s="4">
        <v>1450</v>
      </c>
      <c r="L1193" t="s">
        <v>584</v>
      </c>
    </row>
    <row r="1194" spans="1:12" x14ac:dyDescent="0.2">
      <c r="A1194" t="s">
        <v>71</v>
      </c>
      <c r="B1194" t="s">
        <v>95</v>
      </c>
      <c r="C1194" t="s">
        <v>13</v>
      </c>
      <c r="D1194" t="s">
        <v>309</v>
      </c>
      <c r="E1194" t="s">
        <v>64</v>
      </c>
      <c r="F1194" t="s">
        <v>309</v>
      </c>
      <c r="G1194" t="s">
        <v>546</v>
      </c>
      <c r="H1194" s="3" t="s">
        <v>644</v>
      </c>
      <c r="J1194" s="4">
        <v>200</v>
      </c>
    </row>
    <row r="1195" spans="1:12" x14ac:dyDescent="0.2">
      <c r="A1195" t="s">
        <v>18</v>
      </c>
      <c r="B1195" t="s">
        <v>95</v>
      </c>
      <c r="C1195" t="s">
        <v>13</v>
      </c>
      <c r="D1195" t="s">
        <v>74</v>
      </c>
      <c r="E1195" t="s">
        <v>42</v>
      </c>
      <c r="F1195" t="s">
        <v>74</v>
      </c>
      <c r="G1195" t="s">
        <v>580</v>
      </c>
      <c r="H1195" s="3" t="s">
        <v>641</v>
      </c>
      <c r="J1195" s="4">
        <v>2000</v>
      </c>
      <c r="L1195" t="s">
        <v>583</v>
      </c>
    </row>
    <row r="1196" spans="1:12" x14ac:dyDescent="0.2">
      <c r="A1196" t="s">
        <v>18</v>
      </c>
      <c r="B1196" t="s">
        <v>95</v>
      </c>
      <c r="C1196" t="s">
        <v>13</v>
      </c>
      <c r="D1196" t="s">
        <v>74</v>
      </c>
      <c r="E1196" t="s">
        <v>64</v>
      </c>
      <c r="F1196" t="s">
        <v>74</v>
      </c>
      <c r="G1196" t="s">
        <v>546</v>
      </c>
      <c r="J1196" s="4">
        <v>600</v>
      </c>
      <c r="L1196" t="s">
        <v>547</v>
      </c>
    </row>
    <row r="1197" spans="1:12" x14ac:dyDescent="0.2">
      <c r="A1197" t="s">
        <v>18</v>
      </c>
      <c r="B1197" t="s">
        <v>95</v>
      </c>
      <c r="C1197" t="s">
        <v>13</v>
      </c>
      <c r="D1197" t="s">
        <v>74</v>
      </c>
      <c r="E1197" t="s">
        <v>64</v>
      </c>
      <c r="F1197" t="s">
        <v>74</v>
      </c>
      <c r="G1197" t="s">
        <v>546</v>
      </c>
      <c r="J1197" s="4">
        <v>1140</v>
      </c>
      <c r="L1197" t="s">
        <v>584</v>
      </c>
    </row>
    <row r="1198" spans="1:12" x14ac:dyDescent="0.2">
      <c r="A1198" t="s">
        <v>71</v>
      </c>
      <c r="B1198" t="s">
        <v>125</v>
      </c>
      <c r="C1198" t="s">
        <v>13</v>
      </c>
      <c r="D1198" t="s">
        <v>74</v>
      </c>
      <c r="E1198" t="s">
        <v>64</v>
      </c>
      <c r="F1198" t="s">
        <v>74</v>
      </c>
      <c r="G1198" t="s">
        <v>551</v>
      </c>
      <c r="H1198" s="3" t="s">
        <v>645</v>
      </c>
      <c r="J1198" s="4">
        <v>200</v>
      </c>
      <c r="L1198" t="s">
        <v>646</v>
      </c>
    </row>
    <row r="1199" spans="1:12" x14ac:dyDescent="0.2">
      <c r="A1199" t="s">
        <v>18</v>
      </c>
      <c r="B1199" t="s">
        <v>95</v>
      </c>
      <c r="C1199" t="s">
        <v>13</v>
      </c>
      <c r="D1199" t="s">
        <v>647</v>
      </c>
      <c r="E1199" t="s">
        <v>64</v>
      </c>
      <c r="F1199" t="s">
        <v>647</v>
      </c>
      <c r="G1199" t="s">
        <v>546</v>
      </c>
      <c r="J1199" s="4">
        <v>180</v>
      </c>
      <c r="L1199" t="s">
        <v>584</v>
      </c>
    </row>
    <row r="1200" spans="1:12" x14ac:dyDescent="0.2">
      <c r="A1200" t="s">
        <v>12</v>
      </c>
      <c r="B1200" t="s">
        <v>95</v>
      </c>
      <c r="C1200" t="s">
        <v>13</v>
      </c>
      <c r="D1200" t="s">
        <v>76</v>
      </c>
      <c r="E1200" t="s">
        <v>42</v>
      </c>
      <c r="F1200" t="s">
        <v>301</v>
      </c>
      <c r="G1200" t="s">
        <v>580</v>
      </c>
      <c r="J1200" s="4">
        <v>1823.26</v>
      </c>
      <c r="L1200" t="s">
        <v>523</v>
      </c>
    </row>
    <row r="1201" spans="1:12" x14ac:dyDescent="0.2">
      <c r="A1201" t="s">
        <v>18</v>
      </c>
      <c r="B1201" t="s">
        <v>95</v>
      </c>
      <c r="C1201" t="s">
        <v>13</v>
      </c>
      <c r="D1201" t="s">
        <v>78</v>
      </c>
      <c r="E1201" t="s">
        <v>64</v>
      </c>
      <c r="F1201" t="s">
        <v>78</v>
      </c>
      <c r="G1201" t="s">
        <v>546</v>
      </c>
      <c r="J1201" s="4">
        <v>70</v>
      </c>
      <c r="L1201" t="s">
        <v>547</v>
      </c>
    </row>
    <row r="1202" spans="1:12" x14ac:dyDescent="0.2">
      <c r="A1202" t="s">
        <v>18</v>
      </c>
      <c r="B1202" t="s">
        <v>95</v>
      </c>
      <c r="C1202" t="s">
        <v>13</v>
      </c>
      <c r="D1202" t="s">
        <v>78</v>
      </c>
      <c r="E1202" t="s">
        <v>64</v>
      </c>
      <c r="F1202" t="s">
        <v>78</v>
      </c>
      <c r="G1202" t="s">
        <v>570</v>
      </c>
      <c r="H1202" s="3" t="s">
        <v>638</v>
      </c>
      <c r="J1202" s="4">
        <v>35</v>
      </c>
    </row>
    <row r="1203" spans="1:12" x14ac:dyDescent="0.2">
      <c r="A1203" t="s">
        <v>18</v>
      </c>
      <c r="B1203" t="s">
        <v>95</v>
      </c>
      <c r="C1203" t="s">
        <v>13</v>
      </c>
      <c r="D1203" t="s">
        <v>78</v>
      </c>
      <c r="E1203" t="s">
        <v>64</v>
      </c>
      <c r="F1203" t="s">
        <v>78</v>
      </c>
      <c r="G1203" t="s">
        <v>625</v>
      </c>
      <c r="H1203" s="3" t="s">
        <v>266</v>
      </c>
      <c r="J1203" s="4">
        <v>300</v>
      </c>
    </row>
    <row r="1204" spans="1:12" x14ac:dyDescent="0.2">
      <c r="A1204" t="s">
        <v>18</v>
      </c>
      <c r="B1204" t="s">
        <v>95</v>
      </c>
      <c r="C1204" t="s">
        <v>13</v>
      </c>
      <c r="D1204" t="s">
        <v>77</v>
      </c>
      <c r="E1204" t="s">
        <v>64</v>
      </c>
      <c r="F1204" t="s">
        <v>77</v>
      </c>
      <c r="G1204" t="s">
        <v>546</v>
      </c>
      <c r="J1204" s="4">
        <v>30</v>
      </c>
      <c r="L1204" t="s">
        <v>547</v>
      </c>
    </row>
    <row r="1205" spans="1:12" x14ac:dyDescent="0.2">
      <c r="A1205" t="s">
        <v>12</v>
      </c>
      <c r="B1205" t="s">
        <v>95</v>
      </c>
      <c r="C1205" t="s">
        <v>13</v>
      </c>
      <c r="D1205" t="s">
        <v>416</v>
      </c>
      <c r="E1205" t="s">
        <v>64</v>
      </c>
      <c r="F1205" t="s">
        <v>416</v>
      </c>
      <c r="G1205" t="s">
        <v>546</v>
      </c>
      <c r="H1205" s="3" t="s">
        <v>648</v>
      </c>
      <c r="J1205" s="4">
        <v>100</v>
      </c>
      <c r="L1205" t="s">
        <v>547</v>
      </c>
    </row>
    <row r="1206" spans="1:12" x14ac:dyDescent="0.2">
      <c r="A1206" t="s">
        <v>12</v>
      </c>
      <c r="B1206" t="s">
        <v>95</v>
      </c>
      <c r="C1206" t="s">
        <v>13</v>
      </c>
      <c r="D1206" t="s">
        <v>416</v>
      </c>
      <c r="E1206" t="s">
        <v>84</v>
      </c>
      <c r="F1206" t="s">
        <v>416</v>
      </c>
      <c r="G1206" t="s">
        <v>546</v>
      </c>
      <c r="J1206" s="4">
        <v>100</v>
      </c>
      <c r="L1206" t="s">
        <v>584</v>
      </c>
    </row>
    <row r="1207" spans="1:12" x14ac:dyDescent="0.2">
      <c r="A1207" t="s">
        <v>12</v>
      </c>
      <c r="B1207" t="s">
        <v>95</v>
      </c>
      <c r="C1207" t="s">
        <v>13</v>
      </c>
      <c r="D1207" t="s">
        <v>79</v>
      </c>
      <c r="E1207" t="s">
        <v>84</v>
      </c>
      <c r="F1207" t="s">
        <v>79</v>
      </c>
      <c r="G1207" t="s">
        <v>546</v>
      </c>
      <c r="J1207" s="4">
        <v>500</v>
      </c>
      <c r="L1207" t="s">
        <v>584</v>
      </c>
    </row>
    <row r="1208" spans="1:12" x14ac:dyDescent="0.2">
      <c r="A1208" t="s">
        <v>12</v>
      </c>
      <c r="B1208" t="s">
        <v>95</v>
      </c>
      <c r="C1208" t="s">
        <v>13</v>
      </c>
      <c r="D1208" t="s">
        <v>79</v>
      </c>
      <c r="E1208" t="s">
        <v>84</v>
      </c>
      <c r="F1208" t="s">
        <v>79</v>
      </c>
      <c r="G1208" t="s">
        <v>546</v>
      </c>
      <c r="J1208" s="4">
        <v>750</v>
      </c>
      <c r="L1208" t="s">
        <v>547</v>
      </c>
    </row>
    <row r="1209" spans="1:12" x14ac:dyDescent="0.2">
      <c r="A1209" t="s">
        <v>12</v>
      </c>
      <c r="B1209" t="s">
        <v>95</v>
      </c>
      <c r="C1209" t="s">
        <v>13</v>
      </c>
      <c r="D1209" t="s">
        <v>79</v>
      </c>
      <c r="E1209" t="s">
        <v>84</v>
      </c>
      <c r="F1209" t="s">
        <v>79</v>
      </c>
      <c r="G1209" t="s">
        <v>544</v>
      </c>
      <c r="J1209" s="4">
        <v>36.47</v>
      </c>
    </row>
    <row r="1210" spans="1:12" x14ac:dyDescent="0.2">
      <c r="A1210" t="s">
        <v>18</v>
      </c>
      <c r="B1210" t="s">
        <v>95</v>
      </c>
      <c r="C1210" t="s">
        <v>13</v>
      </c>
      <c r="D1210" t="s">
        <v>325</v>
      </c>
      <c r="E1210" t="s">
        <v>64</v>
      </c>
      <c r="F1210" t="s">
        <v>325</v>
      </c>
      <c r="G1210" t="s">
        <v>625</v>
      </c>
      <c r="H1210" s="3" t="s">
        <v>627</v>
      </c>
      <c r="J1210" s="4">
        <v>200</v>
      </c>
    </row>
    <row r="1211" spans="1:12" x14ac:dyDescent="0.2">
      <c r="A1211" t="s">
        <v>12</v>
      </c>
      <c r="B1211" t="s">
        <v>95</v>
      </c>
      <c r="C1211" t="s">
        <v>13</v>
      </c>
      <c r="D1211" t="s">
        <v>325</v>
      </c>
      <c r="E1211" t="s">
        <v>64</v>
      </c>
      <c r="F1211" t="s">
        <v>325</v>
      </c>
      <c r="G1211" t="s">
        <v>546</v>
      </c>
      <c r="J1211" s="4">
        <v>182</v>
      </c>
      <c r="L1211" t="s">
        <v>547</v>
      </c>
    </row>
    <row r="1212" spans="1:12" x14ac:dyDescent="0.2">
      <c r="A1212" t="s">
        <v>12</v>
      </c>
      <c r="B1212" t="s">
        <v>95</v>
      </c>
      <c r="C1212" t="s">
        <v>13</v>
      </c>
      <c r="D1212" t="s">
        <v>325</v>
      </c>
      <c r="E1212" t="s">
        <v>64</v>
      </c>
      <c r="F1212" t="s">
        <v>325</v>
      </c>
      <c r="G1212" t="s">
        <v>546</v>
      </c>
      <c r="J1212" s="4">
        <v>100</v>
      </c>
      <c r="L1212" t="s">
        <v>547</v>
      </c>
    </row>
    <row r="1213" spans="1:12" x14ac:dyDescent="0.2">
      <c r="A1213" t="s">
        <v>12</v>
      </c>
      <c r="B1213" t="s">
        <v>95</v>
      </c>
      <c r="C1213" t="s">
        <v>13</v>
      </c>
      <c r="D1213" t="s">
        <v>325</v>
      </c>
      <c r="E1213" t="s">
        <v>64</v>
      </c>
      <c r="F1213" t="s">
        <v>325</v>
      </c>
      <c r="G1213" t="s">
        <v>546</v>
      </c>
      <c r="J1213" s="4">
        <v>80</v>
      </c>
      <c r="L1213" t="s">
        <v>584</v>
      </c>
    </row>
    <row r="1214" spans="1:12" x14ac:dyDescent="0.2">
      <c r="A1214" t="s">
        <v>12</v>
      </c>
      <c r="B1214" t="s">
        <v>95</v>
      </c>
      <c r="C1214" t="s">
        <v>13</v>
      </c>
      <c r="D1214" t="s">
        <v>512</v>
      </c>
      <c r="E1214" t="s">
        <v>64</v>
      </c>
      <c r="F1214" t="s">
        <v>512</v>
      </c>
      <c r="G1214" t="s">
        <v>546</v>
      </c>
      <c r="J1214" s="4">
        <v>650</v>
      </c>
      <c r="L1214" t="s">
        <v>547</v>
      </c>
    </row>
    <row r="1215" spans="1:12" x14ac:dyDescent="0.2">
      <c r="A1215" t="s">
        <v>12</v>
      </c>
      <c r="B1215" t="s">
        <v>95</v>
      </c>
      <c r="C1215" t="s">
        <v>13</v>
      </c>
      <c r="D1215" t="s">
        <v>512</v>
      </c>
      <c r="E1215" t="s">
        <v>64</v>
      </c>
      <c r="F1215" t="s">
        <v>512</v>
      </c>
      <c r="G1215" t="s">
        <v>546</v>
      </c>
      <c r="H1215" s="3" t="s">
        <v>649</v>
      </c>
      <c r="J1215" s="4">
        <v>300</v>
      </c>
      <c r="L1215" t="s">
        <v>381</v>
      </c>
    </row>
    <row r="1216" spans="1:12" x14ac:dyDescent="0.2">
      <c r="A1216" t="s">
        <v>12</v>
      </c>
      <c r="B1216" t="s">
        <v>95</v>
      </c>
      <c r="C1216" t="s">
        <v>13</v>
      </c>
      <c r="D1216" t="s">
        <v>512</v>
      </c>
      <c r="E1216" t="s">
        <v>64</v>
      </c>
      <c r="F1216" t="s">
        <v>512</v>
      </c>
      <c r="G1216" t="s">
        <v>546</v>
      </c>
      <c r="J1216" s="4">
        <v>800</v>
      </c>
      <c r="L1216" t="s">
        <v>584</v>
      </c>
    </row>
    <row r="1217" spans="1:12" x14ac:dyDescent="0.2">
      <c r="A1217" t="s">
        <v>12</v>
      </c>
      <c r="B1217" t="s">
        <v>95</v>
      </c>
      <c r="C1217" t="s">
        <v>13</v>
      </c>
      <c r="D1217" t="s">
        <v>75</v>
      </c>
      <c r="E1217" t="s">
        <v>64</v>
      </c>
      <c r="F1217" t="s">
        <v>75</v>
      </c>
      <c r="G1217" t="s">
        <v>546</v>
      </c>
      <c r="J1217" s="4">
        <v>150</v>
      </c>
      <c r="L1217" t="s">
        <v>547</v>
      </c>
    </row>
    <row r="1218" spans="1:12" x14ac:dyDescent="0.2">
      <c r="A1218" t="s">
        <v>12</v>
      </c>
      <c r="B1218" t="s">
        <v>95</v>
      </c>
      <c r="C1218" t="s">
        <v>13</v>
      </c>
      <c r="D1218" t="s">
        <v>650</v>
      </c>
      <c r="E1218" t="s">
        <v>64</v>
      </c>
      <c r="F1218" t="s">
        <v>650</v>
      </c>
      <c r="G1218" t="s">
        <v>651</v>
      </c>
      <c r="H1218" s="3" t="s">
        <v>652</v>
      </c>
      <c r="J1218" s="4">
        <v>74.099999999999994</v>
      </c>
    </row>
    <row r="1219" spans="1:12" x14ac:dyDescent="0.2">
      <c r="A1219" t="s">
        <v>12</v>
      </c>
      <c r="B1219" t="s">
        <v>95</v>
      </c>
      <c r="C1219" t="s">
        <v>13</v>
      </c>
      <c r="D1219" t="s">
        <v>650</v>
      </c>
      <c r="E1219" t="s">
        <v>64</v>
      </c>
      <c r="F1219" t="s">
        <v>650</v>
      </c>
      <c r="G1219" t="s">
        <v>546</v>
      </c>
      <c r="J1219" s="4">
        <v>100</v>
      </c>
      <c r="L1219" t="s">
        <v>584</v>
      </c>
    </row>
    <row r="1220" spans="1:12" x14ac:dyDescent="0.2">
      <c r="A1220" t="s">
        <v>12</v>
      </c>
      <c r="B1220" t="s">
        <v>95</v>
      </c>
      <c r="C1220" t="s">
        <v>13</v>
      </c>
      <c r="D1220" t="s">
        <v>331</v>
      </c>
      <c r="E1220" t="s">
        <v>64</v>
      </c>
      <c r="F1220" t="s">
        <v>331</v>
      </c>
      <c r="G1220" t="s">
        <v>535</v>
      </c>
      <c r="H1220" s="3" t="s">
        <v>653</v>
      </c>
      <c r="J1220" s="4">
        <v>32</v>
      </c>
    </row>
    <row r="1221" spans="1:12" x14ac:dyDescent="0.2">
      <c r="A1221" t="s">
        <v>12</v>
      </c>
      <c r="B1221" t="s">
        <v>95</v>
      </c>
      <c r="C1221" t="s">
        <v>13</v>
      </c>
      <c r="D1221" t="s">
        <v>331</v>
      </c>
      <c r="E1221" t="s">
        <v>84</v>
      </c>
      <c r="F1221" t="s">
        <v>331</v>
      </c>
      <c r="G1221" t="s">
        <v>535</v>
      </c>
      <c r="H1221" s="3" t="s">
        <v>654</v>
      </c>
      <c r="J1221" s="4">
        <v>32.28</v>
      </c>
    </row>
    <row r="1222" spans="1:12" x14ac:dyDescent="0.2">
      <c r="A1222" t="s">
        <v>12</v>
      </c>
      <c r="B1222" t="s">
        <v>95</v>
      </c>
      <c r="C1222" t="s">
        <v>13</v>
      </c>
      <c r="D1222" t="s">
        <v>331</v>
      </c>
      <c r="E1222" t="s">
        <v>84</v>
      </c>
      <c r="F1222" t="s">
        <v>331</v>
      </c>
      <c r="G1222" t="s">
        <v>538</v>
      </c>
      <c r="H1222" s="3" t="s">
        <v>655</v>
      </c>
      <c r="J1222" s="4">
        <v>94</v>
      </c>
    </row>
    <row r="1223" spans="1:12" x14ac:dyDescent="0.2">
      <c r="A1223" t="s">
        <v>12</v>
      </c>
      <c r="B1223" t="s">
        <v>95</v>
      </c>
      <c r="C1223" t="s">
        <v>13</v>
      </c>
      <c r="D1223" t="s">
        <v>331</v>
      </c>
      <c r="E1223" t="s">
        <v>84</v>
      </c>
      <c r="F1223" t="s">
        <v>331</v>
      </c>
      <c r="G1223" t="s">
        <v>580</v>
      </c>
      <c r="H1223" s="3" t="s">
        <v>656</v>
      </c>
      <c r="J1223" s="4">
        <v>1000</v>
      </c>
      <c r="L1223" t="s">
        <v>583</v>
      </c>
    </row>
    <row r="1224" spans="1:12" x14ac:dyDescent="0.2">
      <c r="A1224" t="s">
        <v>18</v>
      </c>
      <c r="B1224" t="s">
        <v>95</v>
      </c>
      <c r="C1224" t="s">
        <v>13</v>
      </c>
      <c r="D1224" t="s">
        <v>331</v>
      </c>
      <c r="E1224" t="s">
        <v>42</v>
      </c>
      <c r="F1224" t="s">
        <v>331</v>
      </c>
      <c r="G1224" t="s">
        <v>580</v>
      </c>
      <c r="J1224" s="4">
        <v>1482.55</v>
      </c>
      <c r="L1224" t="s">
        <v>657</v>
      </c>
    </row>
    <row r="1225" spans="1:12" x14ac:dyDescent="0.2">
      <c r="A1225" t="s">
        <v>12</v>
      </c>
      <c r="B1225" t="s">
        <v>95</v>
      </c>
      <c r="C1225" t="s">
        <v>13</v>
      </c>
      <c r="D1225" t="s">
        <v>334</v>
      </c>
      <c r="E1225" t="s">
        <v>84</v>
      </c>
      <c r="F1225" t="s">
        <v>334</v>
      </c>
      <c r="G1225" t="s">
        <v>561</v>
      </c>
      <c r="H1225" s="3" t="s">
        <v>454</v>
      </c>
      <c r="J1225" s="4">
        <v>29.77</v>
      </c>
    </row>
    <row r="1226" spans="1:12" x14ac:dyDescent="0.2">
      <c r="A1226" t="s">
        <v>12</v>
      </c>
      <c r="B1226" t="s">
        <v>95</v>
      </c>
      <c r="C1226" t="s">
        <v>13</v>
      </c>
      <c r="D1226" t="s">
        <v>334</v>
      </c>
      <c r="E1226" t="s">
        <v>84</v>
      </c>
      <c r="F1226" t="s">
        <v>334</v>
      </c>
      <c r="G1226" t="s">
        <v>546</v>
      </c>
      <c r="J1226" s="4">
        <v>192</v>
      </c>
      <c r="L1226" t="s">
        <v>584</v>
      </c>
    </row>
    <row r="1227" spans="1:12" x14ac:dyDescent="0.2">
      <c r="A1227" t="s">
        <v>12</v>
      </c>
      <c r="B1227" t="s">
        <v>95</v>
      </c>
      <c r="C1227" t="s">
        <v>13</v>
      </c>
      <c r="D1227" t="s">
        <v>421</v>
      </c>
      <c r="E1227" t="s">
        <v>64</v>
      </c>
      <c r="F1227" t="s">
        <v>87</v>
      </c>
      <c r="G1227" t="s">
        <v>600</v>
      </c>
      <c r="H1227" s="3" t="s">
        <v>601</v>
      </c>
      <c r="J1227" s="4">
        <v>250</v>
      </c>
    </row>
    <row r="1228" spans="1:12" x14ac:dyDescent="0.2">
      <c r="A1228" t="s">
        <v>18</v>
      </c>
      <c r="B1228" t="s">
        <v>95</v>
      </c>
      <c r="C1228" t="s">
        <v>13</v>
      </c>
      <c r="D1228" t="s">
        <v>421</v>
      </c>
      <c r="E1228" t="s">
        <v>64</v>
      </c>
      <c r="F1228" t="s">
        <v>421</v>
      </c>
      <c r="G1228" t="s">
        <v>546</v>
      </c>
      <c r="J1228" s="4">
        <v>300</v>
      </c>
      <c r="L1228" t="s">
        <v>547</v>
      </c>
    </row>
    <row r="1229" spans="1:12" x14ac:dyDescent="0.2">
      <c r="A1229" t="s">
        <v>18</v>
      </c>
      <c r="B1229" t="s">
        <v>95</v>
      </c>
      <c r="C1229" t="s">
        <v>13</v>
      </c>
      <c r="D1229" t="s">
        <v>421</v>
      </c>
      <c r="E1229" t="s">
        <v>64</v>
      </c>
      <c r="F1229" t="s">
        <v>421</v>
      </c>
      <c r="G1229" t="s">
        <v>546</v>
      </c>
      <c r="J1229" s="4">
        <v>1500</v>
      </c>
      <c r="L1229" t="s">
        <v>584</v>
      </c>
    </row>
    <row r="1230" spans="1:12" x14ac:dyDescent="0.2">
      <c r="A1230" t="s">
        <v>12</v>
      </c>
      <c r="B1230" t="s">
        <v>95</v>
      </c>
      <c r="C1230" t="s">
        <v>13</v>
      </c>
      <c r="D1230" t="s">
        <v>343</v>
      </c>
      <c r="E1230" t="s">
        <v>84</v>
      </c>
      <c r="F1230" t="s">
        <v>301</v>
      </c>
      <c r="G1230" t="s">
        <v>538</v>
      </c>
      <c r="H1230" s="3" t="s">
        <v>658</v>
      </c>
      <c r="J1230" s="4">
        <v>447</v>
      </c>
    </row>
    <row r="1231" spans="1:12" x14ac:dyDescent="0.2">
      <c r="A1231" t="s">
        <v>18</v>
      </c>
      <c r="B1231" t="s">
        <v>95</v>
      </c>
      <c r="C1231" t="s">
        <v>13</v>
      </c>
      <c r="D1231" t="s">
        <v>343</v>
      </c>
      <c r="E1231" t="s">
        <v>84</v>
      </c>
      <c r="F1231" t="s">
        <v>343</v>
      </c>
      <c r="G1231" t="s">
        <v>546</v>
      </c>
      <c r="J1231" s="4">
        <v>250</v>
      </c>
      <c r="L1231" t="s">
        <v>584</v>
      </c>
    </row>
    <row r="1232" spans="1:12" x14ac:dyDescent="0.2">
      <c r="A1232" t="s">
        <v>12</v>
      </c>
      <c r="B1232" t="s">
        <v>95</v>
      </c>
      <c r="C1232" t="s">
        <v>13</v>
      </c>
      <c r="D1232" t="s">
        <v>345</v>
      </c>
      <c r="E1232" t="s">
        <v>84</v>
      </c>
      <c r="F1232" t="s">
        <v>345</v>
      </c>
      <c r="G1232" t="s">
        <v>570</v>
      </c>
      <c r="H1232" s="3" t="s">
        <v>616</v>
      </c>
      <c r="J1232" s="4">
        <v>15</v>
      </c>
    </row>
    <row r="1233" spans="1:12" x14ac:dyDescent="0.2">
      <c r="A1233" t="s">
        <v>12</v>
      </c>
      <c r="B1233" t="s">
        <v>95</v>
      </c>
      <c r="C1233" t="s">
        <v>13</v>
      </c>
      <c r="D1233" t="s">
        <v>345</v>
      </c>
      <c r="E1233" t="s">
        <v>84</v>
      </c>
      <c r="F1233" t="s">
        <v>345</v>
      </c>
      <c r="G1233" t="s">
        <v>570</v>
      </c>
      <c r="H1233" s="3" t="s">
        <v>659</v>
      </c>
      <c r="J1233" s="4">
        <v>48.2</v>
      </c>
    </row>
    <row r="1234" spans="1:12" x14ac:dyDescent="0.2">
      <c r="A1234" t="s">
        <v>71</v>
      </c>
      <c r="B1234" t="s">
        <v>125</v>
      </c>
      <c r="C1234" t="s">
        <v>13</v>
      </c>
      <c r="D1234" t="s">
        <v>301</v>
      </c>
      <c r="E1234" t="s">
        <v>42</v>
      </c>
      <c r="F1234" t="s">
        <v>301</v>
      </c>
      <c r="G1234" t="s">
        <v>580</v>
      </c>
      <c r="H1234" s="3" t="s">
        <v>660</v>
      </c>
      <c r="J1234" s="4">
        <v>500</v>
      </c>
      <c r="L1234" t="s">
        <v>523</v>
      </c>
    </row>
    <row r="1235" spans="1:12" x14ac:dyDescent="0.2">
      <c r="A1235" t="s">
        <v>27</v>
      </c>
      <c r="B1235" t="s">
        <v>95</v>
      </c>
      <c r="C1235" t="s">
        <v>13</v>
      </c>
      <c r="D1235" t="s">
        <v>301</v>
      </c>
      <c r="E1235" t="s">
        <v>84</v>
      </c>
      <c r="F1235" t="s">
        <v>88</v>
      </c>
      <c r="G1235" t="s">
        <v>538</v>
      </c>
      <c r="H1235" s="3" t="s">
        <v>619</v>
      </c>
      <c r="J1235" s="4">
        <v>150</v>
      </c>
      <c r="L1235" t="s">
        <v>640</v>
      </c>
    </row>
    <row r="1236" spans="1:12" x14ac:dyDescent="0.2">
      <c r="A1236" t="s">
        <v>71</v>
      </c>
      <c r="B1236" t="s">
        <v>95</v>
      </c>
      <c r="C1236" t="s">
        <v>13</v>
      </c>
      <c r="D1236" t="s">
        <v>87</v>
      </c>
      <c r="E1236" t="s">
        <v>84</v>
      </c>
      <c r="F1236" t="s">
        <v>87</v>
      </c>
      <c r="G1236" t="s">
        <v>542</v>
      </c>
      <c r="H1236" s="3" t="s">
        <v>661</v>
      </c>
      <c r="J1236" s="4">
        <v>500</v>
      </c>
      <c r="L1236" t="s">
        <v>662</v>
      </c>
    </row>
    <row r="1237" spans="1:12" x14ac:dyDescent="0.2">
      <c r="A1237" t="s">
        <v>12</v>
      </c>
      <c r="B1237" t="s">
        <v>95</v>
      </c>
      <c r="C1237" t="s">
        <v>13</v>
      </c>
      <c r="D1237" t="s">
        <v>87</v>
      </c>
      <c r="E1237" t="s">
        <v>84</v>
      </c>
      <c r="F1237" t="s">
        <v>87</v>
      </c>
      <c r="G1237" t="s">
        <v>546</v>
      </c>
      <c r="J1237" s="4">
        <v>70</v>
      </c>
      <c r="L1237" t="s">
        <v>547</v>
      </c>
    </row>
    <row r="1238" spans="1:12" x14ac:dyDescent="0.2">
      <c r="A1238" t="s">
        <v>12</v>
      </c>
      <c r="B1238" t="s">
        <v>95</v>
      </c>
      <c r="C1238" t="s">
        <v>13</v>
      </c>
      <c r="D1238" t="s">
        <v>87</v>
      </c>
      <c r="E1238" t="s">
        <v>84</v>
      </c>
      <c r="F1238" t="s">
        <v>87</v>
      </c>
      <c r="G1238" t="s">
        <v>546</v>
      </c>
      <c r="J1238" s="4">
        <v>100</v>
      </c>
      <c r="L1238" t="s">
        <v>584</v>
      </c>
    </row>
    <row r="1239" spans="1:12" x14ac:dyDescent="0.2">
      <c r="A1239" t="s">
        <v>12</v>
      </c>
      <c r="B1239" t="s">
        <v>95</v>
      </c>
      <c r="C1239" t="s">
        <v>13</v>
      </c>
      <c r="D1239" t="s">
        <v>85</v>
      </c>
      <c r="E1239" t="s">
        <v>84</v>
      </c>
      <c r="F1239" t="s">
        <v>85</v>
      </c>
      <c r="G1239" t="s">
        <v>546</v>
      </c>
      <c r="H1239" s="3" t="s">
        <v>663</v>
      </c>
      <c r="J1239" s="4">
        <v>300</v>
      </c>
    </row>
    <row r="1240" spans="1:12" x14ac:dyDescent="0.2">
      <c r="A1240" t="s">
        <v>18</v>
      </c>
      <c r="B1240" t="s">
        <v>95</v>
      </c>
      <c r="C1240" t="s">
        <v>13</v>
      </c>
      <c r="D1240" t="s">
        <v>85</v>
      </c>
      <c r="E1240" t="s">
        <v>84</v>
      </c>
      <c r="F1240" t="s">
        <v>85</v>
      </c>
      <c r="G1240" t="s">
        <v>546</v>
      </c>
      <c r="H1240" s="3" t="s">
        <v>664</v>
      </c>
      <c r="J1240" s="4">
        <v>300</v>
      </c>
      <c r="L1240" t="s">
        <v>547</v>
      </c>
    </row>
    <row r="1241" spans="1:12" x14ac:dyDescent="0.2">
      <c r="A1241" t="s">
        <v>12</v>
      </c>
      <c r="B1241" t="s">
        <v>95</v>
      </c>
      <c r="C1241" t="s">
        <v>13</v>
      </c>
      <c r="D1241" t="s">
        <v>85</v>
      </c>
      <c r="E1241" t="s">
        <v>64</v>
      </c>
      <c r="F1241" t="s">
        <v>85</v>
      </c>
      <c r="G1241" t="s">
        <v>580</v>
      </c>
      <c r="H1241" s="3" t="s">
        <v>656</v>
      </c>
      <c r="J1241" s="4">
        <v>400</v>
      </c>
      <c r="L1241" t="s">
        <v>583</v>
      </c>
    </row>
    <row r="1242" spans="1:12" x14ac:dyDescent="0.2">
      <c r="A1242" t="s">
        <v>12</v>
      </c>
      <c r="B1242" t="s">
        <v>95</v>
      </c>
      <c r="C1242" t="s">
        <v>13</v>
      </c>
      <c r="D1242" t="s">
        <v>348</v>
      </c>
      <c r="E1242" t="s">
        <v>665</v>
      </c>
      <c r="F1242" t="s">
        <v>348</v>
      </c>
      <c r="G1242" t="s">
        <v>580</v>
      </c>
      <c r="J1242" s="4">
        <v>2668.06</v>
      </c>
      <c r="L1242" t="s">
        <v>583</v>
      </c>
    </row>
    <row r="1243" spans="1:12" x14ac:dyDescent="0.2">
      <c r="A1243" t="s">
        <v>12</v>
      </c>
      <c r="B1243" t="s">
        <v>95</v>
      </c>
      <c r="C1243" t="s">
        <v>13</v>
      </c>
      <c r="D1243" t="s">
        <v>348</v>
      </c>
      <c r="E1243" t="s">
        <v>84</v>
      </c>
      <c r="F1243" t="s">
        <v>348</v>
      </c>
      <c r="G1243" t="s">
        <v>546</v>
      </c>
      <c r="J1243" s="4">
        <v>600</v>
      </c>
      <c r="L1243" t="s">
        <v>547</v>
      </c>
    </row>
    <row r="1244" spans="1:12" x14ac:dyDescent="0.2">
      <c r="A1244" t="s">
        <v>12</v>
      </c>
      <c r="B1244" t="s">
        <v>95</v>
      </c>
      <c r="C1244" t="s">
        <v>13</v>
      </c>
      <c r="D1244" t="s">
        <v>348</v>
      </c>
      <c r="E1244" t="s">
        <v>84</v>
      </c>
      <c r="F1244" t="s">
        <v>348</v>
      </c>
      <c r="G1244" t="s">
        <v>546</v>
      </c>
      <c r="J1244" s="4">
        <v>100</v>
      </c>
      <c r="L1244" t="s">
        <v>584</v>
      </c>
    </row>
    <row r="1245" spans="1:12" x14ac:dyDescent="0.2">
      <c r="A1245" t="s">
        <v>71</v>
      </c>
      <c r="B1245" t="s">
        <v>95</v>
      </c>
      <c r="C1245" t="s">
        <v>13</v>
      </c>
      <c r="D1245" t="s">
        <v>351</v>
      </c>
      <c r="E1245" t="s">
        <v>84</v>
      </c>
      <c r="F1245" t="s">
        <v>351</v>
      </c>
      <c r="G1245" t="s">
        <v>538</v>
      </c>
      <c r="H1245" s="3" t="s">
        <v>649</v>
      </c>
      <c r="J1245" s="4">
        <v>70</v>
      </c>
      <c r="L1245" t="s">
        <v>408</v>
      </c>
    </row>
    <row r="1246" spans="1:12" x14ac:dyDescent="0.2">
      <c r="A1246" t="s">
        <v>12</v>
      </c>
      <c r="B1246" t="s">
        <v>95</v>
      </c>
      <c r="C1246" t="s">
        <v>13</v>
      </c>
      <c r="D1246" t="s">
        <v>351</v>
      </c>
      <c r="E1246" t="s">
        <v>84</v>
      </c>
      <c r="F1246" t="s">
        <v>351</v>
      </c>
      <c r="G1246" t="s">
        <v>546</v>
      </c>
      <c r="J1246" s="4">
        <v>1000</v>
      </c>
      <c r="L1246" t="s">
        <v>584</v>
      </c>
    </row>
    <row r="1247" spans="1:12" x14ac:dyDescent="0.2">
      <c r="A1247" t="s">
        <v>12</v>
      </c>
      <c r="B1247" t="s">
        <v>95</v>
      </c>
      <c r="C1247" t="s">
        <v>13</v>
      </c>
      <c r="D1247" t="s">
        <v>351</v>
      </c>
      <c r="E1247" t="s">
        <v>84</v>
      </c>
      <c r="F1247" t="s">
        <v>351</v>
      </c>
      <c r="G1247" t="s">
        <v>546</v>
      </c>
      <c r="H1247" s="3" t="s">
        <v>666</v>
      </c>
      <c r="J1247" s="4">
        <v>1500</v>
      </c>
    </row>
    <row r="1248" spans="1:12" x14ac:dyDescent="0.2">
      <c r="A1248" t="s">
        <v>12</v>
      </c>
      <c r="B1248" t="s">
        <v>95</v>
      </c>
      <c r="C1248" t="s">
        <v>13</v>
      </c>
      <c r="D1248" t="s">
        <v>351</v>
      </c>
      <c r="E1248" t="s">
        <v>84</v>
      </c>
      <c r="F1248" t="s">
        <v>351</v>
      </c>
      <c r="G1248" t="s">
        <v>570</v>
      </c>
      <c r="J1248" s="4">
        <v>36</v>
      </c>
    </row>
    <row r="1249" spans="1:12" x14ac:dyDescent="0.2">
      <c r="A1249" t="s">
        <v>12</v>
      </c>
      <c r="B1249" t="s">
        <v>95</v>
      </c>
      <c r="C1249" t="s">
        <v>13</v>
      </c>
      <c r="D1249" t="s">
        <v>351</v>
      </c>
      <c r="E1249" t="s">
        <v>84</v>
      </c>
      <c r="F1249" t="s">
        <v>351</v>
      </c>
      <c r="G1249" t="s">
        <v>546</v>
      </c>
      <c r="H1249" s="3" t="s">
        <v>667</v>
      </c>
      <c r="J1249" s="4">
        <v>350</v>
      </c>
    </row>
    <row r="1250" spans="1:12" x14ac:dyDescent="0.2">
      <c r="A1250" t="s">
        <v>12</v>
      </c>
      <c r="B1250" t="s">
        <v>95</v>
      </c>
      <c r="C1250" t="s">
        <v>13</v>
      </c>
      <c r="D1250" t="s">
        <v>668</v>
      </c>
      <c r="E1250" t="s">
        <v>84</v>
      </c>
      <c r="F1250" t="s">
        <v>668</v>
      </c>
      <c r="G1250" t="s">
        <v>546</v>
      </c>
      <c r="J1250" s="4">
        <v>500</v>
      </c>
      <c r="L1250" t="s">
        <v>584</v>
      </c>
    </row>
    <row r="1251" spans="1:12" x14ac:dyDescent="0.2">
      <c r="A1251" t="s">
        <v>12</v>
      </c>
      <c r="B1251" t="s">
        <v>95</v>
      </c>
      <c r="C1251" t="s">
        <v>13</v>
      </c>
      <c r="D1251" t="s">
        <v>346</v>
      </c>
      <c r="E1251" t="s">
        <v>84</v>
      </c>
      <c r="F1251" t="s">
        <v>346</v>
      </c>
      <c r="G1251" t="s">
        <v>570</v>
      </c>
      <c r="J1251" s="4">
        <v>9</v>
      </c>
    </row>
    <row r="1252" spans="1:12" x14ac:dyDescent="0.2">
      <c r="A1252" t="s">
        <v>12</v>
      </c>
      <c r="B1252" t="s">
        <v>95</v>
      </c>
      <c r="C1252" t="s">
        <v>13</v>
      </c>
      <c r="D1252" t="s">
        <v>346</v>
      </c>
      <c r="E1252" t="s">
        <v>84</v>
      </c>
      <c r="F1252" t="s">
        <v>346</v>
      </c>
      <c r="G1252" t="s">
        <v>580</v>
      </c>
      <c r="J1252" s="4">
        <v>15000</v>
      </c>
      <c r="L1252" t="s">
        <v>669</v>
      </c>
    </row>
    <row r="1253" spans="1:12" x14ac:dyDescent="0.2">
      <c r="A1253" t="s">
        <v>12</v>
      </c>
      <c r="B1253" t="s">
        <v>95</v>
      </c>
      <c r="C1253" t="s">
        <v>13</v>
      </c>
      <c r="D1253" t="s">
        <v>346</v>
      </c>
      <c r="E1253" t="s">
        <v>64</v>
      </c>
      <c r="F1253" t="s">
        <v>346</v>
      </c>
      <c r="G1253" t="s">
        <v>580</v>
      </c>
      <c r="J1253" s="4">
        <v>3500</v>
      </c>
      <c r="L1253" t="s">
        <v>583</v>
      </c>
    </row>
    <row r="1254" spans="1:12" x14ac:dyDescent="0.2">
      <c r="A1254" t="s">
        <v>18</v>
      </c>
      <c r="B1254" t="s">
        <v>95</v>
      </c>
      <c r="C1254" t="s">
        <v>13</v>
      </c>
      <c r="D1254" t="s">
        <v>86</v>
      </c>
      <c r="E1254" t="s">
        <v>84</v>
      </c>
      <c r="F1254" t="s">
        <v>86</v>
      </c>
      <c r="G1254" t="s">
        <v>561</v>
      </c>
      <c r="H1254" s="3" t="s">
        <v>670</v>
      </c>
      <c r="J1254" s="4">
        <v>100</v>
      </c>
    </row>
    <row r="1255" spans="1:12" x14ac:dyDescent="0.2">
      <c r="A1255" t="s">
        <v>18</v>
      </c>
      <c r="B1255" t="s">
        <v>95</v>
      </c>
      <c r="C1255" t="s">
        <v>13</v>
      </c>
      <c r="D1255" t="s">
        <v>88</v>
      </c>
      <c r="E1255" t="s">
        <v>84</v>
      </c>
      <c r="F1255" t="s">
        <v>88</v>
      </c>
      <c r="G1255" t="s">
        <v>538</v>
      </c>
      <c r="H1255" s="3" t="s">
        <v>671</v>
      </c>
      <c r="J1255" s="4">
        <v>60</v>
      </c>
    </row>
    <row r="1256" spans="1:12" x14ac:dyDescent="0.2">
      <c r="A1256" t="s">
        <v>18</v>
      </c>
      <c r="B1256" t="s">
        <v>95</v>
      </c>
      <c r="C1256" t="s">
        <v>13</v>
      </c>
      <c r="D1256" t="s">
        <v>88</v>
      </c>
      <c r="E1256" t="s">
        <v>84</v>
      </c>
      <c r="F1256" t="s">
        <v>88</v>
      </c>
      <c r="G1256" t="s">
        <v>546</v>
      </c>
      <c r="H1256" s="3" t="s">
        <v>547</v>
      </c>
      <c r="J1256" s="4">
        <v>50</v>
      </c>
    </row>
    <row r="1257" spans="1:12" x14ac:dyDescent="0.2">
      <c r="A1257" t="s">
        <v>18</v>
      </c>
      <c r="B1257" t="s">
        <v>95</v>
      </c>
      <c r="C1257" t="s">
        <v>13</v>
      </c>
      <c r="D1257" t="s">
        <v>89</v>
      </c>
      <c r="E1257" t="s">
        <v>84</v>
      </c>
      <c r="F1257" t="s">
        <v>89</v>
      </c>
      <c r="G1257" t="s">
        <v>580</v>
      </c>
      <c r="H1257" s="3" t="s">
        <v>672</v>
      </c>
      <c r="J1257" s="4">
        <v>371</v>
      </c>
    </row>
    <row r="1258" spans="1:12" x14ac:dyDescent="0.2">
      <c r="A1258" t="s">
        <v>27</v>
      </c>
      <c r="B1258" t="s">
        <v>95</v>
      </c>
      <c r="C1258" t="s">
        <v>13</v>
      </c>
      <c r="D1258" t="s">
        <v>89</v>
      </c>
      <c r="E1258" t="s">
        <v>84</v>
      </c>
      <c r="F1258" t="s">
        <v>89</v>
      </c>
      <c r="G1258" t="s">
        <v>538</v>
      </c>
      <c r="H1258" s="3" t="s">
        <v>673</v>
      </c>
      <c r="J1258" s="4">
        <v>2035.63</v>
      </c>
    </row>
    <row r="1259" spans="1:12" x14ac:dyDescent="0.2">
      <c r="A1259" t="s">
        <v>18</v>
      </c>
      <c r="B1259" t="s">
        <v>95</v>
      </c>
      <c r="C1259" t="s">
        <v>13</v>
      </c>
      <c r="D1259" t="s">
        <v>352</v>
      </c>
      <c r="E1259" t="s">
        <v>84</v>
      </c>
      <c r="F1259" t="s">
        <v>352</v>
      </c>
      <c r="G1259" t="s">
        <v>580</v>
      </c>
      <c r="J1259" s="4">
        <v>1400</v>
      </c>
      <c r="L1259" t="s">
        <v>583</v>
      </c>
    </row>
    <row r="1260" spans="1:12" x14ac:dyDescent="0.2">
      <c r="A1260" t="s">
        <v>18</v>
      </c>
      <c r="B1260" t="s">
        <v>95</v>
      </c>
      <c r="C1260" t="s">
        <v>13</v>
      </c>
      <c r="D1260" t="s">
        <v>352</v>
      </c>
      <c r="E1260" t="s">
        <v>84</v>
      </c>
      <c r="F1260" t="s">
        <v>352</v>
      </c>
      <c r="G1260" t="s">
        <v>546</v>
      </c>
      <c r="H1260" s="3" t="s">
        <v>584</v>
      </c>
      <c r="J1260" s="4">
        <v>210</v>
      </c>
    </row>
    <row r="1261" spans="1:12" x14ac:dyDescent="0.2">
      <c r="A1261" t="s">
        <v>18</v>
      </c>
      <c r="B1261" t="s">
        <v>95</v>
      </c>
      <c r="C1261" t="s">
        <v>13</v>
      </c>
      <c r="D1261" t="s">
        <v>352</v>
      </c>
      <c r="E1261" t="s">
        <v>84</v>
      </c>
      <c r="F1261" t="s">
        <v>352</v>
      </c>
      <c r="G1261" t="s">
        <v>546</v>
      </c>
      <c r="H1261" s="3" t="s">
        <v>547</v>
      </c>
      <c r="J1261" s="4">
        <v>100</v>
      </c>
    </row>
    <row r="1262" spans="1:12" x14ac:dyDescent="0.2">
      <c r="A1262" t="s">
        <v>18</v>
      </c>
      <c r="B1262" t="s">
        <v>95</v>
      </c>
      <c r="C1262" t="s">
        <v>13</v>
      </c>
      <c r="D1262" t="s">
        <v>352</v>
      </c>
      <c r="E1262" t="s">
        <v>84</v>
      </c>
      <c r="F1262" t="s">
        <v>352</v>
      </c>
      <c r="G1262" t="s">
        <v>538</v>
      </c>
      <c r="H1262" s="3" t="s">
        <v>674</v>
      </c>
      <c r="J1262" s="4">
        <v>426.1</v>
      </c>
    </row>
    <row r="1263" spans="1:12" x14ac:dyDescent="0.2">
      <c r="A1263" t="s">
        <v>18</v>
      </c>
      <c r="B1263" t="s">
        <v>95</v>
      </c>
      <c r="C1263" t="s">
        <v>13</v>
      </c>
      <c r="D1263" t="s">
        <v>515</v>
      </c>
      <c r="E1263" t="s">
        <v>84</v>
      </c>
      <c r="F1263" t="s">
        <v>515</v>
      </c>
      <c r="G1263" t="s">
        <v>546</v>
      </c>
      <c r="H1263" s="3" t="s">
        <v>547</v>
      </c>
      <c r="J1263" s="4">
        <v>485</v>
      </c>
    </row>
    <row r="1264" spans="1:12" x14ac:dyDescent="0.2">
      <c r="A1264" t="s">
        <v>18</v>
      </c>
      <c r="B1264" t="s">
        <v>95</v>
      </c>
      <c r="C1264" t="s">
        <v>13</v>
      </c>
      <c r="D1264" t="s">
        <v>515</v>
      </c>
      <c r="E1264" t="s">
        <v>84</v>
      </c>
      <c r="F1264" t="s">
        <v>515</v>
      </c>
      <c r="G1264" t="s">
        <v>538</v>
      </c>
      <c r="H1264" s="3" t="s">
        <v>675</v>
      </c>
      <c r="J1264" s="4">
        <v>130</v>
      </c>
    </row>
    <row r="1265" spans="1:12" x14ac:dyDescent="0.2">
      <c r="A1265" t="s">
        <v>18</v>
      </c>
      <c r="B1265" t="s">
        <v>95</v>
      </c>
      <c r="C1265" t="s">
        <v>13</v>
      </c>
      <c r="D1265" t="s">
        <v>515</v>
      </c>
      <c r="E1265" t="s">
        <v>84</v>
      </c>
      <c r="F1265" t="s">
        <v>515</v>
      </c>
      <c r="G1265" t="s">
        <v>546</v>
      </c>
      <c r="H1265" s="3" t="s">
        <v>584</v>
      </c>
      <c r="J1265" s="4">
        <v>1000</v>
      </c>
    </row>
    <row r="1266" spans="1:12" x14ac:dyDescent="0.2">
      <c r="A1266" t="s">
        <v>18</v>
      </c>
      <c r="B1266" t="s">
        <v>95</v>
      </c>
      <c r="C1266" t="s">
        <v>13</v>
      </c>
      <c r="D1266" t="s">
        <v>676</v>
      </c>
      <c r="E1266" t="s">
        <v>84</v>
      </c>
      <c r="F1266" t="s">
        <v>676</v>
      </c>
      <c r="G1266" t="s">
        <v>580</v>
      </c>
      <c r="J1266" s="4">
        <v>150</v>
      </c>
      <c r="L1266" t="s">
        <v>583</v>
      </c>
    </row>
    <row r="1267" spans="1:12" x14ac:dyDescent="0.2">
      <c r="A1267" t="s">
        <v>18</v>
      </c>
      <c r="B1267" t="s">
        <v>95</v>
      </c>
      <c r="C1267" t="s">
        <v>13</v>
      </c>
      <c r="D1267" t="s">
        <v>90</v>
      </c>
      <c r="E1267" t="s">
        <v>84</v>
      </c>
      <c r="F1267" t="s">
        <v>90</v>
      </c>
      <c r="G1267" t="s">
        <v>580</v>
      </c>
      <c r="J1267" s="4">
        <v>300</v>
      </c>
      <c r="L1267" t="s">
        <v>499</v>
      </c>
    </row>
    <row r="1268" spans="1:12" x14ac:dyDescent="0.2">
      <c r="A1268" t="s">
        <v>27</v>
      </c>
      <c r="B1268" t="s">
        <v>95</v>
      </c>
      <c r="C1268" t="s">
        <v>13</v>
      </c>
      <c r="D1268" t="s">
        <v>90</v>
      </c>
      <c r="E1268" t="s">
        <v>84</v>
      </c>
      <c r="F1268" t="s">
        <v>90</v>
      </c>
      <c r="G1268" t="s">
        <v>538</v>
      </c>
      <c r="H1268" s="3" t="s">
        <v>677</v>
      </c>
      <c r="J1268" s="4">
        <v>1700</v>
      </c>
    </row>
    <row r="1269" spans="1:12" x14ac:dyDescent="0.2">
      <c r="A1269" t="s">
        <v>12</v>
      </c>
      <c r="B1269" t="s">
        <v>95</v>
      </c>
      <c r="C1269" t="s">
        <v>13</v>
      </c>
      <c r="D1269" t="s">
        <v>90</v>
      </c>
      <c r="E1269" t="s">
        <v>84</v>
      </c>
      <c r="F1269" t="s">
        <v>90</v>
      </c>
      <c r="G1269" t="s">
        <v>580</v>
      </c>
      <c r="J1269" s="4">
        <v>300</v>
      </c>
      <c r="L1269" t="s">
        <v>517</v>
      </c>
    </row>
    <row r="1270" spans="1:12" x14ac:dyDescent="0.2">
      <c r="A1270" t="s">
        <v>18</v>
      </c>
      <c r="B1270" t="s">
        <v>125</v>
      </c>
      <c r="C1270" t="s">
        <v>13</v>
      </c>
      <c r="D1270" t="s">
        <v>91</v>
      </c>
      <c r="E1270" t="s">
        <v>84</v>
      </c>
      <c r="F1270" t="s">
        <v>356</v>
      </c>
      <c r="G1270" t="s">
        <v>551</v>
      </c>
      <c r="J1270" s="4">
        <v>237.91</v>
      </c>
      <c r="L1270" t="s">
        <v>678</v>
      </c>
    </row>
    <row r="1271" spans="1:12" x14ac:dyDescent="0.2">
      <c r="A1271" t="s">
        <v>18</v>
      </c>
      <c r="B1271" t="s">
        <v>95</v>
      </c>
      <c r="C1271" t="s">
        <v>13</v>
      </c>
      <c r="D1271" t="s">
        <v>91</v>
      </c>
      <c r="E1271" t="s">
        <v>84</v>
      </c>
      <c r="F1271" t="s">
        <v>91</v>
      </c>
      <c r="G1271" t="s">
        <v>595</v>
      </c>
      <c r="J1271" s="4">
        <v>613.16999999999996</v>
      </c>
      <c r="L1271" t="s">
        <v>420</v>
      </c>
    </row>
    <row r="1272" spans="1:12" x14ac:dyDescent="0.2">
      <c r="A1272" t="s">
        <v>18</v>
      </c>
      <c r="B1272" t="s">
        <v>95</v>
      </c>
      <c r="C1272" t="s">
        <v>13</v>
      </c>
      <c r="D1272" t="s">
        <v>91</v>
      </c>
      <c r="E1272" t="s">
        <v>84</v>
      </c>
      <c r="F1272" t="s">
        <v>91</v>
      </c>
      <c r="G1272" t="s">
        <v>595</v>
      </c>
      <c r="J1272" s="4">
        <v>3265.46</v>
      </c>
      <c r="L1272" t="s">
        <v>396</v>
      </c>
    </row>
    <row r="1273" spans="1:12" x14ac:dyDescent="0.2">
      <c r="A1273" t="s">
        <v>12</v>
      </c>
      <c r="B1273" t="s">
        <v>95</v>
      </c>
      <c r="C1273" t="s">
        <v>13</v>
      </c>
      <c r="D1273" t="s">
        <v>91</v>
      </c>
      <c r="E1273" t="s">
        <v>84</v>
      </c>
      <c r="F1273" t="s">
        <v>91</v>
      </c>
      <c r="G1273" t="s">
        <v>580</v>
      </c>
      <c r="J1273" s="4">
        <v>63.55</v>
      </c>
      <c r="L1273" t="s">
        <v>517</v>
      </c>
    </row>
    <row r="1274" spans="1:12" x14ac:dyDescent="0.2">
      <c r="A1274" t="s">
        <v>18</v>
      </c>
      <c r="B1274" t="s">
        <v>95</v>
      </c>
      <c r="C1274" t="s">
        <v>13</v>
      </c>
      <c r="D1274" t="s">
        <v>356</v>
      </c>
      <c r="E1274" t="s">
        <v>84</v>
      </c>
      <c r="F1274" t="s">
        <v>356</v>
      </c>
      <c r="G1274" t="s">
        <v>580</v>
      </c>
      <c r="J1274" s="4">
        <v>120</v>
      </c>
      <c r="L1274" t="s">
        <v>583</v>
      </c>
    </row>
    <row r="1275" spans="1:12" x14ac:dyDescent="0.2">
      <c r="A1275" t="s">
        <v>18</v>
      </c>
      <c r="B1275" t="s">
        <v>95</v>
      </c>
      <c r="C1275" t="s">
        <v>13</v>
      </c>
      <c r="D1275" t="s">
        <v>356</v>
      </c>
      <c r="E1275" t="s">
        <v>84</v>
      </c>
      <c r="F1275" t="s">
        <v>356</v>
      </c>
      <c r="G1275" t="s">
        <v>570</v>
      </c>
      <c r="H1275" s="3" t="s">
        <v>679</v>
      </c>
      <c r="J1275" s="4">
        <v>195.08</v>
      </c>
    </row>
    <row r="1276" spans="1:12" x14ac:dyDescent="0.2">
      <c r="A1276" t="s">
        <v>18</v>
      </c>
      <c r="B1276" t="s">
        <v>95</v>
      </c>
      <c r="C1276" t="s">
        <v>13</v>
      </c>
      <c r="D1276" t="s">
        <v>356</v>
      </c>
      <c r="E1276" t="s">
        <v>84</v>
      </c>
      <c r="F1276" t="s">
        <v>356</v>
      </c>
      <c r="G1276" t="s">
        <v>580</v>
      </c>
      <c r="J1276" s="4">
        <v>1700</v>
      </c>
      <c r="L1276" t="s">
        <v>583</v>
      </c>
    </row>
    <row r="1277" spans="1:12" x14ac:dyDescent="0.2">
      <c r="A1277" t="s">
        <v>12</v>
      </c>
      <c r="B1277" t="s">
        <v>95</v>
      </c>
      <c r="C1277" t="s">
        <v>13</v>
      </c>
      <c r="D1277" t="s">
        <v>356</v>
      </c>
      <c r="E1277" t="s">
        <v>84</v>
      </c>
      <c r="F1277" t="s">
        <v>356</v>
      </c>
      <c r="G1277" t="s">
        <v>595</v>
      </c>
      <c r="J1277" s="4">
        <v>1438.61</v>
      </c>
      <c r="L1277" t="s">
        <v>596</v>
      </c>
    </row>
    <row r="1278" spans="1:12" x14ac:dyDescent="0.2">
      <c r="A1278" t="s">
        <v>12</v>
      </c>
      <c r="B1278" t="s">
        <v>95</v>
      </c>
      <c r="C1278" t="s">
        <v>13</v>
      </c>
      <c r="D1278" t="s">
        <v>92</v>
      </c>
      <c r="E1278" t="s">
        <v>84</v>
      </c>
      <c r="F1278" t="s">
        <v>92</v>
      </c>
      <c r="G1278" t="s">
        <v>580</v>
      </c>
      <c r="J1278" s="4">
        <v>220</v>
      </c>
      <c r="L1278" t="s">
        <v>583</v>
      </c>
    </row>
    <row r="1279" spans="1:12" x14ac:dyDescent="0.2">
      <c r="A1279" t="s">
        <v>18</v>
      </c>
      <c r="B1279" t="s">
        <v>95</v>
      </c>
      <c r="C1279" t="s">
        <v>13</v>
      </c>
      <c r="D1279" t="s">
        <v>357</v>
      </c>
      <c r="E1279" t="s">
        <v>84</v>
      </c>
      <c r="F1279" t="s">
        <v>357</v>
      </c>
      <c r="G1279" t="s">
        <v>580</v>
      </c>
      <c r="H1279" s="3" t="s">
        <v>680</v>
      </c>
      <c r="J1279" s="4">
        <v>3477.14</v>
      </c>
      <c r="L1279" t="s">
        <v>681</v>
      </c>
    </row>
    <row r="1280" spans="1:12" x14ac:dyDescent="0.2">
      <c r="A1280" t="s">
        <v>18</v>
      </c>
      <c r="B1280" t="s">
        <v>95</v>
      </c>
      <c r="C1280" t="s">
        <v>13</v>
      </c>
      <c r="D1280" t="s">
        <v>357</v>
      </c>
      <c r="E1280" t="s">
        <v>84</v>
      </c>
      <c r="F1280" t="s">
        <v>357</v>
      </c>
      <c r="G1280" t="s">
        <v>580</v>
      </c>
      <c r="H1280" s="3" t="s">
        <v>682</v>
      </c>
      <c r="J1280" s="4">
        <v>531.70000000000005</v>
      </c>
    </row>
    <row r="1281" spans="1:12" x14ac:dyDescent="0.2">
      <c r="A1281" t="s">
        <v>18</v>
      </c>
      <c r="B1281" t="s">
        <v>95</v>
      </c>
      <c r="C1281" t="s">
        <v>13</v>
      </c>
      <c r="D1281" t="s">
        <v>357</v>
      </c>
      <c r="E1281" t="s">
        <v>84</v>
      </c>
      <c r="F1281" t="s">
        <v>357</v>
      </c>
      <c r="G1281" t="s">
        <v>538</v>
      </c>
      <c r="H1281" s="3" t="s">
        <v>683</v>
      </c>
      <c r="J1281" s="4">
        <v>399.99</v>
      </c>
    </row>
    <row r="1282" spans="1:12" x14ac:dyDescent="0.2">
      <c r="A1282" t="s">
        <v>27</v>
      </c>
      <c r="B1282" t="s">
        <v>95</v>
      </c>
      <c r="C1282" t="s">
        <v>13</v>
      </c>
      <c r="D1282" t="s">
        <v>357</v>
      </c>
      <c r="E1282" t="s">
        <v>84</v>
      </c>
      <c r="F1282" t="s">
        <v>357</v>
      </c>
      <c r="G1282" t="s">
        <v>538</v>
      </c>
      <c r="H1282" s="3" t="s">
        <v>684</v>
      </c>
      <c r="J1282" s="4">
        <v>808.4</v>
      </c>
    </row>
    <row r="1283" spans="1:12" x14ac:dyDescent="0.2">
      <c r="A1283" t="s">
        <v>12</v>
      </c>
      <c r="B1283" t="s">
        <v>95</v>
      </c>
      <c r="C1283" t="s">
        <v>13</v>
      </c>
      <c r="D1283" t="s">
        <v>357</v>
      </c>
      <c r="E1283" t="s">
        <v>84</v>
      </c>
      <c r="F1283" t="s">
        <v>357</v>
      </c>
      <c r="G1283" t="s">
        <v>546</v>
      </c>
      <c r="H1283" s="3" t="s">
        <v>584</v>
      </c>
      <c r="J1283" s="4">
        <v>100</v>
      </c>
    </row>
    <row r="1284" spans="1:12" x14ac:dyDescent="0.2">
      <c r="A1284" t="s">
        <v>12</v>
      </c>
      <c r="B1284" t="s">
        <v>95</v>
      </c>
      <c r="C1284" t="s">
        <v>13</v>
      </c>
      <c r="D1284" t="s">
        <v>532</v>
      </c>
      <c r="E1284" t="s">
        <v>84</v>
      </c>
      <c r="F1284" t="s">
        <v>532</v>
      </c>
      <c r="G1284" t="s">
        <v>570</v>
      </c>
      <c r="H1284" s="3" t="s">
        <v>685</v>
      </c>
      <c r="J1284" s="4">
        <v>24</v>
      </c>
    </row>
    <row r="1285" spans="1:12" x14ac:dyDescent="0.2">
      <c r="A1285" t="s">
        <v>12</v>
      </c>
      <c r="B1285" t="s">
        <v>95</v>
      </c>
      <c r="C1285" t="s">
        <v>13</v>
      </c>
      <c r="D1285" t="s">
        <v>532</v>
      </c>
      <c r="E1285" t="s">
        <v>84</v>
      </c>
      <c r="F1285" t="s">
        <v>532</v>
      </c>
      <c r="G1285" t="s">
        <v>546</v>
      </c>
      <c r="H1285" s="3" t="s">
        <v>584</v>
      </c>
      <c r="J1285" s="4">
        <v>800</v>
      </c>
    </row>
    <row r="1286" spans="1:12" x14ac:dyDescent="0.2">
      <c r="A1286" t="s">
        <v>12</v>
      </c>
      <c r="B1286" t="s">
        <v>95</v>
      </c>
      <c r="C1286" t="s">
        <v>13</v>
      </c>
      <c r="D1286" t="s">
        <v>532</v>
      </c>
      <c r="E1286" t="s">
        <v>84</v>
      </c>
      <c r="F1286" t="s">
        <v>532</v>
      </c>
      <c r="G1286" t="s">
        <v>546</v>
      </c>
      <c r="H1286" s="3" t="s">
        <v>569</v>
      </c>
      <c r="J1286" s="4">
        <v>500</v>
      </c>
    </row>
    <row r="1287" spans="1:12" x14ac:dyDescent="0.2">
      <c r="A1287" t="s">
        <v>18</v>
      </c>
      <c r="B1287" t="s">
        <v>95</v>
      </c>
      <c r="C1287" t="s">
        <v>13</v>
      </c>
      <c r="D1287" t="s">
        <v>93</v>
      </c>
      <c r="E1287" t="s">
        <v>84</v>
      </c>
      <c r="F1287" t="s">
        <v>93</v>
      </c>
      <c r="G1287" t="s">
        <v>580</v>
      </c>
      <c r="H1287" s="3" t="s">
        <v>686</v>
      </c>
      <c r="J1287" s="4">
        <v>325.93</v>
      </c>
    </row>
    <row r="1288" spans="1:12" x14ac:dyDescent="0.2">
      <c r="A1288" t="s">
        <v>18</v>
      </c>
      <c r="B1288" t="s">
        <v>95</v>
      </c>
      <c r="C1288" t="s">
        <v>13</v>
      </c>
      <c r="D1288" t="s">
        <v>93</v>
      </c>
      <c r="E1288" t="s">
        <v>84</v>
      </c>
      <c r="F1288" t="s">
        <v>93</v>
      </c>
      <c r="G1288" t="s">
        <v>580</v>
      </c>
      <c r="H1288" s="3" t="s">
        <v>602</v>
      </c>
      <c r="J1288" s="4">
        <v>516</v>
      </c>
    </row>
    <row r="1289" spans="1:12" x14ac:dyDescent="0.2">
      <c r="A1289" t="s">
        <v>18</v>
      </c>
      <c r="B1289" t="s">
        <v>95</v>
      </c>
      <c r="C1289" t="s">
        <v>13</v>
      </c>
      <c r="D1289" t="s">
        <v>93</v>
      </c>
      <c r="E1289" t="s">
        <v>84</v>
      </c>
      <c r="F1289" t="s">
        <v>93</v>
      </c>
      <c r="G1289" t="s">
        <v>580</v>
      </c>
      <c r="H1289" s="3" t="s">
        <v>687</v>
      </c>
      <c r="J1289" s="4">
        <v>114.16</v>
      </c>
    </row>
    <row r="1290" spans="1:12" x14ac:dyDescent="0.2">
      <c r="A1290" t="s">
        <v>18</v>
      </c>
      <c r="B1290" t="s">
        <v>95</v>
      </c>
      <c r="C1290" t="s">
        <v>13</v>
      </c>
      <c r="D1290" t="s">
        <v>93</v>
      </c>
      <c r="E1290" t="s">
        <v>84</v>
      </c>
      <c r="F1290" t="s">
        <v>93</v>
      </c>
      <c r="G1290" t="s">
        <v>546</v>
      </c>
      <c r="H1290" s="3" t="s">
        <v>584</v>
      </c>
      <c r="J1290" s="4">
        <v>400</v>
      </c>
    </row>
    <row r="1291" spans="1:12" x14ac:dyDescent="0.2">
      <c r="A1291" t="s">
        <v>18</v>
      </c>
      <c r="B1291" t="s">
        <v>95</v>
      </c>
      <c r="C1291" t="s">
        <v>13</v>
      </c>
      <c r="D1291" t="s">
        <v>93</v>
      </c>
      <c r="E1291" t="s">
        <v>84</v>
      </c>
      <c r="F1291" t="s">
        <v>93</v>
      </c>
      <c r="G1291" t="s">
        <v>580</v>
      </c>
      <c r="H1291" s="3" t="s">
        <v>688</v>
      </c>
      <c r="J1291" s="4">
        <v>959.24</v>
      </c>
      <c r="L1291" t="s">
        <v>523</v>
      </c>
    </row>
    <row r="1292" spans="1:12" x14ac:dyDescent="0.2">
      <c r="A1292" t="s">
        <v>18</v>
      </c>
      <c r="B1292" t="s">
        <v>95</v>
      </c>
      <c r="C1292" t="s">
        <v>13</v>
      </c>
      <c r="D1292" t="s">
        <v>93</v>
      </c>
      <c r="E1292" t="s">
        <v>84</v>
      </c>
      <c r="F1292" t="s">
        <v>93</v>
      </c>
      <c r="G1292" t="s">
        <v>580</v>
      </c>
      <c r="H1292" s="3" t="s">
        <v>689</v>
      </c>
      <c r="J1292" s="4">
        <v>354.49</v>
      </c>
    </row>
    <row r="1293" spans="1:12" x14ac:dyDescent="0.2">
      <c r="A1293" t="s">
        <v>18</v>
      </c>
      <c r="B1293" t="s">
        <v>95</v>
      </c>
      <c r="C1293" t="s">
        <v>13</v>
      </c>
      <c r="D1293" t="s">
        <v>93</v>
      </c>
      <c r="E1293" t="s">
        <v>84</v>
      </c>
      <c r="F1293" t="s">
        <v>93</v>
      </c>
      <c r="G1293" t="s">
        <v>546</v>
      </c>
      <c r="H1293" s="3" t="s">
        <v>584</v>
      </c>
      <c r="J1293" s="4">
        <v>5000</v>
      </c>
    </row>
    <row r="1294" spans="1:12" x14ac:dyDescent="0.2">
      <c r="A1294" t="s">
        <v>18</v>
      </c>
      <c r="B1294" t="s">
        <v>95</v>
      </c>
      <c r="C1294" t="s">
        <v>13</v>
      </c>
      <c r="D1294" t="s">
        <v>358</v>
      </c>
      <c r="E1294" t="s">
        <v>84</v>
      </c>
      <c r="F1294" t="s">
        <v>358</v>
      </c>
      <c r="G1294" t="s">
        <v>580</v>
      </c>
      <c r="J1294" s="4">
        <v>250</v>
      </c>
      <c r="L1294" t="s">
        <v>499</v>
      </c>
    </row>
    <row r="1295" spans="1:12" x14ac:dyDescent="0.2">
      <c r="A1295" t="s">
        <v>12</v>
      </c>
      <c r="B1295" t="s">
        <v>95</v>
      </c>
      <c r="C1295" t="s">
        <v>13</v>
      </c>
      <c r="D1295" t="s">
        <v>359</v>
      </c>
      <c r="E1295" t="s">
        <v>84</v>
      </c>
      <c r="F1295" t="s">
        <v>359</v>
      </c>
      <c r="G1295" t="s">
        <v>570</v>
      </c>
      <c r="H1295" s="3" t="s">
        <v>679</v>
      </c>
      <c r="J1295" s="4">
        <v>19</v>
      </c>
    </row>
    <row r="1296" spans="1:12" x14ac:dyDescent="0.2">
      <c r="A1296" t="s">
        <v>18</v>
      </c>
      <c r="B1296" t="s">
        <v>95</v>
      </c>
      <c r="C1296" t="s">
        <v>13</v>
      </c>
      <c r="D1296" t="s">
        <v>359</v>
      </c>
      <c r="E1296" t="s">
        <v>84</v>
      </c>
      <c r="F1296" t="s">
        <v>359</v>
      </c>
      <c r="G1296" t="s">
        <v>538</v>
      </c>
      <c r="H1296" s="3" t="s">
        <v>690</v>
      </c>
      <c r="J1296" s="4">
        <v>87.98</v>
      </c>
    </row>
    <row r="1297" spans="1:12" x14ac:dyDescent="0.2">
      <c r="A1297" t="s">
        <v>27</v>
      </c>
      <c r="B1297" t="s">
        <v>95</v>
      </c>
      <c r="C1297" t="s">
        <v>13</v>
      </c>
      <c r="D1297" t="s">
        <v>534</v>
      </c>
      <c r="E1297" t="s">
        <v>84</v>
      </c>
      <c r="F1297" t="s">
        <v>359</v>
      </c>
      <c r="G1297" t="s">
        <v>600</v>
      </c>
      <c r="H1297" s="3" t="s">
        <v>601</v>
      </c>
      <c r="J1297" s="4">
        <v>250</v>
      </c>
    </row>
    <row r="1298" spans="1:12" x14ac:dyDescent="0.2">
      <c r="A1298" t="s">
        <v>18</v>
      </c>
      <c r="B1298" t="s">
        <v>95</v>
      </c>
      <c r="C1298" t="s">
        <v>13</v>
      </c>
      <c r="D1298" t="s">
        <v>534</v>
      </c>
      <c r="E1298" t="s">
        <v>84</v>
      </c>
      <c r="F1298" t="s">
        <v>534</v>
      </c>
      <c r="G1298" t="s">
        <v>580</v>
      </c>
      <c r="J1298" s="4">
        <v>650</v>
      </c>
      <c r="L1298" t="s">
        <v>499</v>
      </c>
    </row>
    <row r="1299" spans="1:12" x14ac:dyDescent="0.2">
      <c r="A1299" t="s">
        <v>18</v>
      </c>
      <c r="B1299" t="s">
        <v>95</v>
      </c>
      <c r="C1299" t="s">
        <v>13</v>
      </c>
      <c r="D1299" t="s">
        <v>534</v>
      </c>
      <c r="E1299" t="s">
        <v>84</v>
      </c>
      <c r="F1299" t="s">
        <v>534</v>
      </c>
      <c r="G1299" t="s">
        <v>546</v>
      </c>
      <c r="H1299" s="3" t="s">
        <v>584</v>
      </c>
      <c r="J1299" s="4">
        <v>800</v>
      </c>
    </row>
    <row r="1300" spans="1:12" x14ac:dyDescent="0.2">
      <c r="A1300" t="s">
        <v>18</v>
      </c>
      <c r="B1300" t="s">
        <v>95</v>
      </c>
      <c r="C1300" t="s">
        <v>13</v>
      </c>
      <c r="D1300" t="s">
        <v>534</v>
      </c>
      <c r="E1300" t="s">
        <v>84</v>
      </c>
      <c r="F1300" t="s">
        <v>534</v>
      </c>
      <c r="G1300" t="s">
        <v>546</v>
      </c>
      <c r="H1300" s="3" t="s">
        <v>547</v>
      </c>
      <c r="J1300" s="4">
        <v>500</v>
      </c>
    </row>
    <row r="1301" spans="1:12" x14ac:dyDescent="0.2">
      <c r="A1301" t="s">
        <v>18</v>
      </c>
      <c r="B1301" t="s">
        <v>125</v>
      </c>
      <c r="C1301" t="s">
        <v>13</v>
      </c>
      <c r="D1301" t="s">
        <v>691</v>
      </c>
      <c r="E1301" t="s">
        <v>84</v>
      </c>
      <c r="F1301" t="s">
        <v>352</v>
      </c>
      <c r="G1301" t="s">
        <v>580</v>
      </c>
      <c r="H1301" s="3" t="s">
        <v>692</v>
      </c>
      <c r="J1301" s="4">
        <v>1454</v>
      </c>
      <c r="K1301" t="s">
        <v>341</v>
      </c>
      <c r="L1301" t="s">
        <v>342</v>
      </c>
    </row>
    <row r="1302" spans="1:12" x14ac:dyDescent="0.2">
      <c r="A1302" t="s">
        <v>18</v>
      </c>
      <c r="B1302" t="s">
        <v>95</v>
      </c>
      <c r="C1302" t="s">
        <v>13</v>
      </c>
      <c r="D1302" t="s">
        <v>14</v>
      </c>
      <c r="E1302" t="s">
        <v>15</v>
      </c>
      <c r="F1302" t="s">
        <v>14</v>
      </c>
      <c r="G1302" t="s">
        <v>693</v>
      </c>
      <c r="J1302" s="4">
        <v>3.45</v>
      </c>
    </row>
    <row r="1303" spans="1:12" x14ac:dyDescent="0.2">
      <c r="A1303" t="s">
        <v>18</v>
      </c>
      <c r="B1303" t="s">
        <v>95</v>
      </c>
      <c r="C1303" t="s">
        <v>13</v>
      </c>
      <c r="D1303" t="s">
        <v>14</v>
      </c>
      <c r="E1303" t="s">
        <v>15</v>
      </c>
      <c r="F1303" t="s">
        <v>14</v>
      </c>
      <c r="G1303" t="s">
        <v>693</v>
      </c>
      <c r="J1303" s="4">
        <v>3.45</v>
      </c>
    </row>
    <row r="1304" spans="1:12" x14ac:dyDescent="0.2">
      <c r="A1304" t="s">
        <v>18</v>
      </c>
      <c r="B1304" t="s">
        <v>95</v>
      </c>
      <c r="C1304" t="s">
        <v>13</v>
      </c>
      <c r="D1304" t="s">
        <v>114</v>
      </c>
      <c r="E1304" t="s">
        <v>15</v>
      </c>
      <c r="F1304" t="s">
        <v>114</v>
      </c>
      <c r="G1304" t="s">
        <v>693</v>
      </c>
      <c r="J1304" s="4">
        <v>3.45</v>
      </c>
    </row>
    <row r="1305" spans="1:12" x14ac:dyDescent="0.2">
      <c r="A1305" t="s">
        <v>18</v>
      </c>
      <c r="B1305" t="s">
        <v>95</v>
      </c>
      <c r="C1305" t="s">
        <v>13</v>
      </c>
      <c r="D1305" t="s">
        <v>21</v>
      </c>
      <c r="E1305" t="s">
        <v>15</v>
      </c>
      <c r="F1305" t="s">
        <v>21</v>
      </c>
      <c r="G1305" t="s">
        <v>693</v>
      </c>
      <c r="J1305" s="4">
        <v>3.45</v>
      </c>
    </row>
    <row r="1306" spans="1:12" x14ac:dyDescent="0.2">
      <c r="A1306" t="s">
        <v>18</v>
      </c>
      <c r="B1306" t="s">
        <v>95</v>
      </c>
      <c r="C1306" t="s">
        <v>13</v>
      </c>
      <c r="D1306" t="s">
        <v>21</v>
      </c>
      <c r="E1306" t="s">
        <v>15</v>
      </c>
      <c r="F1306" t="s">
        <v>21</v>
      </c>
      <c r="G1306" t="s">
        <v>693</v>
      </c>
      <c r="J1306" s="4">
        <v>3.45</v>
      </c>
    </row>
    <row r="1307" spans="1:12" x14ac:dyDescent="0.2">
      <c r="A1307" t="s">
        <v>18</v>
      </c>
      <c r="B1307" t="s">
        <v>95</v>
      </c>
      <c r="C1307" t="s">
        <v>13</v>
      </c>
      <c r="D1307" t="s">
        <v>21</v>
      </c>
      <c r="E1307" t="s">
        <v>15</v>
      </c>
      <c r="F1307" t="s">
        <v>21</v>
      </c>
      <c r="G1307" t="s">
        <v>693</v>
      </c>
      <c r="J1307" s="4">
        <v>3.45</v>
      </c>
    </row>
    <row r="1308" spans="1:12" x14ac:dyDescent="0.2">
      <c r="A1308" t="s">
        <v>18</v>
      </c>
      <c r="B1308" t="s">
        <v>95</v>
      </c>
      <c r="C1308" t="s">
        <v>13</v>
      </c>
      <c r="D1308" t="s">
        <v>21</v>
      </c>
      <c r="E1308" t="s">
        <v>15</v>
      </c>
      <c r="F1308" t="s">
        <v>21</v>
      </c>
      <c r="G1308" t="s">
        <v>693</v>
      </c>
      <c r="J1308" s="4">
        <v>3.45</v>
      </c>
    </row>
    <row r="1309" spans="1:12" x14ac:dyDescent="0.2">
      <c r="A1309" t="s">
        <v>18</v>
      </c>
      <c r="B1309" t="s">
        <v>95</v>
      </c>
      <c r="C1309" t="s">
        <v>13</v>
      </c>
      <c r="D1309" t="s">
        <v>21</v>
      </c>
      <c r="E1309" t="s">
        <v>15</v>
      </c>
      <c r="F1309" t="s">
        <v>21</v>
      </c>
      <c r="G1309" t="s">
        <v>693</v>
      </c>
      <c r="J1309" s="4">
        <v>3.45</v>
      </c>
    </row>
    <row r="1310" spans="1:12" x14ac:dyDescent="0.2">
      <c r="A1310" t="s">
        <v>18</v>
      </c>
      <c r="B1310" t="s">
        <v>95</v>
      </c>
      <c r="C1310" t="s">
        <v>13</v>
      </c>
      <c r="D1310" t="s">
        <v>142</v>
      </c>
      <c r="E1310" t="s">
        <v>15</v>
      </c>
      <c r="F1310" t="s">
        <v>142</v>
      </c>
      <c r="G1310" t="s">
        <v>693</v>
      </c>
      <c r="J1310" s="4">
        <v>3.45</v>
      </c>
    </row>
    <row r="1311" spans="1:12" x14ac:dyDescent="0.2">
      <c r="A1311" t="s">
        <v>18</v>
      </c>
      <c r="B1311" t="s">
        <v>95</v>
      </c>
      <c r="C1311" t="s">
        <v>13</v>
      </c>
      <c r="D1311" t="s">
        <v>142</v>
      </c>
      <c r="E1311" t="s">
        <v>15</v>
      </c>
      <c r="F1311" t="s">
        <v>142</v>
      </c>
      <c r="G1311" t="s">
        <v>693</v>
      </c>
      <c r="J1311" s="4">
        <v>3.45</v>
      </c>
    </row>
    <row r="1312" spans="1:12" x14ac:dyDescent="0.2">
      <c r="A1312" t="s">
        <v>18</v>
      </c>
      <c r="B1312" t="s">
        <v>95</v>
      </c>
      <c r="C1312" t="s">
        <v>13</v>
      </c>
      <c r="D1312" t="s">
        <v>142</v>
      </c>
      <c r="E1312" t="s">
        <v>15</v>
      </c>
      <c r="F1312" t="s">
        <v>142</v>
      </c>
      <c r="G1312" t="s">
        <v>693</v>
      </c>
      <c r="J1312" s="4">
        <v>3.45</v>
      </c>
    </row>
    <row r="1313" spans="1:10" x14ac:dyDescent="0.2">
      <c r="A1313" t="s">
        <v>18</v>
      </c>
      <c r="B1313" t="s">
        <v>95</v>
      </c>
      <c r="C1313" t="s">
        <v>13</v>
      </c>
      <c r="D1313" t="s">
        <v>24</v>
      </c>
      <c r="E1313" t="s">
        <v>15</v>
      </c>
      <c r="F1313" t="s">
        <v>24</v>
      </c>
      <c r="G1313" t="s">
        <v>693</v>
      </c>
      <c r="J1313" s="4">
        <v>3.45</v>
      </c>
    </row>
    <row r="1314" spans="1:10" x14ac:dyDescent="0.2">
      <c r="A1314" t="s">
        <v>18</v>
      </c>
      <c r="B1314" t="s">
        <v>95</v>
      </c>
      <c r="C1314" t="s">
        <v>13</v>
      </c>
      <c r="D1314" t="s">
        <v>24</v>
      </c>
      <c r="E1314" t="s">
        <v>15</v>
      </c>
      <c r="F1314" t="s">
        <v>24</v>
      </c>
      <c r="G1314" t="s">
        <v>693</v>
      </c>
      <c r="J1314" s="4">
        <v>3.45</v>
      </c>
    </row>
    <row r="1315" spans="1:10" x14ac:dyDescent="0.2">
      <c r="A1315" t="s">
        <v>18</v>
      </c>
      <c r="B1315" t="s">
        <v>95</v>
      </c>
      <c r="C1315" t="s">
        <v>13</v>
      </c>
      <c r="D1315" t="s">
        <v>24</v>
      </c>
      <c r="E1315" t="s">
        <v>15</v>
      </c>
      <c r="F1315" t="s">
        <v>24</v>
      </c>
      <c r="G1315" t="s">
        <v>693</v>
      </c>
      <c r="J1315" s="4">
        <v>3.45</v>
      </c>
    </row>
    <row r="1316" spans="1:10" x14ac:dyDescent="0.2">
      <c r="A1316" t="s">
        <v>18</v>
      </c>
      <c r="B1316" t="s">
        <v>95</v>
      </c>
      <c r="C1316" t="s">
        <v>13</v>
      </c>
      <c r="D1316" t="s">
        <v>167</v>
      </c>
      <c r="E1316" t="s">
        <v>15</v>
      </c>
      <c r="F1316" t="s">
        <v>167</v>
      </c>
      <c r="G1316" t="s">
        <v>693</v>
      </c>
      <c r="J1316" s="4">
        <v>3.45</v>
      </c>
    </row>
    <row r="1317" spans="1:10" x14ac:dyDescent="0.2">
      <c r="A1317" t="s">
        <v>27</v>
      </c>
      <c r="B1317" t="s">
        <v>95</v>
      </c>
      <c r="C1317" t="s">
        <v>13</v>
      </c>
      <c r="D1317" t="s">
        <v>28</v>
      </c>
      <c r="E1317" t="s">
        <v>15</v>
      </c>
      <c r="F1317" t="s">
        <v>28</v>
      </c>
      <c r="G1317" t="s">
        <v>693</v>
      </c>
      <c r="H1317" s="3" t="s">
        <v>694</v>
      </c>
      <c r="J1317" s="4">
        <v>168.5</v>
      </c>
    </row>
    <row r="1318" spans="1:10" x14ac:dyDescent="0.2">
      <c r="A1318" t="s">
        <v>18</v>
      </c>
      <c r="B1318" t="s">
        <v>95</v>
      </c>
      <c r="C1318" t="s">
        <v>13</v>
      </c>
      <c r="D1318" t="s">
        <v>191</v>
      </c>
      <c r="E1318" t="s">
        <v>15</v>
      </c>
      <c r="F1318" t="s">
        <v>191</v>
      </c>
      <c r="G1318" t="s">
        <v>693</v>
      </c>
      <c r="H1318" s="3" t="s">
        <v>695</v>
      </c>
      <c r="J1318" s="4">
        <v>3.45</v>
      </c>
    </row>
    <row r="1319" spans="1:10" x14ac:dyDescent="0.2">
      <c r="A1319" t="s">
        <v>18</v>
      </c>
      <c r="B1319" t="s">
        <v>95</v>
      </c>
      <c r="C1319" t="s">
        <v>13</v>
      </c>
      <c r="D1319" t="s">
        <v>190</v>
      </c>
      <c r="E1319" t="s">
        <v>15</v>
      </c>
      <c r="F1319" t="s">
        <v>190</v>
      </c>
      <c r="G1319" t="s">
        <v>693</v>
      </c>
      <c r="H1319" s="3" t="s">
        <v>695</v>
      </c>
      <c r="J1319" s="4">
        <v>3.45</v>
      </c>
    </row>
    <row r="1320" spans="1:10" x14ac:dyDescent="0.2">
      <c r="A1320" t="s">
        <v>18</v>
      </c>
      <c r="B1320" t="s">
        <v>95</v>
      </c>
      <c r="C1320" t="s">
        <v>13</v>
      </c>
      <c r="D1320" t="s">
        <v>190</v>
      </c>
      <c r="E1320" t="s">
        <v>15</v>
      </c>
      <c r="F1320" t="s">
        <v>190</v>
      </c>
      <c r="G1320" t="s">
        <v>693</v>
      </c>
      <c r="H1320" s="3" t="s">
        <v>696</v>
      </c>
      <c r="J1320" s="4">
        <v>3.45</v>
      </c>
    </row>
    <row r="1321" spans="1:10" x14ac:dyDescent="0.2">
      <c r="A1321" t="s">
        <v>18</v>
      </c>
      <c r="B1321" t="s">
        <v>95</v>
      </c>
      <c r="C1321" t="s">
        <v>13</v>
      </c>
      <c r="D1321" t="s">
        <v>190</v>
      </c>
      <c r="E1321" t="s">
        <v>15</v>
      </c>
      <c r="F1321" t="s">
        <v>190</v>
      </c>
      <c r="G1321" t="s">
        <v>693</v>
      </c>
      <c r="H1321" s="3" t="s">
        <v>696</v>
      </c>
      <c r="J1321" s="4">
        <v>3.45</v>
      </c>
    </row>
    <row r="1322" spans="1:10" x14ac:dyDescent="0.2">
      <c r="A1322" t="s">
        <v>12</v>
      </c>
      <c r="B1322" t="s">
        <v>95</v>
      </c>
      <c r="C1322" t="s">
        <v>13</v>
      </c>
      <c r="D1322" t="s">
        <v>38</v>
      </c>
      <c r="E1322" t="s">
        <v>15</v>
      </c>
      <c r="F1322" t="s">
        <v>38</v>
      </c>
      <c r="G1322" t="s">
        <v>693</v>
      </c>
      <c r="H1322" s="3" t="s">
        <v>694</v>
      </c>
      <c r="J1322" s="4">
        <v>75</v>
      </c>
    </row>
    <row r="1323" spans="1:10" x14ac:dyDescent="0.2">
      <c r="A1323" t="s">
        <v>18</v>
      </c>
      <c r="B1323" t="s">
        <v>95</v>
      </c>
      <c r="C1323" t="s">
        <v>13</v>
      </c>
      <c r="D1323" t="s">
        <v>38</v>
      </c>
      <c r="E1323" t="s">
        <v>15</v>
      </c>
      <c r="F1323" t="s">
        <v>38</v>
      </c>
      <c r="G1323" t="s">
        <v>693</v>
      </c>
      <c r="H1323" s="3" t="s">
        <v>695</v>
      </c>
      <c r="J1323" s="4">
        <v>3.45</v>
      </c>
    </row>
    <row r="1324" spans="1:10" x14ac:dyDescent="0.2">
      <c r="A1324" t="s">
        <v>18</v>
      </c>
      <c r="B1324" t="s">
        <v>95</v>
      </c>
      <c r="C1324" t="s">
        <v>13</v>
      </c>
      <c r="D1324" t="s">
        <v>38</v>
      </c>
      <c r="E1324" t="s">
        <v>42</v>
      </c>
      <c r="F1324" t="s">
        <v>38</v>
      </c>
      <c r="G1324" t="s">
        <v>693</v>
      </c>
      <c r="J1324" s="4">
        <v>3.45</v>
      </c>
    </row>
    <row r="1325" spans="1:10" x14ac:dyDescent="0.2">
      <c r="A1325" t="s">
        <v>18</v>
      </c>
      <c r="B1325" t="s">
        <v>95</v>
      </c>
      <c r="C1325" t="s">
        <v>13</v>
      </c>
      <c r="D1325" t="s">
        <v>127</v>
      </c>
      <c r="E1325" t="s">
        <v>42</v>
      </c>
      <c r="F1325" t="s">
        <v>127</v>
      </c>
      <c r="G1325" t="s">
        <v>693</v>
      </c>
      <c r="H1325" s="3" t="s">
        <v>695</v>
      </c>
      <c r="J1325" s="4">
        <v>3.45</v>
      </c>
    </row>
    <row r="1326" spans="1:10" x14ac:dyDescent="0.2">
      <c r="A1326" t="s">
        <v>215</v>
      </c>
      <c r="B1326" t="s">
        <v>95</v>
      </c>
      <c r="C1326" t="s">
        <v>13</v>
      </c>
      <c r="D1326" t="s">
        <v>216</v>
      </c>
      <c r="E1326" t="s">
        <v>42</v>
      </c>
      <c r="F1326" t="s">
        <v>216</v>
      </c>
      <c r="G1326" t="s">
        <v>693</v>
      </c>
      <c r="H1326" s="3" t="s">
        <v>697</v>
      </c>
      <c r="J1326" s="4">
        <v>0.99</v>
      </c>
    </row>
    <row r="1327" spans="1:10" x14ac:dyDescent="0.2">
      <c r="A1327" t="s">
        <v>18</v>
      </c>
      <c r="B1327" t="s">
        <v>95</v>
      </c>
      <c r="C1327" t="s">
        <v>13</v>
      </c>
      <c r="D1327" t="s">
        <v>52</v>
      </c>
      <c r="E1327" t="s">
        <v>42</v>
      </c>
      <c r="F1327" t="s">
        <v>52</v>
      </c>
      <c r="G1327" t="s">
        <v>693</v>
      </c>
      <c r="H1327" s="3" t="s">
        <v>695</v>
      </c>
      <c r="J1327" s="4">
        <v>3.45</v>
      </c>
    </row>
    <row r="1328" spans="1:10" x14ac:dyDescent="0.2">
      <c r="A1328" t="s">
        <v>18</v>
      </c>
      <c r="B1328" t="s">
        <v>95</v>
      </c>
      <c r="C1328" t="s">
        <v>13</v>
      </c>
      <c r="D1328" t="s">
        <v>52</v>
      </c>
      <c r="E1328" t="s">
        <v>42</v>
      </c>
      <c r="F1328" t="s">
        <v>52</v>
      </c>
      <c r="G1328" t="s">
        <v>693</v>
      </c>
      <c r="H1328" s="3" t="s">
        <v>695</v>
      </c>
      <c r="J1328" s="4">
        <v>3.45</v>
      </c>
    </row>
    <row r="1329" spans="1:12" x14ac:dyDescent="0.2">
      <c r="A1329" t="s">
        <v>18</v>
      </c>
      <c r="B1329" t="s">
        <v>95</v>
      </c>
      <c r="C1329" t="s">
        <v>13</v>
      </c>
      <c r="D1329" t="s">
        <v>52</v>
      </c>
      <c r="E1329" t="s">
        <v>42</v>
      </c>
      <c r="F1329" t="s">
        <v>52</v>
      </c>
      <c r="G1329" t="s">
        <v>693</v>
      </c>
      <c r="H1329" s="3" t="s">
        <v>696</v>
      </c>
      <c r="J1329" s="4">
        <v>3.45</v>
      </c>
    </row>
    <row r="1330" spans="1:12" x14ac:dyDescent="0.2">
      <c r="A1330" t="s">
        <v>18</v>
      </c>
      <c r="B1330" t="s">
        <v>95</v>
      </c>
      <c r="C1330" t="s">
        <v>13</v>
      </c>
      <c r="D1330" t="s">
        <v>52</v>
      </c>
      <c r="E1330" t="s">
        <v>42</v>
      </c>
      <c r="F1330" t="s">
        <v>52</v>
      </c>
      <c r="G1330" t="s">
        <v>693</v>
      </c>
      <c r="H1330" s="3" t="s">
        <v>696</v>
      </c>
      <c r="J1330" s="4">
        <v>3.45</v>
      </c>
    </row>
    <row r="1331" spans="1:12" x14ac:dyDescent="0.2">
      <c r="A1331" t="s">
        <v>18</v>
      </c>
      <c r="B1331" t="s">
        <v>95</v>
      </c>
      <c r="C1331" t="s">
        <v>13</v>
      </c>
      <c r="D1331" t="s">
        <v>52</v>
      </c>
      <c r="E1331" t="s">
        <v>42</v>
      </c>
      <c r="F1331" t="s">
        <v>52</v>
      </c>
      <c r="G1331" t="s">
        <v>693</v>
      </c>
      <c r="H1331" s="3" t="s">
        <v>696</v>
      </c>
      <c r="J1331" s="4">
        <v>3.45</v>
      </c>
    </row>
    <row r="1332" spans="1:12" x14ac:dyDescent="0.2">
      <c r="A1332" t="s">
        <v>215</v>
      </c>
      <c r="B1332" t="s">
        <v>222</v>
      </c>
      <c r="C1332" t="s">
        <v>13</v>
      </c>
      <c r="D1332" t="s">
        <v>43</v>
      </c>
      <c r="E1332" t="s">
        <v>42</v>
      </c>
      <c r="F1332" t="s">
        <v>43</v>
      </c>
      <c r="G1332" t="s">
        <v>693</v>
      </c>
      <c r="H1332" s="3" t="s">
        <v>698</v>
      </c>
      <c r="J1332" s="4">
        <v>0.99</v>
      </c>
      <c r="K1332" t="s">
        <v>224</v>
      </c>
      <c r="L1332" t="s">
        <v>225</v>
      </c>
    </row>
    <row r="1333" spans="1:12" x14ac:dyDescent="0.2">
      <c r="A1333" t="s">
        <v>18</v>
      </c>
      <c r="B1333" t="s">
        <v>95</v>
      </c>
      <c r="C1333" t="s">
        <v>13</v>
      </c>
      <c r="D1333" t="s">
        <v>44</v>
      </c>
      <c r="E1333" t="s">
        <v>42</v>
      </c>
      <c r="F1333" t="s">
        <v>44</v>
      </c>
      <c r="G1333" t="s">
        <v>693</v>
      </c>
      <c r="H1333" s="3" t="s">
        <v>696</v>
      </c>
      <c r="J1333" s="4">
        <v>3.45</v>
      </c>
    </row>
    <row r="1334" spans="1:12" x14ac:dyDescent="0.2">
      <c r="A1334" t="s">
        <v>18</v>
      </c>
      <c r="B1334" t="s">
        <v>95</v>
      </c>
      <c r="C1334" t="s">
        <v>13</v>
      </c>
      <c r="D1334" t="s">
        <v>44</v>
      </c>
      <c r="E1334" t="s">
        <v>42</v>
      </c>
      <c r="F1334" t="s">
        <v>44</v>
      </c>
      <c r="G1334" t="s">
        <v>693</v>
      </c>
      <c r="H1334" s="3" t="s">
        <v>696</v>
      </c>
      <c r="J1334" s="4">
        <v>3.45</v>
      </c>
    </row>
    <row r="1335" spans="1:12" x14ac:dyDescent="0.2">
      <c r="A1335" t="s">
        <v>18</v>
      </c>
      <c r="B1335" t="s">
        <v>95</v>
      </c>
      <c r="C1335" t="s">
        <v>13</v>
      </c>
      <c r="D1335" t="s">
        <v>44</v>
      </c>
      <c r="E1335" t="s">
        <v>42</v>
      </c>
      <c r="F1335" t="s">
        <v>44</v>
      </c>
      <c r="G1335" t="s">
        <v>693</v>
      </c>
      <c r="H1335" s="3" t="s">
        <v>696</v>
      </c>
      <c r="J1335" s="4">
        <v>3.45</v>
      </c>
    </row>
    <row r="1336" spans="1:12" x14ac:dyDescent="0.2">
      <c r="A1336" t="s">
        <v>18</v>
      </c>
      <c r="B1336" t="s">
        <v>95</v>
      </c>
      <c r="C1336" t="s">
        <v>13</v>
      </c>
      <c r="D1336" t="s">
        <v>231</v>
      </c>
      <c r="E1336" t="s">
        <v>42</v>
      </c>
      <c r="F1336" t="s">
        <v>231</v>
      </c>
      <c r="G1336" t="s">
        <v>693</v>
      </c>
      <c r="H1336" s="3" t="s">
        <v>696</v>
      </c>
      <c r="J1336" s="4">
        <v>3.45</v>
      </c>
    </row>
    <row r="1337" spans="1:12" x14ac:dyDescent="0.2">
      <c r="A1337" t="s">
        <v>18</v>
      </c>
      <c r="B1337" t="s">
        <v>95</v>
      </c>
      <c r="C1337" t="s">
        <v>13</v>
      </c>
      <c r="D1337" t="s">
        <v>231</v>
      </c>
      <c r="E1337" t="s">
        <v>42</v>
      </c>
      <c r="F1337" t="s">
        <v>231</v>
      </c>
      <c r="G1337" t="s">
        <v>693</v>
      </c>
      <c r="H1337" s="3" t="s">
        <v>696</v>
      </c>
      <c r="J1337" s="4">
        <v>3.45</v>
      </c>
    </row>
    <row r="1338" spans="1:12" x14ac:dyDescent="0.2">
      <c r="A1338" t="s">
        <v>18</v>
      </c>
      <c r="B1338" t="s">
        <v>95</v>
      </c>
      <c r="C1338" t="s">
        <v>13</v>
      </c>
      <c r="D1338" t="s">
        <v>47</v>
      </c>
      <c r="E1338" t="s">
        <v>42</v>
      </c>
      <c r="F1338" t="s">
        <v>47</v>
      </c>
      <c r="G1338" t="s">
        <v>693</v>
      </c>
      <c r="H1338" s="3" t="s">
        <v>695</v>
      </c>
      <c r="J1338" s="4">
        <v>3.45</v>
      </c>
    </row>
    <row r="1339" spans="1:12" x14ac:dyDescent="0.2">
      <c r="A1339" t="s">
        <v>18</v>
      </c>
      <c r="B1339" t="s">
        <v>95</v>
      </c>
      <c r="C1339" t="s">
        <v>13</v>
      </c>
      <c r="D1339" t="s">
        <v>46</v>
      </c>
      <c r="E1339" t="s">
        <v>42</v>
      </c>
      <c r="F1339" t="s">
        <v>46</v>
      </c>
      <c r="G1339" t="s">
        <v>693</v>
      </c>
      <c r="H1339" s="3" t="s">
        <v>696</v>
      </c>
      <c r="J1339" s="4">
        <v>3.45</v>
      </c>
    </row>
    <row r="1340" spans="1:12" x14ac:dyDescent="0.2">
      <c r="A1340" t="s">
        <v>27</v>
      </c>
      <c r="B1340" t="s">
        <v>95</v>
      </c>
      <c r="C1340" t="s">
        <v>13</v>
      </c>
      <c r="D1340" t="s">
        <v>54</v>
      </c>
      <c r="E1340" t="s">
        <v>42</v>
      </c>
      <c r="F1340" t="s">
        <v>54</v>
      </c>
      <c r="G1340" t="s">
        <v>693</v>
      </c>
      <c r="H1340" s="3" t="s">
        <v>694</v>
      </c>
      <c r="J1340" s="4">
        <v>168.5</v>
      </c>
    </row>
    <row r="1341" spans="1:12" x14ac:dyDescent="0.2">
      <c r="A1341" t="s">
        <v>215</v>
      </c>
      <c r="B1341" t="s">
        <v>200</v>
      </c>
      <c r="C1341" t="s">
        <v>13</v>
      </c>
      <c r="D1341" t="s">
        <v>54</v>
      </c>
      <c r="E1341" t="s">
        <v>64</v>
      </c>
      <c r="F1341" t="s">
        <v>54</v>
      </c>
      <c r="G1341" t="s">
        <v>693</v>
      </c>
      <c r="H1341" s="3" t="s">
        <v>699</v>
      </c>
      <c r="J1341" s="4">
        <v>0.99</v>
      </c>
      <c r="K1341" t="s">
        <v>146</v>
      </c>
      <c r="L1341" t="s">
        <v>147</v>
      </c>
    </row>
    <row r="1342" spans="1:12" x14ac:dyDescent="0.2">
      <c r="A1342" t="s">
        <v>18</v>
      </c>
      <c r="B1342" t="s">
        <v>95</v>
      </c>
      <c r="C1342" t="s">
        <v>13</v>
      </c>
      <c r="D1342" t="s">
        <v>62</v>
      </c>
      <c r="E1342" t="s">
        <v>42</v>
      </c>
      <c r="F1342" t="s">
        <v>62</v>
      </c>
      <c r="G1342" t="s">
        <v>693</v>
      </c>
      <c r="H1342" s="3" t="s">
        <v>696</v>
      </c>
      <c r="J1342" s="4">
        <v>3.45</v>
      </c>
    </row>
    <row r="1343" spans="1:12" x14ac:dyDescent="0.2">
      <c r="A1343" t="s">
        <v>18</v>
      </c>
      <c r="B1343" t="s">
        <v>95</v>
      </c>
      <c r="C1343" t="s">
        <v>13</v>
      </c>
      <c r="D1343" t="s">
        <v>62</v>
      </c>
      <c r="E1343" t="s">
        <v>42</v>
      </c>
      <c r="F1343" t="s">
        <v>62</v>
      </c>
      <c r="G1343" t="s">
        <v>693</v>
      </c>
      <c r="H1343" s="3" t="s">
        <v>696</v>
      </c>
      <c r="J1343" s="4">
        <v>3.45</v>
      </c>
    </row>
    <row r="1344" spans="1:12" x14ac:dyDescent="0.2">
      <c r="A1344" t="s">
        <v>18</v>
      </c>
      <c r="B1344" t="s">
        <v>95</v>
      </c>
      <c r="C1344" t="s">
        <v>13</v>
      </c>
      <c r="D1344" t="s">
        <v>256</v>
      </c>
      <c r="E1344" t="s">
        <v>42</v>
      </c>
      <c r="F1344" t="s">
        <v>256</v>
      </c>
      <c r="G1344" t="s">
        <v>693</v>
      </c>
      <c r="H1344" s="3" t="s">
        <v>696</v>
      </c>
      <c r="J1344" s="4">
        <v>3.45</v>
      </c>
    </row>
    <row r="1345" spans="1:12" x14ac:dyDescent="0.2">
      <c r="A1345" t="s">
        <v>12</v>
      </c>
      <c r="B1345" t="s">
        <v>95</v>
      </c>
      <c r="C1345" t="s">
        <v>13</v>
      </c>
      <c r="D1345" t="s">
        <v>256</v>
      </c>
      <c r="E1345" t="s">
        <v>42</v>
      </c>
      <c r="F1345" t="s">
        <v>256</v>
      </c>
      <c r="G1345" t="s">
        <v>693</v>
      </c>
      <c r="H1345" s="3" t="s">
        <v>700</v>
      </c>
      <c r="J1345" s="4">
        <v>8.1199999999999992</v>
      </c>
    </row>
    <row r="1346" spans="1:12" x14ac:dyDescent="0.2">
      <c r="A1346" t="s">
        <v>12</v>
      </c>
      <c r="B1346" t="s">
        <v>95</v>
      </c>
      <c r="C1346" t="s">
        <v>13</v>
      </c>
      <c r="D1346" t="s">
        <v>256</v>
      </c>
      <c r="E1346" t="s">
        <v>42</v>
      </c>
      <c r="F1346" t="s">
        <v>265</v>
      </c>
      <c r="G1346" t="s">
        <v>693</v>
      </c>
      <c r="H1346" s="3" t="s">
        <v>700</v>
      </c>
      <c r="J1346" s="4">
        <v>66.88</v>
      </c>
    </row>
    <row r="1347" spans="1:12" x14ac:dyDescent="0.2">
      <c r="A1347" t="s">
        <v>215</v>
      </c>
      <c r="B1347" t="s">
        <v>125</v>
      </c>
      <c r="C1347" t="s">
        <v>13</v>
      </c>
      <c r="D1347" t="s">
        <v>256</v>
      </c>
      <c r="E1347" t="s">
        <v>42</v>
      </c>
      <c r="F1347" t="s">
        <v>256</v>
      </c>
      <c r="G1347" t="s">
        <v>693</v>
      </c>
      <c r="H1347" s="3" t="s">
        <v>701</v>
      </c>
      <c r="J1347" s="4">
        <v>0.99</v>
      </c>
      <c r="K1347" t="s">
        <v>262</v>
      </c>
      <c r="L1347" t="s">
        <v>147</v>
      </c>
    </row>
    <row r="1348" spans="1:12" x14ac:dyDescent="0.2">
      <c r="A1348" t="s">
        <v>18</v>
      </c>
      <c r="B1348" t="s">
        <v>95</v>
      </c>
      <c r="C1348" t="s">
        <v>13</v>
      </c>
      <c r="D1348" t="s">
        <v>257</v>
      </c>
      <c r="E1348" t="s">
        <v>42</v>
      </c>
      <c r="F1348" t="s">
        <v>257</v>
      </c>
      <c r="G1348" t="s">
        <v>693</v>
      </c>
      <c r="H1348" s="3" t="s">
        <v>696</v>
      </c>
      <c r="J1348" s="4">
        <v>3.45</v>
      </c>
    </row>
    <row r="1349" spans="1:12" x14ac:dyDescent="0.2">
      <c r="A1349" t="s">
        <v>27</v>
      </c>
      <c r="B1349" t="s">
        <v>95</v>
      </c>
      <c r="C1349" t="s">
        <v>13</v>
      </c>
      <c r="D1349" t="s">
        <v>257</v>
      </c>
      <c r="E1349" t="s">
        <v>42</v>
      </c>
      <c r="F1349" t="s">
        <v>257</v>
      </c>
      <c r="G1349" t="s">
        <v>693</v>
      </c>
      <c r="H1349" s="3" t="s">
        <v>702</v>
      </c>
      <c r="J1349" s="4">
        <v>9.8000000000000007</v>
      </c>
    </row>
    <row r="1350" spans="1:12" x14ac:dyDescent="0.2">
      <c r="A1350" t="s">
        <v>215</v>
      </c>
      <c r="B1350" t="s">
        <v>125</v>
      </c>
      <c r="C1350" t="s">
        <v>13</v>
      </c>
      <c r="D1350" t="s">
        <v>63</v>
      </c>
      <c r="E1350" t="s">
        <v>64</v>
      </c>
      <c r="F1350" t="s">
        <v>63</v>
      </c>
      <c r="G1350" t="s">
        <v>693</v>
      </c>
      <c r="H1350" s="3" t="s">
        <v>703</v>
      </c>
      <c r="J1350" s="4">
        <v>0.99</v>
      </c>
      <c r="L1350" t="s">
        <v>285</v>
      </c>
    </row>
    <row r="1351" spans="1:12" x14ac:dyDescent="0.2">
      <c r="A1351" t="s">
        <v>18</v>
      </c>
      <c r="B1351" t="s">
        <v>95</v>
      </c>
      <c r="C1351" t="s">
        <v>13</v>
      </c>
      <c r="D1351" t="s">
        <v>63</v>
      </c>
      <c r="E1351" t="s">
        <v>64</v>
      </c>
      <c r="F1351" t="s">
        <v>63</v>
      </c>
      <c r="G1351" t="s">
        <v>693</v>
      </c>
      <c r="H1351" s="3" t="s">
        <v>696</v>
      </c>
      <c r="J1351" s="4">
        <v>3.45</v>
      </c>
      <c r="L1351" t="s">
        <v>131</v>
      </c>
    </row>
    <row r="1352" spans="1:12" x14ac:dyDescent="0.2">
      <c r="A1352" t="s">
        <v>18</v>
      </c>
      <c r="B1352" t="s">
        <v>125</v>
      </c>
      <c r="C1352" t="s">
        <v>13</v>
      </c>
      <c r="D1352" t="s">
        <v>63</v>
      </c>
      <c r="E1352" t="s">
        <v>64</v>
      </c>
      <c r="F1352" t="s">
        <v>63</v>
      </c>
      <c r="G1352" t="s">
        <v>693</v>
      </c>
      <c r="H1352" s="3" t="s">
        <v>696</v>
      </c>
      <c r="J1352" s="4">
        <v>3.45</v>
      </c>
      <c r="L1352" t="s">
        <v>103</v>
      </c>
    </row>
    <row r="1353" spans="1:12" x14ac:dyDescent="0.2">
      <c r="A1353" t="s">
        <v>27</v>
      </c>
      <c r="B1353" t="s">
        <v>95</v>
      </c>
      <c r="C1353" t="s">
        <v>13</v>
      </c>
      <c r="D1353" t="s">
        <v>282</v>
      </c>
      <c r="E1353" t="s">
        <v>64</v>
      </c>
      <c r="F1353" t="s">
        <v>282</v>
      </c>
      <c r="G1353" t="s">
        <v>693</v>
      </c>
      <c r="H1353" s="3" t="s">
        <v>704</v>
      </c>
      <c r="J1353" s="4">
        <v>3.92</v>
      </c>
    </row>
    <row r="1354" spans="1:12" x14ac:dyDescent="0.2">
      <c r="A1354" t="s">
        <v>18</v>
      </c>
      <c r="B1354" t="s">
        <v>125</v>
      </c>
      <c r="C1354" t="s">
        <v>13</v>
      </c>
      <c r="D1354" t="s">
        <v>282</v>
      </c>
      <c r="E1354" t="s">
        <v>64</v>
      </c>
      <c r="F1354" t="s">
        <v>282</v>
      </c>
      <c r="G1354" t="s">
        <v>693</v>
      </c>
      <c r="H1354" s="3" t="s">
        <v>696</v>
      </c>
      <c r="J1354" s="4">
        <v>3.45</v>
      </c>
      <c r="K1354" t="s">
        <v>116</v>
      </c>
      <c r="L1354" t="s">
        <v>117</v>
      </c>
    </row>
    <row r="1355" spans="1:12" x14ac:dyDescent="0.2">
      <c r="A1355" t="s">
        <v>18</v>
      </c>
      <c r="B1355" t="s">
        <v>125</v>
      </c>
      <c r="C1355" t="s">
        <v>13</v>
      </c>
      <c r="D1355" t="s">
        <v>66</v>
      </c>
      <c r="E1355" t="s">
        <v>64</v>
      </c>
      <c r="F1355" t="s">
        <v>66</v>
      </c>
      <c r="G1355" t="s">
        <v>693</v>
      </c>
      <c r="H1355" s="3" t="s">
        <v>696</v>
      </c>
      <c r="J1355" s="4">
        <v>3.45</v>
      </c>
      <c r="L1355" t="s">
        <v>132</v>
      </c>
    </row>
    <row r="1356" spans="1:12" x14ac:dyDescent="0.2">
      <c r="A1356" t="s">
        <v>215</v>
      </c>
      <c r="B1356" t="s">
        <v>222</v>
      </c>
      <c r="C1356" t="s">
        <v>13</v>
      </c>
      <c r="D1356" t="s">
        <v>289</v>
      </c>
      <c r="E1356" t="s">
        <v>64</v>
      </c>
      <c r="F1356" t="s">
        <v>289</v>
      </c>
      <c r="G1356" t="s">
        <v>693</v>
      </c>
      <c r="H1356" s="3" t="s">
        <v>705</v>
      </c>
      <c r="J1356" s="4">
        <v>0.99</v>
      </c>
      <c r="K1356" t="s">
        <v>224</v>
      </c>
      <c r="L1356" t="s">
        <v>225</v>
      </c>
    </row>
    <row r="1357" spans="1:12" x14ac:dyDescent="0.2">
      <c r="A1357" t="s">
        <v>18</v>
      </c>
      <c r="B1357" t="s">
        <v>125</v>
      </c>
      <c r="C1357" t="s">
        <v>13</v>
      </c>
      <c r="D1357" t="s">
        <v>289</v>
      </c>
      <c r="E1357" t="s">
        <v>64</v>
      </c>
      <c r="F1357" t="s">
        <v>289</v>
      </c>
      <c r="G1357" t="s">
        <v>693</v>
      </c>
      <c r="H1357" s="3" t="s">
        <v>696</v>
      </c>
      <c r="J1357" s="4">
        <v>3.45</v>
      </c>
      <c r="K1357" t="s">
        <v>138</v>
      </c>
      <c r="L1357" t="s">
        <v>139</v>
      </c>
    </row>
    <row r="1358" spans="1:12" x14ac:dyDescent="0.2">
      <c r="A1358" t="s">
        <v>18</v>
      </c>
      <c r="B1358" t="s">
        <v>125</v>
      </c>
      <c r="C1358" t="s">
        <v>13</v>
      </c>
      <c r="D1358" t="s">
        <v>289</v>
      </c>
      <c r="E1358" t="s">
        <v>64</v>
      </c>
      <c r="F1358" t="s">
        <v>289</v>
      </c>
      <c r="G1358" t="s">
        <v>693</v>
      </c>
      <c r="H1358" s="3" t="s">
        <v>696</v>
      </c>
      <c r="J1358" s="4">
        <v>3.45</v>
      </c>
      <c r="K1358" t="s">
        <v>123</v>
      </c>
      <c r="L1358" t="s">
        <v>124</v>
      </c>
    </row>
    <row r="1359" spans="1:12" x14ac:dyDescent="0.2">
      <c r="A1359" t="s">
        <v>18</v>
      </c>
      <c r="B1359" t="s">
        <v>110</v>
      </c>
      <c r="C1359" t="s">
        <v>13</v>
      </c>
      <c r="D1359" t="s">
        <v>68</v>
      </c>
      <c r="E1359" t="s">
        <v>64</v>
      </c>
      <c r="F1359" t="s">
        <v>68</v>
      </c>
      <c r="G1359" t="s">
        <v>693</v>
      </c>
      <c r="H1359" s="3" t="s">
        <v>696</v>
      </c>
      <c r="J1359" s="4">
        <v>3.45</v>
      </c>
      <c r="K1359" t="s">
        <v>706</v>
      </c>
      <c r="L1359" t="s">
        <v>153</v>
      </c>
    </row>
    <row r="1360" spans="1:12" x14ac:dyDescent="0.2">
      <c r="A1360" t="s">
        <v>18</v>
      </c>
      <c r="B1360" t="s">
        <v>200</v>
      </c>
      <c r="C1360" t="s">
        <v>13</v>
      </c>
      <c r="D1360" t="s">
        <v>68</v>
      </c>
      <c r="E1360" t="s">
        <v>64</v>
      </c>
      <c r="F1360" t="s">
        <v>68</v>
      </c>
      <c r="G1360" t="s">
        <v>693</v>
      </c>
      <c r="H1360" s="3" t="s">
        <v>696</v>
      </c>
      <c r="J1360" s="4">
        <v>3.45</v>
      </c>
      <c r="L1360" t="s">
        <v>199</v>
      </c>
    </row>
    <row r="1361" spans="1:12" x14ac:dyDescent="0.2">
      <c r="A1361" t="s">
        <v>18</v>
      </c>
      <c r="B1361" t="s">
        <v>125</v>
      </c>
      <c r="C1361" t="s">
        <v>13</v>
      </c>
      <c r="D1361" t="s">
        <v>68</v>
      </c>
      <c r="E1361" t="s">
        <v>64</v>
      </c>
      <c r="F1361" t="s">
        <v>68</v>
      </c>
      <c r="G1361" t="s">
        <v>693</v>
      </c>
      <c r="H1361" s="3" t="s">
        <v>696</v>
      </c>
      <c r="J1361" s="4">
        <v>3.45</v>
      </c>
      <c r="L1361" t="s">
        <v>154</v>
      </c>
    </row>
    <row r="1362" spans="1:12" x14ac:dyDescent="0.2">
      <c r="A1362" t="s">
        <v>18</v>
      </c>
      <c r="B1362" t="s">
        <v>125</v>
      </c>
      <c r="C1362" t="s">
        <v>13</v>
      </c>
      <c r="D1362" t="s">
        <v>292</v>
      </c>
      <c r="E1362" t="s">
        <v>64</v>
      </c>
      <c r="F1362" t="s">
        <v>292</v>
      </c>
      <c r="G1362" t="s">
        <v>693</v>
      </c>
      <c r="J1362" s="4">
        <v>3.45</v>
      </c>
      <c r="L1362" t="s">
        <v>134</v>
      </c>
    </row>
    <row r="1363" spans="1:12" x14ac:dyDescent="0.2">
      <c r="A1363" t="s">
        <v>18</v>
      </c>
      <c r="B1363" t="s">
        <v>125</v>
      </c>
      <c r="C1363" t="s">
        <v>13</v>
      </c>
      <c r="D1363" t="s">
        <v>73</v>
      </c>
      <c r="E1363" t="s">
        <v>64</v>
      </c>
      <c r="F1363" t="s">
        <v>73</v>
      </c>
      <c r="G1363" t="s">
        <v>693</v>
      </c>
      <c r="H1363" s="3" t="s">
        <v>696</v>
      </c>
      <c r="J1363" s="4">
        <v>3.45</v>
      </c>
      <c r="K1363" t="s">
        <v>100</v>
      </c>
      <c r="L1363" t="s">
        <v>101</v>
      </c>
    </row>
    <row r="1364" spans="1:12" x14ac:dyDescent="0.2">
      <c r="A1364" t="s">
        <v>27</v>
      </c>
      <c r="B1364" t="s">
        <v>95</v>
      </c>
      <c r="C1364" t="s">
        <v>13</v>
      </c>
      <c r="D1364" t="s">
        <v>76</v>
      </c>
      <c r="E1364" t="s">
        <v>64</v>
      </c>
      <c r="F1364" t="s">
        <v>76</v>
      </c>
      <c r="G1364" t="s">
        <v>693</v>
      </c>
      <c r="H1364" s="3" t="s">
        <v>694</v>
      </c>
      <c r="J1364" s="4">
        <v>168.5</v>
      </c>
    </row>
    <row r="1365" spans="1:12" x14ac:dyDescent="0.2">
      <c r="A1365" t="s">
        <v>215</v>
      </c>
      <c r="B1365" t="s">
        <v>222</v>
      </c>
      <c r="C1365" t="s">
        <v>13</v>
      </c>
      <c r="D1365" t="s">
        <v>76</v>
      </c>
      <c r="E1365" t="s">
        <v>64</v>
      </c>
      <c r="F1365" t="s">
        <v>76</v>
      </c>
      <c r="G1365" t="s">
        <v>693</v>
      </c>
      <c r="H1365" s="3" t="s">
        <v>703</v>
      </c>
      <c r="J1365" s="4">
        <v>0.99</v>
      </c>
      <c r="K1365" t="s">
        <v>313</v>
      </c>
      <c r="L1365" t="s">
        <v>314</v>
      </c>
    </row>
    <row r="1366" spans="1:12" x14ac:dyDescent="0.2">
      <c r="A1366" t="s">
        <v>34</v>
      </c>
      <c r="B1366" t="s">
        <v>95</v>
      </c>
      <c r="C1366" t="s">
        <v>13</v>
      </c>
      <c r="D1366" t="s">
        <v>510</v>
      </c>
      <c r="E1366" t="s">
        <v>64</v>
      </c>
      <c r="F1366" t="s">
        <v>510</v>
      </c>
      <c r="G1366" t="s">
        <v>693</v>
      </c>
      <c r="H1366" s="3" t="s">
        <v>707</v>
      </c>
      <c r="J1366" s="4">
        <v>20</v>
      </c>
    </row>
    <row r="1367" spans="1:12" x14ac:dyDescent="0.2">
      <c r="A1367" t="s">
        <v>18</v>
      </c>
      <c r="B1367" t="s">
        <v>200</v>
      </c>
      <c r="C1367" t="s">
        <v>13</v>
      </c>
      <c r="D1367" t="s">
        <v>325</v>
      </c>
      <c r="E1367" t="s">
        <v>64</v>
      </c>
      <c r="F1367" t="s">
        <v>325</v>
      </c>
      <c r="G1367" t="s">
        <v>693</v>
      </c>
      <c r="J1367" s="4">
        <v>3.45</v>
      </c>
      <c r="L1367" t="s">
        <v>207</v>
      </c>
    </row>
    <row r="1368" spans="1:12" x14ac:dyDescent="0.2">
      <c r="A1368" t="s">
        <v>18</v>
      </c>
      <c r="B1368" t="s">
        <v>324</v>
      </c>
      <c r="C1368" t="s">
        <v>13</v>
      </c>
      <c r="D1368" t="s">
        <v>326</v>
      </c>
      <c r="E1368" t="s">
        <v>64</v>
      </c>
      <c r="F1368" t="s">
        <v>326</v>
      </c>
      <c r="G1368" t="s">
        <v>693</v>
      </c>
      <c r="J1368" s="4">
        <v>3.45</v>
      </c>
      <c r="K1368" t="s">
        <v>192</v>
      </c>
      <c r="L1368" t="s">
        <v>193</v>
      </c>
    </row>
    <row r="1369" spans="1:12" x14ac:dyDescent="0.2">
      <c r="A1369" t="s">
        <v>12</v>
      </c>
      <c r="B1369" t="s">
        <v>95</v>
      </c>
      <c r="C1369" t="s">
        <v>13</v>
      </c>
      <c r="D1369" t="s">
        <v>326</v>
      </c>
      <c r="E1369" t="s">
        <v>64</v>
      </c>
      <c r="F1369" t="s">
        <v>326</v>
      </c>
      <c r="G1369" t="s">
        <v>693</v>
      </c>
      <c r="H1369" s="3" t="s">
        <v>708</v>
      </c>
      <c r="J1369" s="4">
        <v>75</v>
      </c>
    </row>
    <row r="1370" spans="1:12" x14ac:dyDescent="0.2">
      <c r="A1370" t="s">
        <v>18</v>
      </c>
      <c r="B1370" t="s">
        <v>125</v>
      </c>
      <c r="C1370" t="s">
        <v>13</v>
      </c>
      <c r="D1370" t="s">
        <v>331</v>
      </c>
      <c r="E1370" t="s">
        <v>64</v>
      </c>
      <c r="F1370" t="s">
        <v>331</v>
      </c>
      <c r="G1370" t="s">
        <v>693</v>
      </c>
      <c r="H1370" s="3" t="s">
        <v>709</v>
      </c>
      <c r="J1370" s="4">
        <v>3.45</v>
      </c>
      <c r="K1370" t="s">
        <v>204</v>
      </c>
      <c r="L1370" t="s">
        <v>205</v>
      </c>
    </row>
    <row r="1371" spans="1:12" x14ac:dyDescent="0.2">
      <c r="A1371" t="s">
        <v>18</v>
      </c>
      <c r="B1371" t="s">
        <v>125</v>
      </c>
      <c r="C1371" t="s">
        <v>13</v>
      </c>
      <c r="D1371" t="s">
        <v>334</v>
      </c>
      <c r="E1371" t="s">
        <v>64</v>
      </c>
      <c r="F1371" t="s">
        <v>334</v>
      </c>
      <c r="G1371" t="s">
        <v>693</v>
      </c>
      <c r="H1371" s="3" t="s">
        <v>710</v>
      </c>
      <c r="J1371" s="4">
        <v>3.45</v>
      </c>
      <c r="L1371" t="s">
        <v>103</v>
      </c>
    </row>
    <row r="1372" spans="1:12" x14ac:dyDescent="0.2">
      <c r="A1372" t="s">
        <v>18</v>
      </c>
      <c r="B1372" t="s">
        <v>125</v>
      </c>
      <c r="C1372" t="s">
        <v>13</v>
      </c>
      <c r="D1372" t="s">
        <v>339</v>
      </c>
      <c r="E1372" t="s">
        <v>84</v>
      </c>
      <c r="F1372" t="s">
        <v>331</v>
      </c>
      <c r="G1372" t="s">
        <v>693</v>
      </c>
      <c r="H1372" s="3" t="s">
        <v>711</v>
      </c>
      <c r="J1372" s="4">
        <v>3.45</v>
      </c>
      <c r="K1372" t="s">
        <v>116</v>
      </c>
      <c r="L1372" t="s">
        <v>117</v>
      </c>
    </row>
    <row r="1373" spans="1:12" x14ac:dyDescent="0.2">
      <c r="A1373" t="s">
        <v>18</v>
      </c>
      <c r="B1373" t="s">
        <v>125</v>
      </c>
      <c r="C1373" t="s">
        <v>13</v>
      </c>
      <c r="D1373" t="s">
        <v>339</v>
      </c>
      <c r="E1373" t="s">
        <v>84</v>
      </c>
      <c r="F1373" t="s">
        <v>339</v>
      </c>
      <c r="G1373" t="s">
        <v>693</v>
      </c>
      <c r="H1373" s="3" t="s">
        <v>712</v>
      </c>
      <c r="J1373" s="4">
        <v>3.45</v>
      </c>
      <c r="L1373" t="s">
        <v>131</v>
      </c>
    </row>
    <row r="1374" spans="1:12" x14ac:dyDescent="0.2">
      <c r="A1374" t="s">
        <v>18</v>
      </c>
      <c r="B1374" t="s">
        <v>125</v>
      </c>
      <c r="C1374" t="s">
        <v>13</v>
      </c>
      <c r="D1374" t="s">
        <v>301</v>
      </c>
      <c r="E1374" t="s">
        <v>84</v>
      </c>
      <c r="F1374" t="s">
        <v>301</v>
      </c>
      <c r="G1374" t="s">
        <v>693</v>
      </c>
      <c r="H1374" s="3" t="s">
        <v>712</v>
      </c>
      <c r="J1374" s="4">
        <v>3.45</v>
      </c>
      <c r="L1374" t="s">
        <v>132</v>
      </c>
    </row>
    <row r="1375" spans="1:12" x14ac:dyDescent="0.2">
      <c r="A1375" t="s">
        <v>215</v>
      </c>
      <c r="B1375" t="s">
        <v>200</v>
      </c>
      <c r="C1375" t="s">
        <v>13</v>
      </c>
      <c r="D1375" t="s">
        <v>83</v>
      </c>
      <c r="E1375" t="s">
        <v>84</v>
      </c>
      <c r="F1375" t="s">
        <v>83</v>
      </c>
      <c r="G1375" t="s">
        <v>693</v>
      </c>
      <c r="H1375" s="3" t="s">
        <v>703</v>
      </c>
      <c r="J1375" s="4">
        <v>0.99</v>
      </c>
      <c r="K1375" t="s">
        <v>349</v>
      </c>
      <c r="L1375" t="s">
        <v>350</v>
      </c>
    </row>
    <row r="1376" spans="1:12" x14ac:dyDescent="0.2">
      <c r="A1376" t="s">
        <v>215</v>
      </c>
      <c r="B1376" t="s">
        <v>222</v>
      </c>
      <c r="C1376" t="s">
        <v>13</v>
      </c>
      <c r="D1376" t="s">
        <v>83</v>
      </c>
      <c r="E1376" t="s">
        <v>84</v>
      </c>
      <c r="F1376" t="s">
        <v>83</v>
      </c>
      <c r="G1376" t="s">
        <v>693</v>
      </c>
      <c r="H1376" s="3" t="s">
        <v>713</v>
      </c>
      <c r="J1376" s="4">
        <v>0.99</v>
      </c>
      <c r="K1376" t="s">
        <v>224</v>
      </c>
      <c r="L1376" t="s">
        <v>225</v>
      </c>
    </row>
    <row r="1377" spans="1:12" x14ac:dyDescent="0.2">
      <c r="A1377" t="s">
        <v>18</v>
      </c>
      <c r="B1377" t="s">
        <v>324</v>
      </c>
      <c r="C1377" t="s">
        <v>13</v>
      </c>
      <c r="D1377" t="s">
        <v>87</v>
      </c>
      <c r="E1377" t="s">
        <v>84</v>
      </c>
      <c r="F1377" t="s">
        <v>87</v>
      </c>
      <c r="G1377" t="s">
        <v>693</v>
      </c>
      <c r="H1377" s="3" t="s">
        <v>714</v>
      </c>
      <c r="J1377" s="4">
        <v>3.45</v>
      </c>
      <c r="K1377" t="s">
        <v>152</v>
      </c>
      <c r="L1377" t="s">
        <v>153</v>
      </c>
    </row>
    <row r="1378" spans="1:12" x14ac:dyDescent="0.2">
      <c r="A1378" t="s">
        <v>18</v>
      </c>
      <c r="B1378" t="s">
        <v>125</v>
      </c>
      <c r="C1378" t="s">
        <v>13</v>
      </c>
      <c r="D1378" t="s">
        <v>85</v>
      </c>
      <c r="E1378" t="s">
        <v>84</v>
      </c>
      <c r="F1378" t="s">
        <v>83</v>
      </c>
      <c r="G1378" t="s">
        <v>693</v>
      </c>
      <c r="H1378" s="3" t="s">
        <v>711</v>
      </c>
      <c r="J1378" s="4">
        <v>3.45</v>
      </c>
      <c r="L1378" t="s">
        <v>154</v>
      </c>
    </row>
    <row r="1379" spans="1:12" x14ac:dyDescent="0.2">
      <c r="A1379" t="s">
        <v>18</v>
      </c>
      <c r="B1379" t="s">
        <v>200</v>
      </c>
      <c r="C1379" t="s">
        <v>13</v>
      </c>
      <c r="D1379" t="s">
        <v>85</v>
      </c>
      <c r="E1379" t="s">
        <v>84</v>
      </c>
      <c r="F1379" t="s">
        <v>83</v>
      </c>
      <c r="G1379" t="s">
        <v>693</v>
      </c>
      <c r="H1379" s="3" t="s">
        <v>715</v>
      </c>
      <c r="J1379" s="4">
        <v>3.45</v>
      </c>
      <c r="L1379" t="s">
        <v>199</v>
      </c>
    </row>
    <row r="1380" spans="1:12" x14ac:dyDescent="0.2">
      <c r="A1380" t="s">
        <v>18</v>
      </c>
      <c r="B1380" t="s">
        <v>125</v>
      </c>
      <c r="C1380" t="s">
        <v>13</v>
      </c>
      <c r="D1380" t="s">
        <v>85</v>
      </c>
      <c r="E1380" t="s">
        <v>84</v>
      </c>
      <c r="F1380" t="s">
        <v>85</v>
      </c>
      <c r="G1380" t="s">
        <v>693</v>
      </c>
      <c r="H1380" s="3" t="s">
        <v>710</v>
      </c>
      <c r="J1380" s="4">
        <v>3.45</v>
      </c>
      <c r="K1380" t="s">
        <v>123</v>
      </c>
      <c r="L1380" t="s">
        <v>124</v>
      </c>
    </row>
    <row r="1381" spans="1:12" x14ac:dyDescent="0.2">
      <c r="A1381" t="s">
        <v>215</v>
      </c>
      <c r="B1381" t="s">
        <v>200</v>
      </c>
      <c r="C1381" t="s">
        <v>13</v>
      </c>
      <c r="D1381" t="s">
        <v>86</v>
      </c>
      <c r="E1381" t="s">
        <v>84</v>
      </c>
      <c r="F1381" t="s">
        <v>86</v>
      </c>
      <c r="G1381" t="s">
        <v>693</v>
      </c>
      <c r="H1381" s="3" t="s">
        <v>703</v>
      </c>
      <c r="J1381" s="4">
        <v>0.99</v>
      </c>
      <c r="K1381" t="s">
        <v>353</v>
      </c>
      <c r="L1381" t="s">
        <v>354</v>
      </c>
    </row>
    <row r="1382" spans="1:12" x14ac:dyDescent="0.2">
      <c r="A1382" t="s">
        <v>18</v>
      </c>
      <c r="B1382" t="s">
        <v>95</v>
      </c>
      <c r="C1382" t="s">
        <v>13</v>
      </c>
      <c r="D1382" t="s">
        <v>88</v>
      </c>
      <c r="E1382" t="s">
        <v>84</v>
      </c>
      <c r="F1382" t="s">
        <v>88</v>
      </c>
      <c r="G1382" t="s">
        <v>693</v>
      </c>
      <c r="J1382" s="4">
        <v>3.45</v>
      </c>
      <c r="L1382" t="s">
        <v>193</v>
      </c>
    </row>
    <row r="1383" spans="1:12" x14ac:dyDescent="0.2">
      <c r="A1383" t="s">
        <v>27</v>
      </c>
      <c r="B1383" t="s">
        <v>95</v>
      </c>
      <c r="C1383" t="s">
        <v>13</v>
      </c>
      <c r="D1383" t="s">
        <v>89</v>
      </c>
      <c r="E1383" t="s">
        <v>84</v>
      </c>
      <c r="F1383" t="s">
        <v>89</v>
      </c>
      <c r="G1383" t="s">
        <v>693</v>
      </c>
      <c r="J1383" s="4">
        <v>168.5</v>
      </c>
    </row>
    <row r="1384" spans="1:12" x14ac:dyDescent="0.2">
      <c r="A1384" t="s">
        <v>215</v>
      </c>
      <c r="B1384" t="s">
        <v>200</v>
      </c>
      <c r="C1384" t="s">
        <v>13</v>
      </c>
      <c r="D1384" t="s">
        <v>91</v>
      </c>
      <c r="E1384" t="s">
        <v>84</v>
      </c>
      <c r="F1384" t="s">
        <v>91</v>
      </c>
      <c r="G1384" t="s">
        <v>693</v>
      </c>
      <c r="H1384" s="3" t="s">
        <v>716</v>
      </c>
      <c r="J1384" s="4">
        <v>0.99</v>
      </c>
      <c r="L1384" t="s">
        <v>355</v>
      </c>
    </row>
    <row r="1385" spans="1:12" x14ac:dyDescent="0.2">
      <c r="A1385" t="s">
        <v>34</v>
      </c>
      <c r="B1385" t="s">
        <v>95</v>
      </c>
      <c r="C1385" t="s">
        <v>13</v>
      </c>
      <c r="D1385" t="s">
        <v>356</v>
      </c>
      <c r="E1385" t="s">
        <v>84</v>
      </c>
      <c r="F1385" t="s">
        <v>356</v>
      </c>
      <c r="G1385" t="s">
        <v>693</v>
      </c>
      <c r="H1385" s="3" t="s">
        <v>707</v>
      </c>
      <c r="J1385" s="4">
        <v>20</v>
      </c>
    </row>
    <row r="1386" spans="1:12" x14ac:dyDescent="0.2">
      <c r="A1386" t="s">
        <v>18</v>
      </c>
      <c r="B1386" t="s">
        <v>95</v>
      </c>
      <c r="C1386" t="s">
        <v>13</v>
      </c>
      <c r="D1386" t="s">
        <v>93</v>
      </c>
      <c r="E1386" t="s">
        <v>84</v>
      </c>
      <c r="F1386" t="s">
        <v>93</v>
      </c>
      <c r="G1386" t="s">
        <v>693</v>
      </c>
      <c r="J1386" s="4">
        <v>3.45</v>
      </c>
      <c r="L1386" t="s">
        <v>207</v>
      </c>
    </row>
    <row r="1387" spans="1:12" x14ac:dyDescent="0.2">
      <c r="A1387" t="s">
        <v>18</v>
      </c>
      <c r="B1387" t="s">
        <v>95</v>
      </c>
      <c r="C1387" t="s">
        <v>13</v>
      </c>
      <c r="D1387" t="s">
        <v>93</v>
      </c>
      <c r="E1387" t="s">
        <v>84</v>
      </c>
      <c r="F1387" t="s">
        <v>93</v>
      </c>
      <c r="G1387" t="s">
        <v>693</v>
      </c>
      <c r="J1387" s="4">
        <v>3.45</v>
      </c>
      <c r="K1387" t="s">
        <v>204</v>
      </c>
      <c r="L1387" t="s">
        <v>205</v>
      </c>
    </row>
    <row r="1388" spans="1:12" x14ac:dyDescent="0.2">
      <c r="A1388" t="s">
        <v>12</v>
      </c>
      <c r="B1388" t="s">
        <v>95</v>
      </c>
      <c r="C1388" t="s">
        <v>13</v>
      </c>
      <c r="D1388" t="s">
        <v>93</v>
      </c>
      <c r="E1388" t="s">
        <v>84</v>
      </c>
      <c r="F1388" t="s">
        <v>93</v>
      </c>
      <c r="G1388" t="s">
        <v>693</v>
      </c>
      <c r="H1388" s="3" t="s">
        <v>694</v>
      </c>
      <c r="J1388" s="4">
        <v>75</v>
      </c>
    </row>
    <row r="1389" spans="1:12" x14ac:dyDescent="0.2">
      <c r="A1389" t="s">
        <v>27</v>
      </c>
      <c r="B1389" t="s">
        <v>95</v>
      </c>
      <c r="C1389" t="s">
        <v>13</v>
      </c>
      <c r="D1389" t="s">
        <v>359</v>
      </c>
      <c r="E1389" t="s">
        <v>84</v>
      </c>
      <c r="F1389" t="s">
        <v>359</v>
      </c>
      <c r="G1389" t="s">
        <v>693</v>
      </c>
      <c r="J1389" s="4">
        <v>9.8000000000000007</v>
      </c>
    </row>
    <row r="1390" spans="1:12" x14ac:dyDescent="0.2">
      <c r="A1390" t="s">
        <v>18</v>
      </c>
      <c r="B1390" t="s">
        <v>95</v>
      </c>
      <c r="C1390" t="s">
        <v>13</v>
      </c>
      <c r="D1390" t="s">
        <v>269</v>
      </c>
      <c r="E1390" t="s">
        <v>42</v>
      </c>
      <c r="F1390" t="s">
        <v>269</v>
      </c>
      <c r="G1390" t="s">
        <v>717</v>
      </c>
      <c r="H1390" s="3" t="s">
        <v>718</v>
      </c>
      <c r="J1390" s="4">
        <v>350</v>
      </c>
    </row>
    <row r="1391" spans="1:12" x14ac:dyDescent="0.2">
      <c r="A1391" t="s">
        <v>18</v>
      </c>
      <c r="B1391" t="s">
        <v>95</v>
      </c>
      <c r="C1391" t="s">
        <v>13</v>
      </c>
      <c r="D1391" t="s">
        <v>282</v>
      </c>
      <c r="E1391" t="s">
        <v>64</v>
      </c>
      <c r="F1391" t="s">
        <v>282</v>
      </c>
      <c r="G1391" t="s">
        <v>719</v>
      </c>
      <c r="H1391" s="3" t="s">
        <v>720</v>
      </c>
      <c r="J1391" s="4">
        <v>1050</v>
      </c>
    </row>
    <row r="1392" spans="1:12" x14ac:dyDescent="0.2">
      <c r="A1392" t="s">
        <v>18</v>
      </c>
      <c r="B1392" t="s">
        <v>95</v>
      </c>
      <c r="C1392" t="s">
        <v>13</v>
      </c>
      <c r="D1392" t="s">
        <v>69</v>
      </c>
      <c r="E1392" t="s">
        <v>64</v>
      </c>
      <c r="F1392" t="s">
        <v>292</v>
      </c>
      <c r="G1392" t="s">
        <v>719</v>
      </c>
      <c r="H1392" s="3" t="s">
        <v>721</v>
      </c>
      <c r="J1392" s="4">
        <v>75</v>
      </c>
    </row>
    <row r="1393" spans="1:12" x14ac:dyDescent="0.2">
      <c r="A1393" t="s">
        <v>18</v>
      </c>
      <c r="B1393" t="s">
        <v>95</v>
      </c>
      <c r="C1393" t="s">
        <v>13</v>
      </c>
      <c r="D1393" t="s">
        <v>78</v>
      </c>
      <c r="E1393" t="s">
        <v>64</v>
      </c>
      <c r="F1393" t="s">
        <v>78</v>
      </c>
      <c r="G1393" t="s">
        <v>719</v>
      </c>
      <c r="H1393" s="3" t="s">
        <v>722</v>
      </c>
      <c r="J1393" s="4">
        <v>90</v>
      </c>
    </row>
    <row r="1394" spans="1:12" x14ac:dyDescent="0.2">
      <c r="A1394" t="s">
        <v>18</v>
      </c>
      <c r="B1394" t="s">
        <v>95</v>
      </c>
      <c r="C1394" t="s">
        <v>13</v>
      </c>
      <c r="D1394" t="s">
        <v>77</v>
      </c>
      <c r="E1394" t="s">
        <v>64</v>
      </c>
      <c r="F1394" t="s">
        <v>77</v>
      </c>
      <c r="G1394" t="s">
        <v>719</v>
      </c>
      <c r="H1394" s="3" t="s">
        <v>723</v>
      </c>
      <c r="J1394" s="4">
        <v>25</v>
      </c>
    </row>
    <row r="1395" spans="1:12" x14ac:dyDescent="0.2">
      <c r="A1395" t="s">
        <v>12</v>
      </c>
      <c r="B1395" t="s">
        <v>95</v>
      </c>
      <c r="C1395" t="s">
        <v>13</v>
      </c>
      <c r="D1395" t="s">
        <v>77</v>
      </c>
      <c r="E1395" t="s">
        <v>64</v>
      </c>
      <c r="F1395" t="s">
        <v>77</v>
      </c>
      <c r="G1395" t="s">
        <v>719</v>
      </c>
      <c r="H1395" s="3" t="s">
        <v>724</v>
      </c>
      <c r="J1395" s="4">
        <v>32</v>
      </c>
    </row>
    <row r="1396" spans="1:12" x14ac:dyDescent="0.2">
      <c r="A1396" t="s">
        <v>12</v>
      </c>
      <c r="B1396" t="s">
        <v>95</v>
      </c>
      <c r="C1396" t="s">
        <v>13</v>
      </c>
      <c r="D1396" t="s">
        <v>77</v>
      </c>
      <c r="E1396" t="s">
        <v>64</v>
      </c>
      <c r="F1396" t="s">
        <v>77</v>
      </c>
      <c r="G1396" t="s">
        <v>719</v>
      </c>
      <c r="H1396" s="3" t="s">
        <v>725</v>
      </c>
      <c r="J1396" s="4">
        <v>171</v>
      </c>
    </row>
    <row r="1397" spans="1:12" x14ac:dyDescent="0.2">
      <c r="A1397" t="s">
        <v>12</v>
      </c>
      <c r="B1397" t="s">
        <v>95</v>
      </c>
      <c r="C1397" t="s">
        <v>13</v>
      </c>
      <c r="D1397" t="s">
        <v>77</v>
      </c>
      <c r="E1397" t="s">
        <v>64</v>
      </c>
      <c r="F1397" t="s">
        <v>77</v>
      </c>
      <c r="G1397" t="s">
        <v>719</v>
      </c>
      <c r="H1397" s="3" t="s">
        <v>725</v>
      </c>
      <c r="J1397" s="4">
        <v>30</v>
      </c>
    </row>
    <row r="1398" spans="1:12" x14ac:dyDescent="0.2">
      <c r="A1398" t="s">
        <v>12</v>
      </c>
      <c r="B1398" t="s">
        <v>95</v>
      </c>
      <c r="C1398" t="s">
        <v>13</v>
      </c>
      <c r="D1398" t="s">
        <v>334</v>
      </c>
      <c r="E1398" t="s">
        <v>84</v>
      </c>
      <c r="F1398" t="s">
        <v>334</v>
      </c>
      <c r="G1398" t="s">
        <v>719</v>
      </c>
      <c r="H1398" s="3" t="s">
        <v>726</v>
      </c>
      <c r="J1398" s="4">
        <v>81</v>
      </c>
    </row>
    <row r="1399" spans="1:12" x14ac:dyDescent="0.2">
      <c r="A1399" t="s">
        <v>12</v>
      </c>
      <c r="B1399" t="s">
        <v>95</v>
      </c>
      <c r="C1399" t="s">
        <v>13</v>
      </c>
      <c r="D1399" t="s">
        <v>334</v>
      </c>
      <c r="E1399" t="s">
        <v>84</v>
      </c>
      <c r="F1399" t="s">
        <v>334</v>
      </c>
      <c r="G1399" t="s">
        <v>719</v>
      </c>
      <c r="H1399" s="3" t="s">
        <v>727</v>
      </c>
      <c r="J1399" s="4">
        <v>16</v>
      </c>
    </row>
    <row r="1400" spans="1:12" x14ac:dyDescent="0.2">
      <c r="A1400" t="s">
        <v>12</v>
      </c>
      <c r="B1400" t="s">
        <v>95</v>
      </c>
      <c r="C1400" t="s">
        <v>13</v>
      </c>
      <c r="D1400" t="s">
        <v>91</v>
      </c>
      <c r="E1400" t="s">
        <v>84</v>
      </c>
      <c r="F1400" t="s">
        <v>91</v>
      </c>
      <c r="G1400" t="s">
        <v>719</v>
      </c>
      <c r="H1400" s="3" t="s">
        <v>728</v>
      </c>
      <c r="J1400" s="4">
        <v>60</v>
      </c>
    </row>
    <row r="1401" spans="1:12" x14ac:dyDescent="0.2">
      <c r="A1401" t="s">
        <v>12</v>
      </c>
      <c r="B1401" t="s">
        <v>95</v>
      </c>
      <c r="C1401" t="s">
        <v>13</v>
      </c>
      <c r="D1401" t="s">
        <v>91</v>
      </c>
      <c r="E1401" t="s">
        <v>84</v>
      </c>
      <c r="F1401" t="s">
        <v>91</v>
      </c>
      <c r="G1401" t="s">
        <v>719</v>
      </c>
      <c r="H1401" s="3" t="s">
        <v>729</v>
      </c>
      <c r="J1401" s="4">
        <v>26.5</v>
      </c>
    </row>
    <row r="1402" spans="1:12" x14ac:dyDescent="0.2">
      <c r="A1402" t="s">
        <v>12</v>
      </c>
      <c r="B1402" t="s">
        <v>95</v>
      </c>
      <c r="C1402" t="s">
        <v>13</v>
      </c>
      <c r="D1402" t="s">
        <v>358</v>
      </c>
      <c r="E1402" t="s">
        <v>84</v>
      </c>
      <c r="F1402" t="s">
        <v>358</v>
      </c>
      <c r="G1402" t="s">
        <v>719</v>
      </c>
      <c r="H1402" s="3" t="s">
        <v>729</v>
      </c>
      <c r="J1402" s="4">
        <v>13</v>
      </c>
    </row>
    <row r="1403" spans="1:12" x14ac:dyDescent="0.2">
      <c r="A1403" t="s">
        <v>18</v>
      </c>
      <c r="B1403" t="s">
        <v>95</v>
      </c>
      <c r="C1403" t="s">
        <v>13</v>
      </c>
      <c r="D1403" t="s">
        <v>158</v>
      </c>
      <c r="E1403" t="s">
        <v>15</v>
      </c>
      <c r="F1403" t="s">
        <v>158</v>
      </c>
      <c r="G1403" t="s">
        <v>730</v>
      </c>
      <c r="H1403" s="3" t="s">
        <v>731</v>
      </c>
      <c r="J1403" s="4">
        <v>1000</v>
      </c>
    </row>
    <row r="1404" spans="1:12" x14ac:dyDescent="0.2">
      <c r="A1404" t="s">
        <v>27</v>
      </c>
      <c r="B1404" t="s">
        <v>95</v>
      </c>
      <c r="C1404" t="s">
        <v>13</v>
      </c>
      <c r="D1404" t="s">
        <v>69</v>
      </c>
      <c r="E1404" t="s">
        <v>64</v>
      </c>
      <c r="F1404" t="s">
        <v>77</v>
      </c>
      <c r="G1404" t="s">
        <v>730</v>
      </c>
      <c r="H1404" s="3" t="s">
        <v>731</v>
      </c>
      <c r="J1404" s="4">
        <v>1000</v>
      </c>
    </row>
    <row r="1405" spans="1:12" x14ac:dyDescent="0.2">
      <c r="A1405" t="s">
        <v>18</v>
      </c>
      <c r="B1405" t="s">
        <v>95</v>
      </c>
      <c r="C1405" t="s">
        <v>13</v>
      </c>
      <c r="D1405" t="s">
        <v>346</v>
      </c>
      <c r="E1405" t="s">
        <v>84</v>
      </c>
      <c r="F1405" t="s">
        <v>94</v>
      </c>
      <c r="G1405" t="s">
        <v>730</v>
      </c>
      <c r="H1405" s="3" t="s">
        <v>731</v>
      </c>
      <c r="J1405" s="4">
        <v>1000</v>
      </c>
    </row>
    <row r="1406" spans="1:12" x14ac:dyDescent="0.2">
      <c r="A1406" t="s">
        <v>71</v>
      </c>
      <c r="B1406" t="s">
        <v>125</v>
      </c>
      <c r="C1406" t="s">
        <v>13</v>
      </c>
      <c r="D1406" t="s">
        <v>256</v>
      </c>
      <c r="E1406" t="s">
        <v>42</v>
      </c>
      <c r="F1406" t="s">
        <v>256</v>
      </c>
      <c r="G1406" t="s">
        <v>732</v>
      </c>
      <c r="H1406" s="3" t="s">
        <v>733</v>
      </c>
      <c r="J1406" s="4">
        <v>4367.79</v>
      </c>
      <c r="K1406" t="s">
        <v>247</v>
      </c>
      <c r="L1406" t="s">
        <v>248</v>
      </c>
    </row>
    <row r="1407" spans="1:12" x14ac:dyDescent="0.2">
      <c r="A1407" t="s">
        <v>18</v>
      </c>
      <c r="B1407" t="s">
        <v>125</v>
      </c>
      <c r="C1407" t="s">
        <v>13</v>
      </c>
      <c r="D1407" t="s">
        <v>63</v>
      </c>
      <c r="E1407" t="s">
        <v>64</v>
      </c>
      <c r="F1407" t="s">
        <v>63</v>
      </c>
      <c r="G1407" t="s">
        <v>732</v>
      </c>
      <c r="H1407" s="3" t="s">
        <v>734</v>
      </c>
      <c r="J1407" s="4">
        <v>3379.61</v>
      </c>
      <c r="K1407" t="s">
        <v>182</v>
      </c>
      <c r="L1407" t="s">
        <v>183</v>
      </c>
    </row>
    <row r="1408" spans="1:12" x14ac:dyDescent="0.2">
      <c r="A1408" t="s">
        <v>748</v>
      </c>
      <c r="C1408" t="s">
        <v>13</v>
      </c>
      <c r="D1408" t="s">
        <v>83</v>
      </c>
      <c r="E1408" t="s">
        <v>84</v>
      </c>
      <c r="F1408" t="s">
        <v>85</v>
      </c>
      <c r="G1408" t="s">
        <v>22</v>
      </c>
      <c r="H1408" s="3" t="s">
        <v>23</v>
      </c>
      <c r="J1408" s="4">
        <v>147.86000000000001</v>
      </c>
    </row>
    <row r="1409" spans="1:10" x14ac:dyDescent="0.2">
      <c r="A1409" t="s">
        <v>748</v>
      </c>
      <c r="C1409" t="s">
        <v>13</v>
      </c>
      <c r="D1409" t="s">
        <v>85</v>
      </c>
      <c r="E1409" t="s">
        <v>84</v>
      </c>
      <c r="F1409" t="s">
        <v>85</v>
      </c>
      <c r="G1409" t="s">
        <v>22</v>
      </c>
      <c r="H1409" s="3" t="s">
        <v>25</v>
      </c>
      <c r="J1409" s="4">
        <v>963.55</v>
      </c>
    </row>
    <row r="1410" spans="1:10" x14ac:dyDescent="0.2">
      <c r="A1410" t="s">
        <v>748</v>
      </c>
      <c r="C1410" t="s">
        <v>13</v>
      </c>
      <c r="D1410" t="s">
        <v>85</v>
      </c>
      <c r="E1410" t="s">
        <v>84</v>
      </c>
      <c r="F1410" t="s">
        <v>85</v>
      </c>
      <c r="G1410" t="s">
        <v>22</v>
      </c>
      <c r="H1410" s="3" t="s">
        <v>26</v>
      </c>
      <c r="J1410" s="4">
        <v>6280.36</v>
      </c>
    </row>
    <row r="1411" spans="1:10" x14ac:dyDescent="0.2">
      <c r="A1411" t="s">
        <v>18</v>
      </c>
      <c r="C1411" t="s">
        <v>13</v>
      </c>
      <c r="D1411" t="s">
        <v>86</v>
      </c>
      <c r="E1411" t="s">
        <v>84</v>
      </c>
      <c r="F1411" t="s">
        <v>87</v>
      </c>
      <c r="G1411" t="s">
        <v>22</v>
      </c>
      <c r="H1411" s="3" t="s">
        <v>53</v>
      </c>
      <c r="J1411" s="4">
        <v>2134.29</v>
      </c>
    </row>
    <row r="1412" spans="1:10" x14ac:dyDescent="0.2">
      <c r="A1412" t="s">
        <v>27</v>
      </c>
      <c r="C1412" t="s">
        <v>13</v>
      </c>
      <c r="D1412" t="s">
        <v>88</v>
      </c>
      <c r="E1412" t="s">
        <v>84</v>
      </c>
      <c r="F1412" t="s">
        <v>88</v>
      </c>
      <c r="G1412" t="s">
        <v>16</v>
      </c>
      <c r="H1412" s="3" t="s">
        <v>17</v>
      </c>
      <c r="J1412" s="4">
        <v>10000</v>
      </c>
    </row>
    <row r="1413" spans="1:10" x14ac:dyDescent="0.2">
      <c r="A1413" t="s">
        <v>18</v>
      </c>
      <c r="C1413" t="s">
        <v>19</v>
      </c>
      <c r="D1413" t="s">
        <v>88</v>
      </c>
      <c r="E1413" t="s">
        <v>84</v>
      </c>
      <c r="F1413" t="s">
        <v>88</v>
      </c>
      <c r="G1413" t="s">
        <v>16</v>
      </c>
      <c r="H1413" s="3" t="s">
        <v>32</v>
      </c>
      <c r="I1413" s="4">
        <v>10000</v>
      </c>
    </row>
    <row r="1414" spans="1:10" x14ac:dyDescent="0.2">
      <c r="A1414" t="s">
        <v>27</v>
      </c>
      <c r="C1414" t="s">
        <v>13</v>
      </c>
      <c r="D1414" t="s">
        <v>89</v>
      </c>
      <c r="E1414" t="s">
        <v>84</v>
      </c>
      <c r="F1414" t="s">
        <v>88</v>
      </c>
      <c r="G1414" t="s">
        <v>22</v>
      </c>
      <c r="H1414" s="3" t="s">
        <v>30</v>
      </c>
      <c r="J1414" s="4">
        <v>209.96</v>
      </c>
    </row>
    <row r="1415" spans="1:10" x14ac:dyDescent="0.2">
      <c r="A1415" t="s">
        <v>18</v>
      </c>
      <c r="C1415" t="s">
        <v>13</v>
      </c>
      <c r="D1415" t="s">
        <v>89</v>
      </c>
      <c r="E1415" t="s">
        <v>84</v>
      </c>
      <c r="F1415" t="s">
        <v>89</v>
      </c>
      <c r="G1415" t="s">
        <v>16</v>
      </c>
      <c r="H1415" s="3" t="s">
        <v>81</v>
      </c>
      <c r="J1415" s="4">
        <v>500</v>
      </c>
    </row>
    <row r="1416" spans="1:10" x14ac:dyDescent="0.2">
      <c r="A1416" t="s">
        <v>82</v>
      </c>
      <c r="C1416" t="s">
        <v>19</v>
      </c>
      <c r="D1416" t="s">
        <v>89</v>
      </c>
      <c r="E1416" t="s">
        <v>84</v>
      </c>
      <c r="F1416" t="s">
        <v>89</v>
      </c>
      <c r="G1416" t="s">
        <v>16</v>
      </c>
      <c r="H1416" s="3" t="s">
        <v>40</v>
      </c>
      <c r="I1416" s="4">
        <v>500</v>
      </c>
    </row>
    <row r="1417" spans="1:10" x14ac:dyDescent="0.2">
      <c r="A1417" t="s">
        <v>27</v>
      </c>
      <c r="C1417" t="s">
        <v>13</v>
      </c>
      <c r="D1417" t="s">
        <v>89</v>
      </c>
      <c r="E1417" t="s">
        <v>84</v>
      </c>
      <c r="F1417" t="s">
        <v>89</v>
      </c>
      <c r="G1417" t="s">
        <v>22</v>
      </c>
      <c r="H1417" s="3" t="s">
        <v>749</v>
      </c>
      <c r="J1417" s="4">
        <v>2035.63</v>
      </c>
    </row>
    <row r="1418" spans="1:10" x14ac:dyDescent="0.2">
      <c r="A1418" t="s">
        <v>18</v>
      </c>
      <c r="C1418" t="s">
        <v>13</v>
      </c>
      <c r="D1418" t="s">
        <v>90</v>
      </c>
      <c r="E1418" t="s">
        <v>84</v>
      </c>
      <c r="F1418" t="s">
        <v>90</v>
      </c>
      <c r="G1418" t="s">
        <v>16</v>
      </c>
      <c r="H1418" s="3" t="s">
        <v>81</v>
      </c>
      <c r="J1418" s="4">
        <v>500</v>
      </c>
    </row>
    <row r="1419" spans="1:10" x14ac:dyDescent="0.2">
      <c r="A1419" t="s">
        <v>82</v>
      </c>
      <c r="C1419" t="s">
        <v>19</v>
      </c>
      <c r="D1419" t="s">
        <v>90</v>
      </c>
      <c r="E1419" t="s">
        <v>84</v>
      </c>
      <c r="F1419" t="s">
        <v>90</v>
      </c>
      <c r="G1419" t="s">
        <v>16</v>
      </c>
      <c r="H1419" s="3" t="s">
        <v>40</v>
      </c>
      <c r="I1419" s="4">
        <v>500</v>
      </c>
    </row>
    <row r="1420" spans="1:10" x14ac:dyDescent="0.2">
      <c r="A1420" t="s">
        <v>27</v>
      </c>
      <c r="C1420" t="s">
        <v>13</v>
      </c>
      <c r="D1420" t="s">
        <v>91</v>
      </c>
      <c r="E1420" t="s">
        <v>84</v>
      </c>
      <c r="F1420" t="s">
        <v>91</v>
      </c>
      <c r="G1420" t="s">
        <v>16</v>
      </c>
      <c r="H1420" s="3" t="s">
        <v>17</v>
      </c>
      <c r="J1420" s="4">
        <v>15000</v>
      </c>
    </row>
    <row r="1421" spans="1:10" x14ac:dyDescent="0.2">
      <c r="A1421" t="s">
        <v>18</v>
      </c>
      <c r="C1421" t="s">
        <v>19</v>
      </c>
      <c r="D1421" t="s">
        <v>91</v>
      </c>
      <c r="E1421" t="s">
        <v>84</v>
      </c>
      <c r="F1421" t="s">
        <v>91</v>
      </c>
      <c r="G1421" t="s">
        <v>16</v>
      </c>
      <c r="H1421" s="3" t="s">
        <v>32</v>
      </c>
      <c r="I1421" s="4">
        <v>15000</v>
      </c>
    </row>
    <row r="1422" spans="1:10" x14ac:dyDescent="0.2">
      <c r="A1422" t="s">
        <v>18</v>
      </c>
      <c r="C1422" t="s">
        <v>13</v>
      </c>
      <c r="D1422" t="s">
        <v>91</v>
      </c>
      <c r="E1422" t="s">
        <v>84</v>
      </c>
      <c r="F1422" t="s">
        <v>91</v>
      </c>
      <c r="G1422" t="s">
        <v>16</v>
      </c>
      <c r="H1422" s="3" t="s">
        <v>81</v>
      </c>
      <c r="J1422" s="4">
        <v>800</v>
      </c>
    </row>
    <row r="1423" spans="1:10" x14ac:dyDescent="0.2">
      <c r="A1423" t="s">
        <v>82</v>
      </c>
      <c r="C1423" t="s">
        <v>19</v>
      </c>
      <c r="D1423" t="s">
        <v>91</v>
      </c>
      <c r="E1423" t="s">
        <v>84</v>
      </c>
      <c r="F1423" t="s">
        <v>91</v>
      </c>
      <c r="G1423" t="s">
        <v>16</v>
      </c>
      <c r="H1423" s="3" t="s">
        <v>40</v>
      </c>
      <c r="I1423" s="4">
        <v>800</v>
      </c>
    </row>
    <row r="1424" spans="1:10" x14ac:dyDescent="0.2">
      <c r="A1424" t="s">
        <v>18</v>
      </c>
      <c r="C1424" t="s">
        <v>13</v>
      </c>
      <c r="D1424" t="s">
        <v>92</v>
      </c>
      <c r="E1424" t="s">
        <v>84</v>
      </c>
      <c r="F1424" t="s">
        <v>92</v>
      </c>
      <c r="G1424" t="s">
        <v>16</v>
      </c>
      <c r="H1424" s="3" t="s">
        <v>81</v>
      </c>
      <c r="J1424" s="4">
        <v>600</v>
      </c>
    </row>
    <row r="1425" spans="1:10" x14ac:dyDescent="0.2">
      <c r="A1425" t="s">
        <v>82</v>
      </c>
      <c r="C1425" t="s">
        <v>19</v>
      </c>
      <c r="D1425" t="s">
        <v>92</v>
      </c>
      <c r="E1425" t="s">
        <v>84</v>
      </c>
      <c r="F1425" t="s">
        <v>92</v>
      </c>
      <c r="G1425" t="s">
        <v>16</v>
      </c>
      <c r="H1425" s="3" t="s">
        <v>40</v>
      </c>
      <c r="I1425" s="4">
        <v>600</v>
      </c>
    </row>
    <row r="1426" spans="1:10" x14ac:dyDescent="0.2">
      <c r="A1426" t="s">
        <v>27</v>
      </c>
      <c r="C1426" t="s">
        <v>13</v>
      </c>
      <c r="D1426" t="s">
        <v>93</v>
      </c>
      <c r="E1426" t="s">
        <v>84</v>
      </c>
      <c r="F1426" t="s">
        <v>93</v>
      </c>
      <c r="G1426" t="s">
        <v>16</v>
      </c>
      <c r="H1426" s="3" t="s">
        <v>17</v>
      </c>
      <c r="J1426" s="4">
        <v>30000</v>
      </c>
    </row>
    <row r="1427" spans="1:10" x14ac:dyDescent="0.2">
      <c r="A1427" t="s">
        <v>18</v>
      </c>
      <c r="C1427" t="s">
        <v>19</v>
      </c>
      <c r="D1427" t="s">
        <v>93</v>
      </c>
      <c r="E1427" t="s">
        <v>84</v>
      </c>
      <c r="F1427" t="s">
        <v>93</v>
      </c>
      <c r="G1427" t="s">
        <v>16</v>
      </c>
      <c r="H1427" s="3" t="s">
        <v>32</v>
      </c>
      <c r="I1427" s="4">
        <v>30000</v>
      </c>
    </row>
    <row r="1428" spans="1:10" x14ac:dyDescent="0.2">
      <c r="A1428" t="s">
        <v>18</v>
      </c>
      <c r="C1428" t="s">
        <v>13</v>
      </c>
      <c r="D1428" t="s">
        <v>94</v>
      </c>
      <c r="E1428" t="s">
        <v>84</v>
      </c>
      <c r="F1428" t="s">
        <v>94</v>
      </c>
      <c r="G1428" t="s">
        <v>16</v>
      </c>
      <c r="H1428" s="3" t="s">
        <v>81</v>
      </c>
      <c r="J1428" s="4">
        <v>500</v>
      </c>
    </row>
    <row r="1429" spans="1:10" x14ac:dyDescent="0.2">
      <c r="A1429" t="s">
        <v>82</v>
      </c>
      <c r="C1429" t="s">
        <v>19</v>
      </c>
      <c r="D1429" t="s">
        <v>94</v>
      </c>
      <c r="E1429" t="s">
        <v>84</v>
      </c>
      <c r="F1429" t="s">
        <v>94</v>
      </c>
      <c r="G1429" t="s">
        <v>16</v>
      </c>
      <c r="H1429" s="3" t="s">
        <v>40</v>
      </c>
      <c r="I1429" s="4">
        <v>500</v>
      </c>
    </row>
    <row r="1430" spans="1:10" x14ac:dyDescent="0.2">
      <c r="A1430" t="s">
        <v>18</v>
      </c>
      <c r="C1430" t="s">
        <v>13</v>
      </c>
      <c r="D1430" t="s">
        <v>361</v>
      </c>
      <c r="E1430" t="s">
        <v>750</v>
      </c>
      <c r="F1430" t="s">
        <v>751</v>
      </c>
      <c r="G1430" t="s">
        <v>22</v>
      </c>
      <c r="H1430" s="3" t="s">
        <v>23</v>
      </c>
      <c r="J1430" s="4">
        <v>112.79</v>
      </c>
    </row>
    <row r="1431" spans="1:10" x14ac:dyDescent="0.2">
      <c r="A1431" t="s">
        <v>27</v>
      </c>
      <c r="C1431" t="s">
        <v>13</v>
      </c>
      <c r="D1431" t="s">
        <v>752</v>
      </c>
      <c r="E1431" t="s">
        <v>750</v>
      </c>
      <c r="F1431" t="s">
        <v>751</v>
      </c>
      <c r="G1431" t="s">
        <v>22</v>
      </c>
      <c r="H1431" s="3" t="s">
        <v>25</v>
      </c>
      <c r="J1431" s="4">
        <v>805.56</v>
      </c>
    </row>
    <row r="1432" spans="1:10" x14ac:dyDescent="0.2">
      <c r="A1432" t="s">
        <v>27</v>
      </c>
      <c r="C1432" t="s">
        <v>13</v>
      </c>
      <c r="D1432" t="s">
        <v>752</v>
      </c>
      <c r="E1432" t="s">
        <v>750</v>
      </c>
      <c r="F1432" t="s">
        <v>361</v>
      </c>
      <c r="G1432" t="s">
        <v>22</v>
      </c>
      <c r="H1432" s="3" t="s">
        <v>26</v>
      </c>
      <c r="J1432" s="4">
        <v>6352.69</v>
      </c>
    </row>
    <row r="1433" spans="1:10" x14ac:dyDescent="0.2">
      <c r="A1433" t="s">
        <v>18</v>
      </c>
      <c r="C1433" t="s">
        <v>13</v>
      </c>
      <c r="D1433" t="s">
        <v>753</v>
      </c>
      <c r="E1433" t="s">
        <v>750</v>
      </c>
      <c r="F1433" t="s">
        <v>754</v>
      </c>
      <c r="G1433" t="s">
        <v>22</v>
      </c>
      <c r="H1433" s="3" t="s">
        <v>53</v>
      </c>
      <c r="J1433" s="4">
        <v>3397.95</v>
      </c>
    </row>
    <row r="1434" spans="1:10" x14ac:dyDescent="0.2">
      <c r="A1434" t="s">
        <v>27</v>
      </c>
      <c r="C1434" t="s">
        <v>13</v>
      </c>
      <c r="D1434" t="s">
        <v>691</v>
      </c>
      <c r="E1434" t="s">
        <v>750</v>
      </c>
      <c r="F1434" t="s">
        <v>755</v>
      </c>
      <c r="G1434" t="s">
        <v>22</v>
      </c>
      <c r="H1434" s="3" t="s">
        <v>30</v>
      </c>
      <c r="J1434" s="4">
        <v>206.8</v>
      </c>
    </row>
    <row r="1435" spans="1:10" x14ac:dyDescent="0.2">
      <c r="A1435" t="s">
        <v>27</v>
      </c>
      <c r="C1435" t="s">
        <v>13</v>
      </c>
      <c r="D1435" t="s">
        <v>691</v>
      </c>
      <c r="E1435" t="s">
        <v>750</v>
      </c>
      <c r="F1435" t="s">
        <v>755</v>
      </c>
      <c r="G1435" t="s">
        <v>22</v>
      </c>
      <c r="H1435" s="3" t="s">
        <v>749</v>
      </c>
      <c r="J1435" s="4">
        <v>2940.95</v>
      </c>
    </row>
    <row r="1436" spans="1:10" x14ac:dyDescent="0.2">
      <c r="A1436" t="s">
        <v>27</v>
      </c>
      <c r="C1436" t="s">
        <v>13</v>
      </c>
      <c r="D1436" t="s">
        <v>755</v>
      </c>
      <c r="E1436" t="s">
        <v>750</v>
      </c>
      <c r="F1436" t="s">
        <v>755</v>
      </c>
      <c r="G1436" t="s">
        <v>16</v>
      </c>
      <c r="H1436" s="3" t="s">
        <v>17</v>
      </c>
      <c r="J1436" s="4">
        <v>20000</v>
      </c>
    </row>
    <row r="1437" spans="1:10" x14ac:dyDescent="0.2">
      <c r="A1437" t="s">
        <v>18</v>
      </c>
      <c r="C1437" t="s">
        <v>19</v>
      </c>
      <c r="D1437" t="s">
        <v>755</v>
      </c>
      <c r="E1437" t="s">
        <v>750</v>
      </c>
      <c r="F1437" t="s">
        <v>755</v>
      </c>
      <c r="G1437" t="s">
        <v>16</v>
      </c>
      <c r="H1437" s="3" t="s">
        <v>32</v>
      </c>
      <c r="I1437" s="4">
        <v>20000</v>
      </c>
    </row>
    <row r="1438" spans="1:10" x14ac:dyDescent="0.2">
      <c r="A1438" t="s">
        <v>27</v>
      </c>
      <c r="C1438" t="s">
        <v>13</v>
      </c>
      <c r="D1438" t="s">
        <v>756</v>
      </c>
      <c r="E1438" t="s">
        <v>750</v>
      </c>
      <c r="F1438" t="s">
        <v>755</v>
      </c>
      <c r="G1438" t="s">
        <v>22</v>
      </c>
      <c r="H1438" s="3" t="s">
        <v>36</v>
      </c>
      <c r="J1438" s="4">
        <v>378.26</v>
      </c>
    </row>
    <row r="1439" spans="1:10" x14ac:dyDescent="0.2">
      <c r="A1439" t="s">
        <v>27</v>
      </c>
      <c r="C1439" t="s">
        <v>13</v>
      </c>
      <c r="D1439" t="s">
        <v>757</v>
      </c>
      <c r="E1439" t="s">
        <v>750</v>
      </c>
      <c r="F1439" t="s">
        <v>757</v>
      </c>
      <c r="G1439" t="s">
        <v>16</v>
      </c>
      <c r="H1439" s="3" t="s">
        <v>17</v>
      </c>
      <c r="J1439" s="4">
        <v>15000</v>
      </c>
    </row>
    <row r="1440" spans="1:10" x14ac:dyDescent="0.2">
      <c r="A1440" t="s">
        <v>18</v>
      </c>
      <c r="C1440" t="s">
        <v>19</v>
      </c>
      <c r="D1440" t="s">
        <v>757</v>
      </c>
      <c r="E1440" t="s">
        <v>750</v>
      </c>
      <c r="F1440" t="s">
        <v>757</v>
      </c>
      <c r="G1440" t="s">
        <v>16</v>
      </c>
      <c r="H1440" s="3" t="s">
        <v>32</v>
      </c>
      <c r="I1440" s="4">
        <v>15000</v>
      </c>
    </row>
    <row r="1441" spans="1:12" x14ac:dyDescent="0.2">
      <c r="A1441" t="s">
        <v>18</v>
      </c>
      <c r="C1441" t="s">
        <v>13</v>
      </c>
      <c r="D1441" t="s">
        <v>758</v>
      </c>
      <c r="E1441" t="s">
        <v>750</v>
      </c>
      <c r="F1441" t="s">
        <v>758</v>
      </c>
      <c r="G1441" t="s">
        <v>16</v>
      </c>
      <c r="H1441" s="3" t="s">
        <v>39</v>
      </c>
      <c r="J1441" s="4">
        <v>4000</v>
      </c>
    </row>
    <row r="1442" spans="1:12" x14ac:dyDescent="0.2">
      <c r="A1442" t="s">
        <v>27</v>
      </c>
      <c r="C1442" t="s">
        <v>19</v>
      </c>
      <c r="D1442" t="s">
        <v>758</v>
      </c>
      <c r="E1442" t="s">
        <v>750</v>
      </c>
      <c r="F1442" t="s">
        <v>758</v>
      </c>
      <c r="G1442" t="s">
        <v>16</v>
      </c>
      <c r="H1442" s="3" t="s">
        <v>40</v>
      </c>
      <c r="I1442" s="4">
        <v>4000</v>
      </c>
    </row>
    <row r="1443" spans="1:12" x14ac:dyDescent="0.2">
      <c r="A1443" t="s">
        <v>71</v>
      </c>
      <c r="B1443" t="s">
        <v>95</v>
      </c>
      <c r="C1443" t="s">
        <v>19</v>
      </c>
      <c r="D1443" t="s">
        <v>69</v>
      </c>
      <c r="E1443" t="s">
        <v>15</v>
      </c>
      <c r="F1443" t="s">
        <v>301</v>
      </c>
      <c r="G1443" t="s">
        <v>98</v>
      </c>
      <c r="H1443" s="3" t="s">
        <v>759</v>
      </c>
      <c r="I1443" s="4">
        <v>500</v>
      </c>
      <c r="K1443" t="s">
        <v>160</v>
      </c>
      <c r="L1443" t="s">
        <v>161</v>
      </c>
    </row>
    <row r="1444" spans="1:12" x14ac:dyDescent="0.2">
      <c r="A1444" t="s">
        <v>27</v>
      </c>
      <c r="B1444" t="s">
        <v>125</v>
      </c>
      <c r="C1444" t="s">
        <v>19</v>
      </c>
      <c r="D1444" t="s">
        <v>334</v>
      </c>
      <c r="E1444" t="s">
        <v>64</v>
      </c>
      <c r="F1444" t="s">
        <v>85</v>
      </c>
      <c r="G1444" t="s">
        <v>98</v>
      </c>
      <c r="H1444" s="3" t="s">
        <v>760</v>
      </c>
      <c r="I1444" s="4">
        <v>500</v>
      </c>
      <c r="K1444" t="s">
        <v>226</v>
      </c>
      <c r="L1444" t="s">
        <v>227</v>
      </c>
    </row>
    <row r="1445" spans="1:12" x14ac:dyDescent="0.2">
      <c r="A1445" t="s">
        <v>71</v>
      </c>
      <c r="B1445" t="s">
        <v>125</v>
      </c>
      <c r="C1445" t="s">
        <v>19</v>
      </c>
      <c r="D1445" t="s">
        <v>338</v>
      </c>
      <c r="E1445" t="s">
        <v>64</v>
      </c>
      <c r="F1445" t="s">
        <v>87</v>
      </c>
      <c r="G1445" t="s">
        <v>98</v>
      </c>
      <c r="H1445" s="3" t="s">
        <v>275</v>
      </c>
      <c r="I1445" s="4">
        <v>500</v>
      </c>
      <c r="L1445" t="s">
        <v>284</v>
      </c>
    </row>
    <row r="1446" spans="1:12" x14ac:dyDescent="0.2">
      <c r="A1446" t="s">
        <v>71</v>
      </c>
      <c r="B1446" t="s">
        <v>200</v>
      </c>
      <c r="C1446" t="s">
        <v>19</v>
      </c>
      <c r="D1446" t="s">
        <v>339</v>
      </c>
      <c r="E1446" t="s">
        <v>84</v>
      </c>
      <c r="F1446" t="s">
        <v>339</v>
      </c>
      <c r="G1446" t="s">
        <v>111</v>
      </c>
      <c r="I1446" s="4">
        <v>1964</v>
      </c>
      <c r="K1446" t="s">
        <v>761</v>
      </c>
      <c r="L1446" t="s">
        <v>340</v>
      </c>
    </row>
    <row r="1447" spans="1:12" x14ac:dyDescent="0.2">
      <c r="A1447" t="s">
        <v>71</v>
      </c>
      <c r="B1447" t="s">
        <v>95</v>
      </c>
      <c r="C1447" t="s">
        <v>19</v>
      </c>
      <c r="D1447" t="s">
        <v>339</v>
      </c>
      <c r="E1447" t="s">
        <v>84</v>
      </c>
      <c r="F1447" t="s">
        <v>339</v>
      </c>
      <c r="G1447" t="s">
        <v>156</v>
      </c>
      <c r="H1447" s="3" t="s">
        <v>762</v>
      </c>
      <c r="I1447" s="4">
        <v>3036</v>
      </c>
      <c r="K1447" t="s">
        <v>761</v>
      </c>
      <c r="L1447" t="s">
        <v>340</v>
      </c>
    </row>
    <row r="1448" spans="1:12" x14ac:dyDescent="0.2">
      <c r="A1448" t="s">
        <v>748</v>
      </c>
      <c r="B1448" t="s">
        <v>95</v>
      </c>
      <c r="C1448" t="s">
        <v>19</v>
      </c>
      <c r="D1448" t="s">
        <v>339</v>
      </c>
      <c r="E1448" t="s">
        <v>84</v>
      </c>
      <c r="F1448" t="s">
        <v>339</v>
      </c>
      <c r="G1448" t="s">
        <v>211</v>
      </c>
      <c r="I1448" s="4">
        <v>500</v>
      </c>
    </row>
    <row r="1449" spans="1:12" x14ac:dyDescent="0.2">
      <c r="A1449" t="s">
        <v>748</v>
      </c>
      <c r="B1449" t="s">
        <v>125</v>
      </c>
      <c r="C1449" t="s">
        <v>19</v>
      </c>
      <c r="D1449" t="s">
        <v>339</v>
      </c>
      <c r="E1449" t="s">
        <v>84</v>
      </c>
      <c r="F1449" t="s">
        <v>339</v>
      </c>
      <c r="G1449" t="s">
        <v>107</v>
      </c>
      <c r="H1449" s="3" t="s">
        <v>763</v>
      </c>
      <c r="I1449" s="4">
        <v>16567.169999999998</v>
      </c>
      <c r="K1449" t="s">
        <v>341</v>
      </c>
      <c r="L1449" t="s">
        <v>342</v>
      </c>
    </row>
    <row r="1450" spans="1:12" x14ac:dyDescent="0.2">
      <c r="A1450" t="s">
        <v>748</v>
      </c>
      <c r="B1450" t="s">
        <v>125</v>
      </c>
      <c r="C1450" t="s">
        <v>19</v>
      </c>
      <c r="D1450" t="s">
        <v>339</v>
      </c>
      <c r="E1450" t="s">
        <v>84</v>
      </c>
      <c r="F1450" t="s">
        <v>339</v>
      </c>
      <c r="G1450" t="s">
        <v>181</v>
      </c>
      <c r="I1450" s="4">
        <v>3362.66</v>
      </c>
      <c r="K1450" t="s">
        <v>341</v>
      </c>
      <c r="L1450" t="s">
        <v>342</v>
      </c>
    </row>
    <row r="1451" spans="1:12" x14ac:dyDescent="0.2">
      <c r="A1451" t="s">
        <v>748</v>
      </c>
      <c r="B1451" t="s">
        <v>125</v>
      </c>
      <c r="C1451" t="s">
        <v>19</v>
      </c>
      <c r="D1451" t="s">
        <v>339</v>
      </c>
      <c r="E1451" t="s">
        <v>84</v>
      </c>
      <c r="F1451" t="s">
        <v>339</v>
      </c>
      <c r="G1451" t="s">
        <v>107</v>
      </c>
      <c r="H1451" s="3" t="s">
        <v>763</v>
      </c>
      <c r="I1451" s="4">
        <v>13525.8</v>
      </c>
      <c r="K1451" t="s">
        <v>764</v>
      </c>
      <c r="L1451" t="s">
        <v>765</v>
      </c>
    </row>
    <row r="1452" spans="1:12" x14ac:dyDescent="0.2">
      <c r="A1452" t="s">
        <v>748</v>
      </c>
      <c r="B1452" t="s">
        <v>125</v>
      </c>
      <c r="C1452" t="s">
        <v>19</v>
      </c>
      <c r="D1452" t="s">
        <v>339</v>
      </c>
      <c r="E1452" t="s">
        <v>84</v>
      </c>
      <c r="F1452" t="s">
        <v>339</v>
      </c>
      <c r="G1452" t="s">
        <v>107</v>
      </c>
      <c r="H1452" s="3" t="s">
        <v>766</v>
      </c>
      <c r="I1452" s="4">
        <v>4453.41</v>
      </c>
      <c r="K1452" t="s">
        <v>767</v>
      </c>
      <c r="L1452" t="s">
        <v>768</v>
      </c>
    </row>
    <row r="1453" spans="1:12" x14ac:dyDescent="0.2">
      <c r="A1453" t="s">
        <v>18</v>
      </c>
      <c r="B1453" t="s">
        <v>125</v>
      </c>
      <c r="C1453" t="s">
        <v>19</v>
      </c>
      <c r="D1453" t="s">
        <v>343</v>
      </c>
      <c r="E1453" t="s">
        <v>42</v>
      </c>
      <c r="F1453" t="s">
        <v>301</v>
      </c>
      <c r="G1453" t="s">
        <v>98</v>
      </c>
      <c r="H1453" s="3" t="s">
        <v>297</v>
      </c>
      <c r="I1453" s="4">
        <v>420</v>
      </c>
      <c r="L1453" t="s">
        <v>132</v>
      </c>
    </row>
    <row r="1454" spans="1:12" x14ac:dyDescent="0.2">
      <c r="A1454" t="s">
        <v>27</v>
      </c>
      <c r="B1454" t="s">
        <v>110</v>
      </c>
      <c r="C1454" t="s">
        <v>19</v>
      </c>
      <c r="D1454" t="s">
        <v>343</v>
      </c>
      <c r="E1454" t="s">
        <v>15</v>
      </c>
      <c r="F1454" t="s">
        <v>301</v>
      </c>
      <c r="G1454" t="s">
        <v>111</v>
      </c>
      <c r="H1454" s="3" t="s">
        <v>769</v>
      </c>
      <c r="I1454" s="4">
        <v>500</v>
      </c>
      <c r="L1454" t="s">
        <v>113</v>
      </c>
    </row>
    <row r="1455" spans="1:12" x14ac:dyDescent="0.2">
      <c r="A1455" t="s">
        <v>18</v>
      </c>
      <c r="B1455" t="s">
        <v>95</v>
      </c>
      <c r="C1455" t="s">
        <v>19</v>
      </c>
      <c r="D1455" t="s">
        <v>345</v>
      </c>
      <c r="E1455" t="s">
        <v>42</v>
      </c>
      <c r="F1455" t="s">
        <v>339</v>
      </c>
      <c r="G1455" t="s">
        <v>98</v>
      </c>
      <c r="H1455" s="3" t="s">
        <v>302</v>
      </c>
      <c r="I1455" s="4">
        <v>420</v>
      </c>
      <c r="L1455" t="s">
        <v>131</v>
      </c>
    </row>
    <row r="1456" spans="1:12" x14ac:dyDescent="0.2">
      <c r="A1456" t="s">
        <v>27</v>
      </c>
      <c r="B1456" t="s">
        <v>95</v>
      </c>
      <c r="C1456" t="s">
        <v>19</v>
      </c>
      <c r="D1456" t="s">
        <v>301</v>
      </c>
      <c r="E1456" t="s">
        <v>42</v>
      </c>
      <c r="F1456" t="s">
        <v>83</v>
      </c>
      <c r="G1456" t="s">
        <v>98</v>
      </c>
      <c r="H1456" s="3" t="s">
        <v>302</v>
      </c>
      <c r="I1456" s="4">
        <v>270</v>
      </c>
      <c r="K1456" t="s">
        <v>118</v>
      </c>
      <c r="L1456" t="s">
        <v>119</v>
      </c>
    </row>
    <row r="1457" spans="1:12" x14ac:dyDescent="0.2">
      <c r="A1457" t="s">
        <v>215</v>
      </c>
      <c r="B1457" t="s">
        <v>222</v>
      </c>
      <c r="C1457" t="s">
        <v>19</v>
      </c>
      <c r="D1457" t="s">
        <v>301</v>
      </c>
      <c r="E1457" t="s">
        <v>42</v>
      </c>
      <c r="F1457" t="s">
        <v>83</v>
      </c>
      <c r="G1457" t="s">
        <v>98</v>
      </c>
      <c r="H1457" s="3" t="s">
        <v>770</v>
      </c>
      <c r="I1457" s="4">
        <v>200</v>
      </c>
      <c r="K1457" t="s">
        <v>224</v>
      </c>
      <c r="L1457" t="s">
        <v>225</v>
      </c>
    </row>
    <row r="1458" spans="1:12" x14ac:dyDescent="0.2">
      <c r="A1458" t="s">
        <v>27</v>
      </c>
      <c r="B1458" t="s">
        <v>125</v>
      </c>
      <c r="C1458" t="s">
        <v>19</v>
      </c>
      <c r="D1458" t="s">
        <v>301</v>
      </c>
      <c r="E1458" t="s">
        <v>84</v>
      </c>
      <c r="F1458" t="s">
        <v>301</v>
      </c>
      <c r="G1458" t="s">
        <v>107</v>
      </c>
      <c r="H1458" s="3" t="s">
        <v>771</v>
      </c>
      <c r="I1458" s="4">
        <v>9934.08</v>
      </c>
      <c r="K1458" t="s">
        <v>772</v>
      </c>
      <c r="L1458" t="s">
        <v>773</v>
      </c>
    </row>
    <row r="1459" spans="1:12" x14ac:dyDescent="0.2">
      <c r="A1459" t="s">
        <v>27</v>
      </c>
      <c r="B1459" t="s">
        <v>125</v>
      </c>
      <c r="C1459" t="s">
        <v>19</v>
      </c>
      <c r="D1459" t="s">
        <v>301</v>
      </c>
      <c r="E1459" t="s">
        <v>84</v>
      </c>
      <c r="F1459" t="s">
        <v>301</v>
      </c>
      <c r="G1459" t="s">
        <v>107</v>
      </c>
      <c r="H1459" s="3" t="s">
        <v>771</v>
      </c>
      <c r="I1459" s="4">
        <v>6216.63</v>
      </c>
      <c r="K1459" t="s">
        <v>774</v>
      </c>
      <c r="L1459" t="s">
        <v>775</v>
      </c>
    </row>
    <row r="1460" spans="1:12" x14ac:dyDescent="0.2">
      <c r="A1460" t="s">
        <v>27</v>
      </c>
      <c r="B1460" t="s">
        <v>95</v>
      </c>
      <c r="C1460" t="s">
        <v>19</v>
      </c>
      <c r="D1460" t="s">
        <v>83</v>
      </c>
      <c r="E1460" t="s">
        <v>15</v>
      </c>
      <c r="F1460" t="s">
        <v>346</v>
      </c>
      <c r="G1460" t="s">
        <v>98</v>
      </c>
      <c r="H1460" s="3" t="s">
        <v>776</v>
      </c>
      <c r="I1460" s="4">
        <v>300</v>
      </c>
      <c r="L1460" t="s">
        <v>134</v>
      </c>
    </row>
    <row r="1461" spans="1:12" x14ac:dyDescent="0.2">
      <c r="A1461" t="s">
        <v>18</v>
      </c>
      <c r="B1461" t="s">
        <v>125</v>
      </c>
      <c r="C1461" t="s">
        <v>19</v>
      </c>
      <c r="D1461" t="s">
        <v>83</v>
      </c>
      <c r="E1461" t="s">
        <v>42</v>
      </c>
      <c r="F1461" t="s">
        <v>85</v>
      </c>
      <c r="G1461" t="s">
        <v>98</v>
      </c>
      <c r="H1461" s="3" t="s">
        <v>302</v>
      </c>
      <c r="I1461" s="4">
        <v>408.13</v>
      </c>
      <c r="K1461" t="s">
        <v>123</v>
      </c>
      <c r="L1461" t="s">
        <v>124</v>
      </c>
    </row>
    <row r="1462" spans="1:12" x14ac:dyDescent="0.2">
      <c r="A1462" t="s">
        <v>27</v>
      </c>
      <c r="B1462" t="s">
        <v>125</v>
      </c>
      <c r="C1462" t="s">
        <v>19</v>
      </c>
      <c r="D1462" t="s">
        <v>83</v>
      </c>
      <c r="E1462" t="s">
        <v>84</v>
      </c>
      <c r="F1462" t="s">
        <v>83</v>
      </c>
      <c r="G1462" t="s">
        <v>104</v>
      </c>
      <c r="I1462" s="4">
        <v>15688</v>
      </c>
      <c r="K1462" t="s">
        <v>777</v>
      </c>
      <c r="L1462" t="s">
        <v>778</v>
      </c>
    </row>
    <row r="1463" spans="1:12" x14ac:dyDescent="0.2">
      <c r="A1463" t="s">
        <v>27</v>
      </c>
      <c r="B1463" t="s">
        <v>200</v>
      </c>
      <c r="C1463" t="s">
        <v>19</v>
      </c>
      <c r="D1463" t="s">
        <v>83</v>
      </c>
      <c r="E1463" t="s">
        <v>84</v>
      </c>
      <c r="F1463" t="s">
        <v>83</v>
      </c>
      <c r="G1463" t="s">
        <v>107</v>
      </c>
      <c r="I1463" s="4">
        <v>4945</v>
      </c>
      <c r="K1463" t="s">
        <v>209</v>
      </c>
      <c r="L1463" t="s">
        <v>210</v>
      </c>
    </row>
    <row r="1464" spans="1:12" x14ac:dyDescent="0.2">
      <c r="A1464" t="s">
        <v>18</v>
      </c>
      <c r="B1464" t="s">
        <v>95</v>
      </c>
      <c r="C1464" t="s">
        <v>19</v>
      </c>
      <c r="D1464" t="s">
        <v>87</v>
      </c>
      <c r="E1464" t="s">
        <v>15</v>
      </c>
      <c r="F1464" t="s">
        <v>87</v>
      </c>
      <c r="G1464" t="s">
        <v>98</v>
      </c>
      <c r="H1464" s="3" t="s">
        <v>779</v>
      </c>
      <c r="I1464" s="4">
        <v>1000</v>
      </c>
      <c r="K1464" t="s">
        <v>152</v>
      </c>
      <c r="L1464" t="s">
        <v>153</v>
      </c>
    </row>
    <row r="1465" spans="1:12" x14ac:dyDescent="0.2">
      <c r="A1465" t="s">
        <v>18</v>
      </c>
      <c r="B1465" t="s">
        <v>95</v>
      </c>
      <c r="C1465" t="s">
        <v>19</v>
      </c>
      <c r="D1465" t="s">
        <v>87</v>
      </c>
      <c r="E1465" t="s">
        <v>15</v>
      </c>
      <c r="F1465" t="s">
        <v>83</v>
      </c>
      <c r="G1465" t="s">
        <v>98</v>
      </c>
      <c r="H1465" s="3" t="s">
        <v>780</v>
      </c>
      <c r="I1465" s="4">
        <v>634</v>
      </c>
      <c r="L1465" t="s">
        <v>154</v>
      </c>
    </row>
    <row r="1466" spans="1:12" x14ac:dyDescent="0.2">
      <c r="A1466" t="s">
        <v>71</v>
      </c>
      <c r="B1466" t="s">
        <v>200</v>
      </c>
      <c r="C1466" t="s">
        <v>19</v>
      </c>
      <c r="D1466" t="s">
        <v>87</v>
      </c>
      <c r="E1466" t="s">
        <v>781</v>
      </c>
      <c r="F1466" t="s">
        <v>85</v>
      </c>
      <c r="G1466" t="s">
        <v>98</v>
      </c>
      <c r="H1466" s="3" t="s">
        <v>333</v>
      </c>
      <c r="I1466" s="4">
        <v>540</v>
      </c>
      <c r="L1466" t="s">
        <v>202</v>
      </c>
    </row>
    <row r="1467" spans="1:12" x14ac:dyDescent="0.2">
      <c r="A1467" t="s">
        <v>748</v>
      </c>
      <c r="B1467" t="s">
        <v>125</v>
      </c>
      <c r="C1467" t="s">
        <v>19</v>
      </c>
      <c r="D1467" t="s">
        <v>87</v>
      </c>
      <c r="E1467" t="s">
        <v>84</v>
      </c>
      <c r="F1467" t="s">
        <v>87</v>
      </c>
      <c r="G1467" t="s">
        <v>104</v>
      </c>
      <c r="I1467" s="4">
        <v>8180</v>
      </c>
      <c r="K1467" t="s">
        <v>782</v>
      </c>
      <c r="L1467" t="s">
        <v>783</v>
      </c>
    </row>
    <row r="1468" spans="1:12" x14ac:dyDescent="0.2">
      <c r="A1468" t="s">
        <v>27</v>
      </c>
      <c r="B1468" t="s">
        <v>125</v>
      </c>
      <c r="C1468" t="s">
        <v>19</v>
      </c>
      <c r="D1468" t="s">
        <v>87</v>
      </c>
      <c r="E1468" t="s">
        <v>84</v>
      </c>
      <c r="F1468" t="s">
        <v>87</v>
      </c>
      <c r="G1468" t="s">
        <v>104</v>
      </c>
      <c r="I1468" s="4">
        <v>1345</v>
      </c>
      <c r="K1468" t="s">
        <v>784</v>
      </c>
      <c r="L1468" t="s">
        <v>785</v>
      </c>
    </row>
    <row r="1469" spans="1:12" x14ac:dyDescent="0.2">
      <c r="A1469" t="s">
        <v>27</v>
      </c>
      <c r="B1469" t="s">
        <v>125</v>
      </c>
      <c r="C1469" t="s">
        <v>19</v>
      </c>
      <c r="D1469" t="s">
        <v>87</v>
      </c>
      <c r="E1469" t="s">
        <v>84</v>
      </c>
      <c r="F1469" t="s">
        <v>87</v>
      </c>
      <c r="G1469" t="s">
        <v>104</v>
      </c>
      <c r="I1469" s="4">
        <v>5500</v>
      </c>
      <c r="K1469" t="s">
        <v>786</v>
      </c>
      <c r="L1469" t="s">
        <v>787</v>
      </c>
    </row>
    <row r="1470" spans="1:12" x14ac:dyDescent="0.2">
      <c r="A1470" t="s">
        <v>27</v>
      </c>
      <c r="B1470" t="s">
        <v>95</v>
      </c>
      <c r="C1470" t="s">
        <v>19</v>
      </c>
      <c r="D1470" t="s">
        <v>85</v>
      </c>
      <c r="E1470" t="s">
        <v>15</v>
      </c>
      <c r="F1470" t="s">
        <v>85</v>
      </c>
      <c r="G1470" t="s">
        <v>98</v>
      </c>
      <c r="H1470" s="3" t="s">
        <v>780</v>
      </c>
      <c r="I1470" s="4">
        <v>500</v>
      </c>
      <c r="L1470" t="s">
        <v>164</v>
      </c>
    </row>
    <row r="1471" spans="1:12" x14ac:dyDescent="0.2">
      <c r="A1471" t="s">
        <v>27</v>
      </c>
      <c r="B1471" t="s">
        <v>125</v>
      </c>
      <c r="C1471" t="s">
        <v>19</v>
      </c>
      <c r="D1471" t="s">
        <v>85</v>
      </c>
      <c r="E1471" t="s">
        <v>84</v>
      </c>
      <c r="F1471" t="s">
        <v>85</v>
      </c>
      <c r="G1471" t="s">
        <v>104</v>
      </c>
      <c r="I1471" s="4">
        <v>9075</v>
      </c>
      <c r="K1471" t="s">
        <v>788</v>
      </c>
      <c r="L1471" t="s">
        <v>789</v>
      </c>
    </row>
    <row r="1472" spans="1:12" x14ac:dyDescent="0.2">
      <c r="A1472" t="s">
        <v>71</v>
      </c>
      <c r="B1472" t="s">
        <v>95</v>
      </c>
      <c r="C1472" t="s">
        <v>19</v>
      </c>
      <c r="D1472" t="s">
        <v>85</v>
      </c>
      <c r="E1472" t="s">
        <v>84</v>
      </c>
      <c r="F1472" t="s">
        <v>85</v>
      </c>
      <c r="G1472" t="s">
        <v>156</v>
      </c>
      <c r="H1472" s="3" t="s">
        <v>790</v>
      </c>
      <c r="I1472" s="4">
        <v>600</v>
      </c>
      <c r="L1472" t="s">
        <v>791</v>
      </c>
    </row>
    <row r="1473" spans="1:12" x14ac:dyDescent="0.2">
      <c r="A1473" t="s">
        <v>215</v>
      </c>
      <c r="B1473" t="s">
        <v>200</v>
      </c>
      <c r="C1473" t="s">
        <v>19</v>
      </c>
      <c r="D1473" t="s">
        <v>348</v>
      </c>
      <c r="E1473" t="s">
        <v>84</v>
      </c>
      <c r="F1473" t="s">
        <v>83</v>
      </c>
      <c r="G1473" t="s">
        <v>104</v>
      </c>
      <c r="I1473" s="4">
        <v>2228</v>
      </c>
      <c r="K1473" t="s">
        <v>349</v>
      </c>
      <c r="L1473" t="s">
        <v>350</v>
      </c>
    </row>
    <row r="1474" spans="1:12" x14ac:dyDescent="0.2">
      <c r="A1474" t="s">
        <v>27</v>
      </c>
      <c r="B1474" t="s">
        <v>200</v>
      </c>
      <c r="C1474" t="s">
        <v>19</v>
      </c>
      <c r="D1474" t="s">
        <v>348</v>
      </c>
      <c r="E1474" t="s">
        <v>84</v>
      </c>
      <c r="F1474" t="s">
        <v>348</v>
      </c>
      <c r="G1474" t="s">
        <v>104</v>
      </c>
      <c r="I1474" s="4">
        <v>6000</v>
      </c>
      <c r="K1474" t="s">
        <v>792</v>
      </c>
      <c r="L1474" t="s">
        <v>793</v>
      </c>
    </row>
    <row r="1475" spans="1:12" x14ac:dyDescent="0.2">
      <c r="A1475" t="s">
        <v>27</v>
      </c>
      <c r="B1475" t="s">
        <v>95</v>
      </c>
      <c r="C1475" t="s">
        <v>19</v>
      </c>
      <c r="D1475" t="s">
        <v>348</v>
      </c>
      <c r="E1475" t="s">
        <v>84</v>
      </c>
      <c r="F1475" t="s">
        <v>348</v>
      </c>
      <c r="G1475" t="s">
        <v>98</v>
      </c>
      <c r="I1475" s="4">
        <v>320</v>
      </c>
      <c r="L1475" t="s">
        <v>166</v>
      </c>
    </row>
    <row r="1476" spans="1:12" x14ac:dyDescent="0.2">
      <c r="A1476" t="s">
        <v>27</v>
      </c>
      <c r="B1476" t="s">
        <v>95</v>
      </c>
      <c r="C1476" t="s">
        <v>19</v>
      </c>
      <c r="D1476" t="s">
        <v>348</v>
      </c>
      <c r="E1476" t="s">
        <v>84</v>
      </c>
      <c r="F1476" t="s">
        <v>348</v>
      </c>
      <c r="G1476" t="s">
        <v>107</v>
      </c>
      <c r="I1476" s="4">
        <v>9622.5</v>
      </c>
      <c r="K1476" t="s">
        <v>794</v>
      </c>
      <c r="L1476" t="s">
        <v>795</v>
      </c>
    </row>
    <row r="1477" spans="1:12" x14ac:dyDescent="0.2">
      <c r="A1477" t="s">
        <v>71</v>
      </c>
      <c r="B1477" t="s">
        <v>95</v>
      </c>
      <c r="C1477" t="s">
        <v>19</v>
      </c>
      <c r="D1477" t="s">
        <v>351</v>
      </c>
      <c r="E1477" t="s">
        <v>15</v>
      </c>
      <c r="F1477" t="s">
        <v>94</v>
      </c>
      <c r="G1477" t="s">
        <v>98</v>
      </c>
      <c r="H1477" s="3" t="s">
        <v>796</v>
      </c>
      <c r="I1477" s="4">
        <v>500</v>
      </c>
      <c r="K1477" t="s">
        <v>160</v>
      </c>
      <c r="L1477" t="s">
        <v>161</v>
      </c>
    </row>
    <row r="1478" spans="1:12" x14ac:dyDescent="0.2">
      <c r="A1478" t="s">
        <v>71</v>
      </c>
      <c r="B1478" t="s">
        <v>95</v>
      </c>
      <c r="C1478" t="s">
        <v>19</v>
      </c>
      <c r="D1478" t="s">
        <v>351</v>
      </c>
      <c r="E1478" t="s">
        <v>84</v>
      </c>
      <c r="F1478" t="s">
        <v>348</v>
      </c>
      <c r="G1478" t="s">
        <v>156</v>
      </c>
      <c r="H1478" s="3" t="s">
        <v>239</v>
      </c>
      <c r="I1478" s="4">
        <v>600</v>
      </c>
    </row>
    <row r="1479" spans="1:12" x14ac:dyDescent="0.2">
      <c r="A1479" t="s">
        <v>27</v>
      </c>
      <c r="B1479" t="s">
        <v>95</v>
      </c>
      <c r="C1479" t="s">
        <v>19</v>
      </c>
      <c r="D1479" t="s">
        <v>86</v>
      </c>
      <c r="E1479" t="s">
        <v>84</v>
      </c>
      <c r="F1479" t="s">
        <v>86</v>
      </c>
      <c r="G1479" t="s">
        <v>162</v>
      </c>
      <c r="I1479" s="4">
        <v>0.41</v>
      </c>
    </row>
    <row r="1480" spans="1:12" x14ac:dyDescent="0.2">
      <c r="A1480" t="s">
        <v>27</v>
      </c>
      <c r="B1480" t="s">
        <v>95</v>
      </c>
      <c r="C1480" t="s">
        <v>19</v>
      </c>
      <c r="D1480" t="s">
        <v>88</v>
      </c>
      <c r="E1480" t="s">
        <v>84</v>
      </c>
      <c r="F1480" t="s">
        <v>346</v>
      </c>
      <c r="G1480" t="s">
        <v>98</v>
      </c>
      <c r="H1480" s="3" t="s">
        <v>333</v>
      </c>
      <c r="I1480" s="4">
        <v>900</v>
      </c>
      <c r="K1480" t="s">
        <v>176</v>
      </c>
      <c r="L1480" t="s">
        <v>177</v>
      </c>
    </row>
    <row r="1481" spans="1:12" x14ac:dyDescent="0.2">
      <c r="A1481" t="s">
        <v>27</v>
      </c>
      <c r="B1481" t="s">
        <v>95</v>
      </c>
      <c r="C1481" t="s">
        <v>19</v>
      </c>
      <c r="D1481" t="s">
        <v>88</v>
      </c>
      <c r="E1481" t="s">
        <v>84</v>
      </c>
      <c r="F1481" t="s">
        <v>88</v>
      </c>
      <c r="G1481" t="s">
        <v>211</v>
      </c>
      <c r="I1481" s="4">
        <v>250</v>
      </c>
    </row>
    <row r="1482" spans="1:12" x14ac:dyDescent="0.2">
      <c r="A1482" t="s">
        <v>27</v>
      </c>
      <c r="B1482" t="s">
        <v>95</v>
      </c>
      <c r="C1482" t="s">
        <v>19</v>
      </c>
      <c r="D1482" t="s">
        <v>88</v>
      </c>
      <c r="E1482" t="s">
        <v>84</v>
      </c>
      <c r="F1482" t="s">
        <v>88</v>
      </c>
      <c r="G1482" t="s">
        <v>162</v>
      </c>
      <c r="I1482" s="4">
        <v>2.16</v>
      </c>
    </row>
    <row r="1483" spans="1:12" x14ac:dyDescent="0.2">
      <c r="A1483" t="s">
        <v>748</v>
      </c>
      <c r="B1483" t="s">
        <v>95</v>
      </c>
      <c r="C1483" t="s">
        <v>19</v>
      </c>
      <c r="D1483" t="s">
        <v>88</v>
      </c>
      <c r="E1483" t="s">
        <v>84</v>
      </c>
      <c r="F1483" t="s">
        <v>88</v>
      </c>
      <c r="G1483" t="s">
        <v>156</v>
      </c>
      <c r="H1483" s="3" t="s">
        <v>797</v>
      </c>
      <c r="I1483" s="4">
        <v>9.9</v>
      </c>
    </row>
    <row r="1484" spans="1:12" x14ac:dyDescent="0.2">
      <c r="A1484" t="s">
        <v>27</v>
      </c>
      <c r="B1484" t="s">
        <v>200</v>
      </c>
      <c r="C1484" t="s">
        <v>19</v>
      </c>
      <c r="D1484" t="s">
        <v>89</v>
      </c>
      <c r="E1484" t="s">
        <v>64</v>
      </c>
      <c r="F1484" t="s">
        <v>339</v>
      </c>
      <c r="G1484" t="s">
        <v>98</v>
      </c>
      <c r="H1484" s="3" t="s">
        <v>760</v>
      </c>
      <c r="I1484" s="4">
        <v>400</v>
      </c>
      <c r="L1484" t="s">
        <v>270</v>
      </c>
    </row>
    <row r="1485" spans="1:12" x14ac:dyDescent="0.2">
      <c r="A1485" t="s">
        <v>748</v>
      </c>
      <c r="B1485" t="s">
        <v>200</v>
      </c>
      <c r="C1485" t="s">
        <v>19</v>
      </c>
      <c r="D1485" t="s">
        <v>89</v>
      </c>
      <c r="E1485" t="s">
        <v>64</v>
      </c>
      <c r="F1485" t="s">
        <v>90</v>
      </c>
      <c r="G1485" t="s">
        <v>98</v>
      </c>
      <c r="H1485" s="3" t="s">
        <v>219</v>
      </c>
      <c r="I1485" s="4">
        <v>500</v>
      </c>
      <c r="L1485" t="s">
        <v>189</v>
      </c>
    </row>
    <row r="1486" spans="1:12" x14ac:dyDescent="0.2">
      <c r="A1486" t="s">
        <v>27</v>
      </c>
      <c r="B1486" t="s">
        <v>95</v>
      </c>
      <c r="C1486" t="s">
        <v>19</v>
      </c>
      <c r="D1486" t="s">
        <v>89</v>
      </c>
      <c r="E1486" t="s">
        <v>84</v>
      </c>
      <c r="F1486" t="s">
        <v>89</v>
      </c>
      <c r="G1486" t="s">
        <v>107</v>
      </c>
      <c r="I1486" s="4">
        <v>7132</v>
      </c>
      <c r="K1486" t="s">
        <v>100</v>
      </c>
      <c r="L1486" t="s">
        <v>101</v>
      </c>
    </row>
    <row r="1487" spans="1:12" x14ac:dyDescent="0.2">
      <c r="A1487" t="s">
        <v>27</v>
      </c>
      <c r="B1487" t="s">
        <v>245</v>
      </c>
      <c r="C1487" t="s">
        <v>19</v>
      </c>
      <c r="D1487" t="s">
        <v>352</v>
      </c>
      <c r="E1487" t="s">
        <v>42</v>
      </c>
      <c r="F1487" t="s">
        <v>89</v>
      </c>
      <c r="G1487" t="s">
        <v>107</v>
      </c>
      <c r="H1487" s="3" t="s">
        <v>798</v>
      </c>
      <c r="I1487" s="4">
        <v>600</v>
      </c>
      <c r="K1487" t="s">
        <v>187</v>
      </c>
      <c r="L1487" t="s">
        <v>188</v>
      </c>
    </row>
    <row r="1488" spans="1:12" x14ac:dyDescent="0.2">
      <c r="A1488" t="s">
        <v>215</v>
      </c>
      <c r="B1488" t="s">
        <v>200</v>
      </c>
      <c r="C1488" t="s">
        <v>19</v>
      </c>
      <c r="D1488" t="s">
        <v>352</v>
      </c>
      <c r="E1488" t="s">
        <v>84</v>
      </c>
      <c r="F1488" t="s">
        <v>86</v>
      </c>
      <c r="G1488" t="s">
        <v>104</v>
      </c>
      <c r="I1488" s="4">
        <v>1822</v>
      </c>
      <c r="K1488" t="s">
        <v>353</v>
      </c>
      <c r="L1488" t="s">
        <v>354</v>
      </c>
    </row>
    <row r="1489" spans="1:12" x14ac:dyDescent="0.2">
      <c r="A1489" t="s">
        <v>27</v>
      </c>
      <c r="B1489" t="s">
        <v>95</v>
      </c>
      <c r="C1489" t="s">
        <v>19</v>
      </c>
      <c r="D1489" t="s">
        <v>352</v>
      </c>
      <c r="E1489" t="s">
        <v>84</v>
      </c>
      <c r="F1489" t="s">
        <v>352</v>
      </c>
      <c r="G1489" t="s">
        <v>162</v>
      </c>
      <c r="I1489" s="4">
        <v>0.01</v>
      </c>
    </row>
    <row r="1490" spans="1:12" x14ac:dyDescent="0.2">
      <c r="A1490" t="s">
        <v>27</v>
      </c>
      <c r="B1490" t="s">
        <v>95</v>
      </c>
      <c r="C1490" t="s">
        <v>19</v>
      </c>
      <c r="D1490" t="s">
        <v>90</v>
      </c>
      <c r="E1490" t="s">
        <v>84</v>
      </c>
      <c r="F1490" t="s">
        <v>90</v>
      </c>
      <c r="G1490" t="s">
        <v>104</v>
      </c>
      <c r="I1490" s="4">
        <v>6500</v>
      </c>
      <c r="L1490" t="s">
        <v>799</v>
      </c>
    </row>
    <row r="1491" spans="1:12" x14ac:dyDescent="0.2">
      <c r="A1491" t="s">
        <v>748</v>
      </c>
      <c r="B1491" t="s">
        <v>95</v>
      </c>
      <c r="C1491" t="s">
        <v>19</v>
      </c>
      <c r="D1491" t="s">
        <v>90</v>
      </c>
      <c r="E1491" t="s">
        <v>84</v>
      </c>
      <c r="F1491" t="s">
        <v>90</v>
      </c>
      <c r="G1491" t="s">
        <v>211</v>
      </c>
      <c r="I1491" s="4">
        <v>3440</v>
      </c>
    </row>
    <row r="1492" spans="1:12" x14ac:dyDescent="0.2">
      <c r="A1492" t="s">
        <v>215</v>
      </c>
      <c r="B1492" t="s">
        <v>200</v>
      </c>
      <c r="C1492" t="s">
        <v>19</v>
      </c>
      <c r="D1492" t="s">
        <v>91</v>
      </c>
      <c r="E1492" t="s">
        <v>84</v>
      </c>
      <c r="F1492" t="s">
        <v>91</v>
      </c>
      <c r="G1492" t="s">
        <v>111</v>
      </c>
      <c r="H1492" s="3" t="s">
        <v>283</v>
      </c>
      <c r="I1492" s="4">
        <v>500</v>
      </c>
      <c r="L1492" t="s">
        <v>355</v>
      </c>
    </row>
    <row r="1493" spans="1:12" x14ac:dyDescent="0.2">
      <c r="A1493" t="s">
        <v>27</v>
      </c>
      <c r="B1493" t="s">
        <v>95</v>
      </c>
      <c r="C1493" t="s">
        <v>19</v>
      </c>
      <c r="D1493" t="s">
        <v>91</v>
      </c>
      <c r="E1493" t="s">
        <v>84</v>
      </c>
      <c r="F1493" t="s">
        <v>91</v>
      </c>
      <c r="G1493" t="s">
        <v>162</v>
      </c>
      <c r="I1493" s="4">
        <v>2.5299999999999998</v>
      </c>
    </row>
    <row r="1494" spans="1:12" x14ac:dyDescent="0.2">
      <c r="A1494" t="s">
        <v>34</v>
      </c>
      <c r="B1494" t="s">
        <v>95</v>
      </c>
      <c r="C1494" t="s">
        <v>19</v>
      </c>
      <c r="D1494" t="s">
        <v>356</v>
      </c>
      <c r="E1494" t="s">
        <v>84</v>
      </c>
      <c r="F1494" t="s">
        <v>86</v>
      </c>
      <c r="G1494" t="s">
        <v>162</v>
      </c>
      <c r="I1494" s="4">
        <v>0.41</v>
      </c>
    </row>
    <row r="1495" spans="1:12" x14ac:dyDescent="0.2">
      <c r="A1495" t="s">
        <v>71</v>
      </c>
      <c r="B1495" t="s">
        <v>125</v>
      </c>
      <c r="C1495" t="s">
        <v>19</v>
      </c>
      <c r="D1495" t="s">
        <v>356</v>
      </c>
      <c r="E1495" t="s">
        <v>84</v>
      </c>
      <c r="F1495" t="s">
        <v>356</v>
      </c>
      <c r="G1495" t="s">
        <v>104</v>
      </c>
      <c r="I1495" s="4">
        <v>7700</v>
      </c>
      <c r="K1495" t="s">
        <v>800</v>
      </c>
      <c r="L1495" t="s">
        <v>801</v>
      </c>
    </row>
    <row r="1496" spans="1:12" x14ac:dyDescent="0.2">
      <c r="A1496" t="s">
        <v>27</v>
      </c>
      <c r="B1496" t="s">
        <v>200</v>
      </c>
      <c r="C1496" t="s">
        <v>19</v>
      </c>
      <c r="D1496" t="s">
        <v>356</v>
      </c>
      <c r="E1496" t="s">
        <v>84</v>
      </c>
      <c r="F1496" t="s">
        <v>356</v>
      </c>
      <c r="G1496" t="s">
        <v>104</v>
      </c>
      <c r="H1496" s="3" t="s">
        <v>802</v>
      </c>
      <c r="I1496" s="4">
        <v>70</v>
      </c>
      <c r="K1496" t="s">
        <v>800</v>
      </c>
      <c r="L1496" t="s">
        <v>801</v>
      </c>
    </row>
    <row r="1497" spans="1:12" x14ac:dyDescent="0.2">
      <c r="A1497" t="s">
        <v>18</v>
      </c>
      <c r="B1497" t="s">
        <v>95</v>
      </c>
      <c r="C1497" t="s">
        <v>19</v>
      </c>
      <c r="D1497" t="s">
        <v>92</v>
      </c>
      <c r="E1497" t="s">
        <v>15</v>
      </c>
      <c r="F1497" t="s">
        <v>88</v>
      </c>
      <c r="G1497" t="s">
        <v>111</v>
      </c>
      <c r="H1497" s="3" t="s">
        <v>779</v>
      </c>
      <c r="I1497" s="4">
        <v>2000</v>
      </c>
      <c r="K1497" t="s">
        <v>192</v>
      </c>
      <c r="L1497" t="s">
        <v>193</v>
      </c>
    </row>
    <row r="1498" spans="1:12" x14ac:dyDescent="0.2">
      <c r="A1498" t="s">
        <v>27</v>
      </c>
      <c r="B1498" t="s">
        <v>95</v>
      </c>
      <c r="C1498" t="s">
        <v>19</v>
      </c>
      <c r="D1498" t="s">
        <v>92</v>
      </c>
      <c r="E1498" t="s">
        <v>84</v>
      </c>
      <c r="F1498" t="s">
        <v>92</v>
      </c>
      <c r="G1498" t="s">
        <v>162</v>
      </c>
      <c r="I1498" s="4">
        <v>0.13</v>
      </c>
    </row>
    <row r="1499" spans="1:12" x14ac:dyDescent="0.2">
      <c r="A1499" t="s">
        <v>27</v>
      </c>
      <c r="B1499" t="s">
        <v>95</v>
      </c>
      <c r="C1499" t="s">
        <v>19</v>
      </c>
      <c r="D1499" t="s">
        <v>357</v>
      </c>
      <c r="E1499" t="s">
        <v>84</v>
      </c>
      <c r="F1499" t="s">
        <v>357</v>
      </c>
      <c r="G1499" t="s">
        <v>162</v>
      </c>
      <c r="I1499" s="4">
        <v>0.13</v>
      </c>
    </row>
    <row r="1500" spans="1:12" x14ac:dyDescent="0.2">
      <c r="A1500" t="s">
        <v>18</v>
      </c>
      <c r="B1500" t="s">
        <v>95</v>
      </c>
      <c r="C1500" t="s">
        <v>19</v>
      </c>
      <c r="D1500" t="s">
        <v>803</v>
      </c>
      <c r="E1500" t="s">
        <v>15</v>
      </c>
      <c r="F1500" t="s">
        <v>83</v>
      </c>
      <c r="G1500" t="s">
        <v>98</v>
      </c>
      <c r="H1500" s="3" t="s">
        <v>804</v>
      </c>
      <c r="I1500" s="4">
        <v>530</v>
      </c>
      <c r="L1500" t="s">
        <v>199</v>
      </c>
    </row>
    <row r="1501" spans="1:12" x14ac:dyDescent="0.2">
      <c r="A1501" t="s">
        <v>27</v>
      </c>
      <c r="B1501" t="s">
        <v>200</v>
      </c>
      <c r="C1501" t="s">
        <v>19</v>
      </c>
      <c r="D1501" t="s">
        <v>93</v>
      </c>
      <c r="E1501" t="s">
        <v>84</v>
      </c>
      <c r="F1501" t="s">
        <v>93</v>
      </c>
      <c r="G1501" t="s">
        <v>104</v>
      </c>
      <c r="I1501" s="4">
        <v>197.22</v>
      </c>
      <c r="L1501" t="s">
        <v>174</v>
      </c>
    </row>
    <row r="1502" spans="1:12" x14ac:dyDescent="0.2">
      <c r="A1502" t="s">
        <v>27</v>
      </c>
      <c r="B1502" t="s">
        <v>125</v>
      </c>
      <c r="C1502" t="s">
        <v>19</v>
      </c>
      <c r="D1502" t="s">
        <v>358</v>
      </c>
      <c r="E1502" t="s">
        <v>84</v>
      </c>
      <c r="F1502" t="s">
        <v>358</v>
      </c>
      <c r="G1502" t="s">
        <v>104</v>
      </c>
      <c r="I1502" s="4">
        <v>2709</v>
      </c>
      <c r="K1502" t="s">
        <v>805</v>
      </c>
      <c r="L1502" t="s">
        <v>806</v>
      </c>
    </row>
    <row r="1503" spans="1:12" x14ac:dyDescent="0.2">
      <c r="A1503" t="s">
        <v>27</v>
      </c>
      <c r="B1503" t="s">
        <v>95</v>
      </c>
      <c r="C1503" t="s">
        <v>19</v>
      </c>
      <c r="D1503" t="s">
        <v>358</v>
      </c>
      <c r="E1503" t="s">
        <v>84</v>
      </c>
      <c r="F1503" t="s">
        <v>358</v>
      </c>
      <c r="G1503" t="s">
        <v>211</v>
      </c>
      <c r="H1503" s="3" t="s">
        <v>807</v>
      </c>
      <c r="I1503" s="4">
        <v>1000</v>
      </c>
    </row>
    <row r="1504" spans="1:12" x14ac:dyDescent="0.2">
      <c r="A1504" t="s">
        <v>27</v>
      </c>
      <c r="B1504" t="s">
        <v>95</v>
      </c>
      <c r="C1504" t="s">
        <v>19</v>
      </c>
      <c r="D1504" t="s">
        <v>359</v>
      </c>
      <c r="E1504" t="s">
        <v>84</v>
      </c>
      <c r="F1504" t="s">
        <v>359</v>
      </c>
      <c r="G1504" t="s">
        <v>162</v>
      </c>
      <c r="I1504" s="4">
        <v>7.0000000000000007E-2</v>
      </c>
    </row>
    <row r="1505" spans="1:12" x14ac:dyDescent="0.2">
      <c r="A1505" t="s">
        <v>18</v>
      </c>
      <c r="B1505" t="s">
        <v>95</v>
      </c>
      <c r="C1505" t="s">
        <v>19</v>
      </c>
      <c r="D1505" t="s">
        <v>94</v>
      </c>
      <c r="E1505" t="s">
        <v>15</v>
      </c>
      <c r="F1505" t="s">
        <v>93</v>
      </c>
      <c r="G1505" t="s">
        <v>98</v>
      </c>
      <c r="H1505" s="3" t="s">
        <v>808</v>
      </c>
      <c r="I1505" s="4">
        <v>450</v>
      </c>
      <c r="K1505" t="s">
        <v>204</v>
      </c>
      <c r="L1505" t="s">
        <v>205</v>
      </c>
    </row>
    <row r="1506" spans="1:12" x14ac:dyDescent="0.2">
      <c r="A1506" t="s">
        <v>18</v>
      </c>
      <c r="B1506" t="s">
        <v>95</v>
      </c>
      <c r="C1506" t="s">
        <v>19</v>
      </c>
      <c r="D1506" t="s">
        <v>94</v>
      </c>
      <c r="E1506" t="s">
        <v>15</v>
      </c>
      <c r="F1506" t="s">
        <v>93</v>
      </c>
      <c r="G1506" t="s">
        <v>98</v>
      </c>
      <c r="H1506" s="3" t="s">
        <v>809</v>
      </c>
      <c r="I1506" s="4">
        <v>319</v>
      </c>
      <c r="L1506" t="s">
        <v>207</v>
      </c>
    </row>
    <row r="1507" spans="1:12" x14ac:dyDescent="0.2">
      <c r="A1507" t="s">
        <v>18</v>
      </c>
      <c r="B1507" t="s">
        <v>125</v>
      </c>
      <c r="C1507" t="s">
        <v>19</v>
      </c>
      <c r="D1507" t="s">
        <v>94</v>
      </c>
      <c r="E1507" t="s">
        <v>781</v>
      </c>
      <c r="F1507" t="s">
        <v>810</v>
      </c>
      <c r="G1507" t="s">
        <v>98</v>
      </c>
      <c r="H1507" s="3" t="s">
        <v>811</v>
      </c>
      <c r="I1507" s="4">
        <v>490</v>
      </c>
      <c r="L1507" t="s">
        <v>103</v>
      </c>
    </row>
    <row r="1508" spans="1:12" x14ac:dyDescent="0.2">
      <c r="A1508" t="s">
        <v>748</v>
      </c>
      <c r="B1508" t="s">
        <v>95</v>
      </c>
      <c r="C1508" t="s">
        <v>19</v>
      </c>
      <c r="D1508" t="s">
        <v>360</v>
      </c>
      <c r="E1508" t="s">
        <v>781</v>
      </c>
      <c r="F1508" t="s">
        <v>94</v>
      </c>
      <c r="G1508" t="s">
        <v>98</v>
      </c>
      <c r="H1508" s="3" t="s">
        <v>812</v>
      </c>
      <c r="I1508" s="4">
        <v>180</v>
      </c>
      <c r="L1508" t="s">
        <v>121</v>
      </c>
    </row>
    <row r="1509" spans="1:12" x14ac:dyDescent="0.2">
      <c r="A1509" t="s">
        <v>27</v>
      </c>
      <c r="B1509" t="s">
        <v>813</v>
      </c>
      <c r="C1509" t="s">
        <v>19</v>
      </c>
      <c r="D1509" t="s">
        <v>360</v>
      </c>
      <c r="E1509" t="s">
        <v>84</v>
      </c>
      <c r="F1509" t="s">
        <v>360</v>
      </c>
      <c r="G1509" t="s">
        <v>107</v>
      </c>
      <c r="I1509" s="4">
        <v>2500</v>
      </c>
      <c r="K1509" t="s">
        <v>313</v>
      </c>
      <c r="L1509" t="s">
        <v>314</v>
      </c>
    </row>
    <row r="1510" spans="1:12" x14ac:dyDescent="0.2">
      <c r="A1510" t="s">
        <v>748</v>
      </c>
      <c r="B1510" t="s">
        <v>95</v>
      </c>
      <c r="C1510" t="s">
        <v>19</v>
      </c>
      <c r="D1510" t="s">
        <v>360</v>
      </c>
      <c r="E1510" t="s">
        <v>84</v>
      </c>
      <c r="F1510" t="s">
        <v>360</v>
      </c>
      <c r="G1510" t="s">
        <v>211</v>
      </c>
      <c r="I1510" s="4">
        <v>500</v>
      </c>
    </row>
    <row r="1511" spans="1:12" x14ac:dyDescent="0.2">
      <c r="A1511" t="s">
        <v>18</v>
      </c>
      <c r="B1511" t="s">
        <v>125</v>
      </c>
      <c r="C1511" t="s">
        <v>19</v>
      </c>
      <c r="D1511" t="s">
        <v>810</v>
      </c>
      <c r="E1511" t="s">
        <v>814</v>
      </c>
      <c r="F1511" t="s">
        <v>810</v>
      </c>
      <c r="G1511" t="s">
        <v>98</v>
      </c>
      <c r="H1511" s="3" t="s">
        <v>779</v>
      </c>
      <c r="I1511" s="4">
        <v>300</v>
      </c>
      <c r="K1511" t="s">
        <v>116</v>
      </c>
      <c r="L1511" t="s">
        <v>117</v>
      </c>
    </row>
    <row r="1512" spans="1:12" x14ac:dyDescent="0.2">
      <c r="A1512" t="s">
        <v>27</v>
      </c>
      <c r="B1512" t="s">
        <v>95</v>
      </c>
      <c r="C1512" t="s">
        <v>19</v>
      </c>
      <c r="D1512" t="s">
        <v>810</v>
      </c>
      <c r="E1512" t="s">
        <v>750</v>
      </c>
      <c r="F1512" t="s">
        <v>810</v>
      </c>
      <c r="G1512" t="s">
        <v>162</v>
      </c>
      <c r="H1512" s="3" t="s">
        <v>163</v>
      </c>
      <c r="I1512" s="4">
        <v>9.34</v>
      </c>
    </row>
    <row r="1513" spans="1:12" x14ac:dyDescent="0.2">
      <c r="A1513" t="s">
        <v>748</v>
      </c>
      <c r="B1513" t="s">
        <v>125</v>
      </c>
      <c r="C1513" t="s">
        <v>19</v>
      </c>
      <c r="D1513" t="s">
        <v>810</v>
      </c>
      <c r="E1513" t="s">
        <v>750</v>
      </c>
      <c r="F1513" t="s">
        <v>810</v>
      </c>
      <c r="G1513" t="s">
        <v>107</v>
      </c>
      <c r="H1513" s="3" t="s">
        <v>310</v>
      </c>
      <c r="I1513" s="4">
        <v>20145.37</v>
      </c>
      <c r="K1513" t="s">
        <v>815</v>
      </c>
      <c r="L1513" t="s">
        <v>816</v>
      </c>
    </row>
    <row r="1514" spans="1:12" x14ac:dyDescent="0.2">
      <c r="A1514" t="s">
        <v>18</v>
      </c>
      <c r="B1514" t="s">
        <v>125</v>
      </c>
      <c r="C1514" t="s">
        <v>19</v>
      </c>
      <c r="D1514" t="s">
        <v>817</v>
      </c>
      <c r="E1514" t="s">
        <v>42</v>
      </c>
      <c r="F1514" t="s">
        <v>754</v>
      </c>
      <c r="G1514" t="s">
        <v>98</v>
      </c>
      <c r="H1514" s="3" t="s">
        <v>779</v>
      </c>
      <c r="I1514" s="4">
        <v>420</v>
      </c>
      <c r="L1514" t="s">
        <v>132</v>
      </c>
    </row>
    <row r="1515" spans="1:12" x14ac:dyDescent="0.2">
      <c r="A1515" t="s">
        <v>27</v>
      </c>
      <c r="B1515" t="s">
        <v>110</v>
      </c>
      <c r="C1515" t="s">
        <v>19</v>
      </c>
      <c r="D1515" t="s">
        <v>817</v>
      </c>
      <c r="E1515" t="s">
        <v>15</v>
      </c>
      <c r="F1515" t="s">
        <v>810</v>
      </c>
      <c r="G1515" t="s">
        <v>111</v>
      </c>
      <c r="H1515" s="3" t="s">
        <v>818</v>
      </c>
      <c r="I1515" s="4">
        <v>500</v>
      </c>
      <c r="L1515" t="s">
        <v>113</v>
      </c>
    </row>
    <row r="1516" spans="1:12" x14ac:dyDescent="0.2">
      <c r="A1516" t="s">
        <v>27</v>
      </c>
      <c r="B1516" t="s">
        <v>95</v>
      </c>
      <c r="C1516" t="s">
        <v>19</v>
      </c>
      <c r="D1516" t="s">
        <v>817</v>
      </c>
      <c r="E1516" t="s">
        <v>750</v>
      </c>
      <c r="F1516" t="s">
        <v>817</v>
      </c>
      <c r="G1516" t="s">
        <v>162</v>
      </c>
      <c r="I1516" s="4">
        <v>0.06</v>
      </c>
    </row>
    <row r="1517" spans="1:12" x14ac:dyDescent="0.2">
      <c r="A1517" t="s">
        <v>27</v>
      </c>
      <c r="B1517" t="s">
        <v>200</v>
      </c>
      <c r="C1517" t="s">
        <v>19</v>
      </c>
      <c r="D1517" t="s">
        <v>754</v>
      </c>
      <c r="E1517" t="s">
        <v>750</v>
      </c>
      <c r="F1517" t="s">
        <v>754</v>
      </c>
      <c r="G1517" t="s">
        <v>98</v>
      </c>
      <c r="I1517" s="4">
        <v>2000</v>
      </c>
      <c r="K1517" t="s">
        <v>819</v>
      </c>
      <c r="L1517" t="s">
        <v>820</v>
      </c>
    </row>
    <row r="1518" spans="1:12" x14ac:dyDescent="0.2">
      <c r="A1518" t="s">
        <v>27</v>
      </c>
      <c r="B1518" t="s">
        <v>95</v>
      </c>
      <c r="C1518" t="s">
        <v>19</v>
      </c>
      <c r="D1518" t="s">
        <v>754</v>
      </c>
      <c r="E1518" t="s">
        <v>750</v>
      </c>
      <c r="F1518" t="s">
        <v>754</v>
      </c>
      <c r="G1518" t="s">
        <v>162</v>
      </c>
      <c r="I1518" s="4">
        <v>0.11</v>
      </c>
    </row>
    <row r="1519" spans="1:12" x14ac:dyDescent="0.2">
      <c r="A1519" t="s">
        <v>215</v>
      </c>
      <c r="B1519" t="s">
        <v>222</v>
      </c>
      <c r="C1519" t="s">
        <v>19</v>
      </c>
      <c r="D1519" t="s">
        <v>821</v>
      </c>
      <c r="E1519" t="s">
        <v>42</v>
      </c>
      <c r="F1519" t="s">
        <v>361</v>
      </c>
      <c r="G1519" t="s">
        <v>98</v>
      </c>
      <c r="H1519" s="3" t="s">
        <v>822</v>
      </c>
      <c r="I1519" s="4">
        <v>200</v>
      </c>
      <c r="K1519" t="s">
        <v>224</v>
      </c>
      <c r="L1519" t="s">
        <v>225</v>
      </c>
    </row>
    <row r="1520" spans="1:12" x14ac:dyDescent="0.2">
      <c r="A1520" t="s">
        <v>18</v>
      </c>
      <c r="B1520" t="s">
        <v>95</v>
      </c>
      <c r="C1520" t="s">
        <v>19</v>
      </c>
      <c r="D1520" t="s">
        <v>361</v>
      </c>
      <c r="E1520" t="s">
        <v>15</v>
      </c>
      <c r="F1520" t="s">
        <v>751</v>
      </c>
      <c r="G1520" t="s">
        <v>98</v>
      </c>
      <c r="H1520" s="3" t="s">
        <v>823</v>
      </c>
      <c r="I1520" s="4">
        <v>300</v>
      </c>
      <c r="L1520" t="s">
        <v>134</v>
      </c>
    </row>
    <row r="1521" spans="1:12" x14ac:dyDescent="0.2">
      <c r="A1521" t="s">
        <v>58</v>
      </c>
      <c r="B1521" t="s">
        <v>125</v>
      </c>
      <c r="C1521" t="s">
        <v>19</v>
      </c>
      <c r="D1521" t="s">
        <v>361</v>
      </c>
      <c r="E1521" t="s">
        <v>750</v>
      </c>
      <c r="F1521" t="s">
        <v>361</v>
      </c>
      <c r="G1521" t="s">
        <v>107</v>
      </c>
      <c r="I1521" s="4">
        <v>8350</v>
      </c>
      <c r="K1521" t="s">
        <v>824</v>
      </c>
      <c r="L1521" t="s">
        <v>825</v>
      </c>
    </row>
    <row r="1522" spans="1:12" x14ac:dyDescent="0.2">
      <c r="A1522" t="s">
        <v>71</v>
      </c>
      <c r="B1522" t="s">
        <v>200</v>
      </c>
      <c r="C1522" t="s">
        <v>19</v>
      </c>
      <c r="D1522" t="s">
        <v>361</v>
      </c>
      <c r="E1522" t="s">
        <v>750</v>
      </c>
      <c r="F1522" t="s">
        <v>361</v>
      </c>
      <c r="G1522" t="s">
        <v>98</v>
      </c>
      <c r="H1522" s="3" t="s">
        <v>826</v>
      </c>
      <c r="I1522" s="4">
        <v>2250</v>
      </c>
      <c r="L1522" t="s">
        <v>827</v>
      </c>
    </row>
    <row r="1523" spans="1:12" x14ac:dyDescent="0.2">
      <c r="A1523" t="s">
        <v>71</v>
      </c>
      <c r="B1523" t="s">
        <v>125</v>
      </c>
      <c r="C1523" t="s">
        <v>19</v>
      </c>
      <c r="D1523" t="s">
        <v>361</v>
      </c>
      <c r="E1523" t="s">
        <v>750</v>
      </c>
      <c r="F1523" t="s">
        <v>361</v>
      </c>
      <c r="G1523" t="s">
        <v>104</v>
      </c>
      <c r="I1523" s="4">
        <v>2312</v>
      </c>
      <c r="K1523" t="s">
        <v>828</v>
      </c>
      <c r="L1523" t="s">
        <v>829</v>
      </c>
    </row>
    <row r="1524" spans="1:12" x14ac:dyDescent="0.2">
      <c r="A1524" t="s">
        <v>27</v>
      </c>
      <c r="B1524" t="s">
        <v>95</v>
      </c>
      <c r="C1524" t="s">
        <v>19</v>
      </c>
      <c r="D1524" t="s">
        <v>361</v>
      </c>
      <c r="E1524" t="s">
        <v>750</v>
      </c>
      <c r="F1524" t="s">
        <v>361</v>
      </c>
      <c r="G1524" t="s">
        <v>162</v>
      </c>
      <c r="I1524" s="4">
        <v>2.2200000000000002</v>
      </c>
    </row>
    <row r="1525" spans="1:12" x14ac:dyDescent="0.2">
      <c r="A1525" t="s">
        <v>18</v>
      </c>
      <c r="B1525" t="s">
        <v>95</v>
      </c>
      <c r="C1525" t="s">
        <v>19</v>
      </c>
      <c r="D1525" t="s">
        <v>830</v>
      </c>
      <c r="E1525" t="s">
        <v>15</v>
      </c>
      <c r="F1525" t="s">
        <v>751</v>
      </c>
      <c r="G1525" t="s">
        <v>98</v>
      </c>
      <c r="H1525" s="3" t="s">
        <v>831</v>
      </c>
      <c r="I1525" s="4">
        <v>1000</v>
      </c>
      <c r="K1525" t="s">
        <v>152</v>
      </c>
      <c r="L1525" t="s">
        <v>153</v>
      </c>
    </row>
    <row r="1526" spans="1:12" x14ac:dyDescent="0.2">
      <c r="A1526" t="s">
        <v>18</v>
      </c>
      <c r="B1526" t="s">
        <v>95</v>
      </c>
      <c r="C1526" t="s">
        <v>19</v>
      </c>
      <c r="D1526" t="s">
        <v>830</v>
      </c>
      <c r="E1526" t="s">
        <v>15</v>
      </c>
      <c r="F1526" t="s">
        <v>361</v>
      </c>
      <c r="G1526" t="s">
        <v>98</v>
      </c>
      <c r="H1526" s="3" t="s">
        <v>832</v>
      </c>
      <c r="I1526" s="4">
        <v>634</v>
      </c>
      <c r="L1526" t="s">
        <v>154</v>
      </c>
    </row>
    <row r="1527" spans="1:12" x14ac:dyDescent="0.2">
      <c r="A1527" t="s">
        <v>27</v>
      </c>
      <c r="B1527" t="s">
        <v>200</v>
      </c>
      <c r="C1527" t="s">
        <v>19</v>
      </c>
      <c r="D1527" t="s">
        <v>830</v>
      </c>
      <c r="E1527" t="s">
        <v>42</v>
      </c>
      <c r="F1527" t="s">
        <v>361</v>
      </c>
      <c r="G1527" t="s">
        <v>98</v>
      </c>
      <c r="H1527" s="3" t="s">
        <v>809</v>
      </c>
      <c r="I1527" s="4">
        <v>500</v>
      </c>
      <c r="L1527" t="s">
        <v>202</v>
      </c>
    </row>
    <row r="1528" spans="1:12" x14ac:dyDescent="0.2">
      <c r="A1528" t="s">
        <v>215</v>
      </c>
      <c r="B1528" t="s">
        <v>200</v>
      </c>
      <c r="C1528" t="s">
        <v>19</v>
      </c>
      <c r="D1528" t="s">
        <v>751</v>
      </c>
      <c r="E1528" t="s">
        <v>84</v>
      </c>
      <c r="F1528" t="s">
        <v>361</v>
      </c>
      <c r="G1528" t="s">
        <v>98</v>
      </c>
      <c r="H1528" s="3" t="s">
        <v>833</v>
      </c>
      <c r="I1528" s="4">
        <v>2250</v>
      </c>
      <c r="L1528" t="s">
        <v>827</v>
      </c>
    </row>
    <row r="1529" spans="1:12" x14ac:dyDescent="0.2">
      <c r="A1529" t="s">
        <v>27</v>
      </c>
      <c r="B1529" t="s">
        <v>200</v>
      </c>
      <c r="C1529" t="s">
        <v>19</v>
      </c>
      <c r="D1529" t="s">
        <v>751</v>
      </c>
      <c r="E1529" t="s">
        <v>750</v>
      </c>
      <c r="F1529" t="s">
        <v>751</v>
      </c>
      <c r="G1529" t="s">
        <v>98</v>
      </c>
      <c r="I1529" s="4">
        <v>320</v>
      </c>
      <c r="L1529" t="s">
        <v>166</v>
      </c>
    </row>
    <row r="1530" spans="1:12" x14ac:dyDescent="0.2">
      <c r="A1530" t="s">
        <v>27</v>
      </c>
      <c r="B1530" t="s">
        <v>95</v>
      </c>
      <c r="C1530" t="s">
        <v>19</v>
      </c>
      <c r="D1530" t="s">
        <v>751</v>
      </c>
      <c r="E1530" t="s">
        <v>750</v>
      </c>
      <c r="F1530" t="s">
        <v>751</v>
      </c>
      <c r="G1530" t="s">
        <v>162</v>
      </c>
      <c r="I1530" s="4">
        <v>0.21</v>
      </c>
    </row>
    <row r="1531" spans="1:12" x14ac:dyDescent="0.2">
      <c r="A1531" t="s">
        <v>27</v>
      </c>
      <c r="B1531" t="s">
        <v>95</v>
      </c>
      <c r="C1531" t="s">
        <v>19</v>
      </c>
      <c r="D1531" t="s">
        <v>834</v>
      </c>
      <c r="E1531" t="s">
        <v>15</v>
      </c>
      <c r="F1531" t="s">
        <v>361</v>
      </c>
      <c r="G1531" t="s">
        <v>98</v>
      </c>
      <c r="H1531" s="3" t="s">
        <v>832</v>
      </c>
      <c r="I1531" s="4">
        <v>500</v>
      </c>
      <c r="L1531" t="s">
        <v>164</v>
      </c>
    </row>
    <row r="1532" spans="1:12" x14ac:dyDescent="0.2">
      <c r="A1532" t="s">
        <v>71</v>
      </c>
      <c r="B1532" t="s">
        <v>95</v>
      </c>
      <c r="C1532" t="s">
        <v>19</v>
      </c>
      <c r="D1532" t="s">
        <v>834</v>
      </c>
      <c r="E1532" t="s">
        <v>750</v>
      </c>
      <c r="F1532" t="s">
        <v>835</v>
      </c>
      <c r="G1532" t="s">
        <v>156</v>
      </c>
      <c r="H1532" s="3" t="s">
        <v>239</v>
      </c>
      <c r="I1532" s="4">
        <v>600</v>
      </c>
    </row>
    <row r="1533" spans="1:12" x14ac:dyDescent="0.2">
      <c r="A1533" t="s">
        <v>27</v>
      </c>
      <c r="B1533" t="s">
        <v>95</v>
      </c>
      <c r="C1533" t="s">
        <v>19</v>
      </c>
      <c r="D1533" t="s">
        <v>834</v>
      </c>
      <c r="E1533" t="s">
        <v>750</v>
      </c>
      <c r="F1533" t="s">
        <v>834</v>
      </c>
      <c r="G1533" t="s">
        <v>104</v>
      </c>
      <c r="H1533" s="3" t="s">
        <v>836</v>
      </c>
      <c r="I1533" s="4">
        <v>93</v>
      </c>
      <c r="L1533" t="s">
        <v>202</v>
      </c>
    </row>
    <row r="1534" spans="1:12" x14ac:dyDescent="0.2">
      <c r="A1534" t="s">
        <v>27</v>
      </c>
      <c r="B1534" t="s">
        <v>95</v>
      </c>
      <c r="C1534" t="s">
        <v>19</v>
      </c>
      <c r="D1534" t="s">
        <v>834</v>
      </c>
      <c r="E1534" t="s">
        <v>750</v>
      </c>
      <c r="F1534" t="s">
        <v>834</v>
      </c>
      <c r="G1534" t="s">
        <v>162</v>
      </c>
      <c r="I1534" s="4">
        <v>0.94</v>
      </c>
    </row>
    <row r="1535" spans="1:12" x14ac:dyDescent="0.2">
      <c r="A1535" t="s">
        <v>58</v>
      </c>
      <c r="B1535" t="s">
        <v>125</v>
      </c>
      <c r="C1535" t="s">
        <v>19</v>
      </c>
      <c r="D1535" t="s">
        <v>753</v>
      </c>
      <c r="E1535" t="s">
        <v>750</v>
      </c>
      <c r="F1535" t="s">
        <v>753</v>
      </c>
      <c r="G1535" t="s">
        <v>107</v>
      </c>
      <c r="I1535" s="4">
        <v>17310</v>
      </c>
      <c r="K1535" t="s">
        <v>837</v>
      </c>
      <c r="L1535" t="s">
        <v>838</v>
      </c>
    </row>
    <row r="1536" spans="1:12" x14ac:dyDescent="0.2">
      <c r="A1536" t="s">
        <v>58</v>
      </c>
      <c r="B1536" t="s">
        <v>125</v>
      </c>
      <c r="C1536" t="s">
        <v>19</v>
      </c>
      <c r="D1536" t="s">
        <v>753</v>
      </c>
      <c r="E1536" t="s">
        <v>750</v>
      </c>
      <c r="F1536" t="s">
        <v>753</v>
      </c>
      <c r="G1536" t="s">
        <v>107</v>
      </c>
      <c r="I1536" s="4">
        <v>5000</v>
      </c>
      <c r="K1536" t="s">
        <v>160</v>
      </c>
      <c r="L1536" t="s">
        <v>161</v>
      </c>
    </row>
    <row r="1537" spans="1:12" x14ac:dyDescent="0.2">
      <c r="A1537" t="s">
        <v>27</v>
      </c>
      <c r="B1537" t="s">
        <v>125</v>
      </c>
      <c r="C1537" t="s">
        <v>19</v>
      </c>
      <c r="D1537" t="s">
        <v>753</v>
      </c>
      <c r="E1537" t="s">
        <v>750</v>
      </c>
      <c r="F1537" t="s">
        <v>839</v>
      </c>
      <c r="G1537" t="s">
        <v>107</v>
      </c>
      <c r="H1537" s="3" t="s">
        <v>310</v>
      </c>
      <c r="I1537" s="4">
        <v>5126.97</v>
      </c>
      <c r="K1537" t="s">
        <v>123</v>
      </c>
      <c r="L1537" t="s">
        <v>124</v>
      </c>
    </row>
    <row r="1538" spans="1:12" x14ac:dyDescent="0.2">
      <c r="A1538" t="s">
        <v>27</v>
      </c>
      <c r="B1538" t="s">
        <v>125</v>
      </c>
      <c r="C1538" t="s">
        <v>19</v>
      </c>
      <c r="D1538" t="s">
        <v>753</v>
      </c>
      <c r="E1538" t="s">
        <v>750</v>
      </c>
      <c r="F1538" t="s">
        <v>753</v>
      </c>
      <c r="G1538" t="s">
        <v>107</v>
      </c>
      <c r="H1538" s="3" t="s">
        <v>310</v>
      </c>
      <c r="I1538" s="4">
        <v>26701.37</v>
      </c>
      <c r="K1538" t="s">
        <v>840</v>
      </c>
      <c r="L1538" t="s">
        <v>841</v>
      </c>
    </row>
    <row r="1539" spans="1:12" x14ac:dyDescent="0.2">
      <c r="A1539" t="s">
        <v>27</v>
      </c>
      <c r="B1539" t="s">
        <v>200</v>
      </c>
      <c r="C1539" t="s">
        <v>19</v>
      </c>
      <c r="D1539" t="s">
        <v>691</v>
      </c>
      <c r="E1539" t="s">
        <v>64</v>
      </c>
      <c r="F1539" t="s">
        <v>810</v>
      </c>
      <c r="G1539" t="s">
        <v>98</v>
      </c>
      <c r="H1539" s="3" t="s">
        <v>842</v>
      </c>
      <c r="I1539" s="4">
        <v>400</v>
      </c>
      <c r="L1539" t="s">
        <v>270</v>
      </c>
    </row>
    <row r="1540" spans="1:12" x14ac:dyDescent="0.2">
      <c r="A1540" t="s">
        <v>748</v>
      </c>
      <c r="B1540" t="s">
        <v>200</v>
      </c>
      <c r="C1540" t="s">
        <v>19</v>
      </c>
      <c r="D1540" t="s">
        <v>691</v>
      </c>
      <c r="E1540" t="s">
        <v>64</v>
      </c>
      <c r="F1540" t="s">
        <v>753</v>
      </c>
      <c r="G1540" t="s">
        <v>98</v>
      </c>
      <c r="H1540" s="3" t="s">
        <v>286</v>
      </c>
      <c r="I1540" s="4">
        <v>500</v>
      </c>
      <c r="L1540" t="s">
        <v>189</v>
      </c>
    </row>
    <row r="1541" spans="1:12" x14ac:dyDescent="0.2">
      <c r="A1541" t="s">
        <v>27</v>
      </c>
      <c r="B1541" t="s">
        <v>95</v>
      </c>
      <c r="C1541" t="s">
        <v>19</v>
      </c>
      <c r="D1541" t="s">
        <v>843</v>
      </c>
      <c r="E1541" t="s">
        <v>42</v>
      </c>
      <c r="F1541" t="s">
        <v>839</v>
      </c>
      <c r="G1541" t="s">
        <v>98</v>
      </c>
      <c r="H1541" s="3" t="s">
        <v>809</v>
      </c>
      <c r="I1541" s="4">
        <v>900</v>
      </c>
      <c r="K1541" t="s">
        <v>176</v>
      </c>
      <c r="L1541" t="s">
        <v>177</v>
      </c>
    </row>
    <row r="1542" spans="1:12" x14ac:dyDescent="0.2">
      <c r="A1542" t="s">
        <v>27</v>
      </c>
      <c r="B1542" t="s">
        <v>245</v>
      </c>
      <c r="C1542" t="s">
        <v>19</v>
      </c>
      <c r="D1542" t="s">
        <v>843</v>
      </c>
      <c r="E1542" t="s">
        <v>42</v>
      </c>
      <c r="F1542" t="s">
        <v>755</v>
      </c>
      <c r="G1542" t="s">
        <v>107</v>
      </c>
      <c r="H1542" s="3" t="s">
        <v>344</v>
      </c>
      <c r="I1542" s="4">
        <v>600</v>
      </c>
      <c r="K1542" t="s">
        <v>187</v>
      </c>
      <c r="L1542" t="s">
        <v>188</v>
      </c>
    </row>
    <row r="1543" spans="1:12" x14ac:dyDescent="0.2">
      <c r="A1543" t="s">
        <v>27</v>
      </c>
      <c r="B1543" t="s">
        <v>125</v>
      </c>
      <c r="C1543" t="s">
        <v>19</v>
      </c>
      <c r="D1543" t="s">
        <v>755</v>
      </c>
      <c r="E1543" t="s">
        <v>750</v>
      </c>
      <c r="F1543" t="s">
        <v>755</v>
      </c>
      <c r="G1543" t="s">
        <v>107</v>
      </c>
      <c r="I1543" s="4">
        <v>14681.35</v>
      </c>
      <c r="K1543" t="s">
        <v>149</v>
      </c>
      <c r="L1543" t="s">
        <v>150</v>
      </c>
    </row>
    <row r="1544" spans="1:12" x14ac:dyDescent="0.2">
      <c r="A1544" t="s">
        <v>27</v>
      </c>
      <c r="B1544" t="s">
        <v>125</v>
      </c>
      <c r="C1544" t="s">
        <v>19</v>
      </c>
      <c r="D1544" t="s">
        <v>755</v>
      </c>
      <c r="E1544" t="s">
        <v>750</v>
      </c>
      <c r="F1544" t="s">
        <v>755</v>
      </c>
      <c r="G1544" t="s">
        <v>107</v>
      </c>
      <c r="I1544" s="4">
        <v>5015.84</v>
      </c>
      <c r="K1544" t="s">
        <v>844</v>
      </c>
      <c r="L1544" t="s">
        <v>845</v>
      </c>
    </row>
    <row r="1545" spans="1:12" x14ac:dyDescent="0.2">
      <c r="A1545" t="s">
        <v>27</v>
      </c>
      <c r="B1545" t="s">
        <v>95</v>
      </c>
      <c r="C1545" t="s">
        <v>19</v>
      </c>
      <c r="D1545" t="s">
        <v>755</v>
      </c>
      <c r="E1545" t="s">
        <v>750</v>
      </c>
      <c r="F1545" t="s">
        <v>755</v>
      </c>
      <c r="G1545" t="s">
        <v>162</v>
      </c>
      <c r="I1545" s="4">
        <v>12.57</v>
      </c>
    </row>
    <row r="1546" spans="1:12" x14ac:dyDescent="0.2">
      <c r="A1546" t="s">
        <v>27</v>
      </c>
      <c r="B1546" t="s">
        <v>95</v>
      </c>
      <c r="C1546" t="s">
        <v>19</v>
      </c>
      <c r="D1546" t="s">
        <v>846</v>
      </c>
      <c r="E1546" t="s">
        <v>750</v>
      </c>
      <c r="F1546" t="s">
        <v>846</v>
      </c>
      <c r="G1546" t="s">
        <v>162</v>
      </c>
      <c r="I1546" s="4">
        <v>0.84</v>
      </c>
    </row>
    <row r="1547" spans="1:12" x14ac:dyDescent="0.2">
      <c r="A1547" t="s">
        <v>215</v>
      </c>
      <c r="B1547" t="s">
        <v>200</v>
      </c>
      <c r="C1547" t="s">
        <v>19</v>
      </c>
      <c r="D1547" t="s">
        <v>756</v>
      </c>
      <c r="E1547" t="s">
        <v>84</v>
      </c>
      <c r="F1547" t="s">
        <v>756</v>
      </c>
      <c r="G1547" t="s">
        <v>111</v>
      </c>
      <c r="H1547" s="3" t="s">
        <v>760</v>
      </c>
      <c r="I1547" s="4">
        <v>500</v>
      </c>
      <c r="L1547" t="s">
        <v>355</v>
      </c>
    </row>
    <row r="1548" spans="1:12" x14ac:dyDescent="0.2">
      <c r="A1548" t="s">
        <v>27</v>
      </c>
      <c r="B1548" t="s">
        <v>95</v>
      </c>
      <c r="C1548" t="s">
        <v>19</v>
      </c>
      <c r="D1548" t="s">
        <v>756</v>
      </c>
      <c r="E1548" t="s">
        <v>750</v>
      </c>
      <c r="F1548" t="s">
        <v>756</v>
      </c>
      <c r="G1548" t="s">
        <v>162</v>
      </c>
      <c r="I1548" s="4">
        <v>6.59</v>
      </c>
    </row>
    <row r="1549" spans="1:12" x14ac:dyDescent="0.2">
      <c r="A1549" t="s">
        <v>18</v>
      </c>
      <c r="B1549" t="s">
        <v>95</v>
      </c>
      <c r="C1549" t="s">
        <v>19</v>
      </c>
      <c r="D1549" t="s">
        <v>847</v>
      </c>
      <c r="E1549" t="s">
        <v>15</v>
      </c>
      <c r="F1549" t="s">
        <v>756</v>
      </c>
      <c r="G1549" t="s">
        <v>111</v>
      </c>
      <c r="H1549" s="3" t="s">
        <v>831</v>
      </c>
      <c r="I1549" s="4">
        <v>2000</v>
      </c>
      <c r="K1549" t="s">
        <v>192</v>
      </c>
      <c r="L1549" t="s">
        <v>193</v>
      </c>
    </row>
    <row r="1550" spans="1:12" x14ac:dyDescent="0.2">
      <c r="A1550" t="s">
        <v>27</v>
      </c>
      <c r="B1550" t="s">
        <v>95</v>
      </c>
      <c r="C1550" t="s">
        <v>19</v>
      </c>
      <c r="D1550" t="s">
        <v>848</v>
      </c>
      <c r="E1550" t="s">
        <v>750</v>
      </c>
      <c r="F1550" t="s">
        <v>848</v>
      </c>
      <c r="G1550" t="s">
        <v>162</v>
      </c>
      <c r="I1550" s="4">
        <v>0.56000000000000005</v>
      </c>
    </row>
    <row r="1551" spans="1:12" x14ac:dyDescent="0.2">
      <c r="A1551" t="s">
        <v>27</v>
      </c>
      <c r="B1551" t="s">
        <v>200</v>
      </c>
      <c r="C1551" t="s">
        <v>19</v>
      </c>
      <c r="D1551" t="s">
        <v>757</v>
      </c>
      <c r="E1551" t="s">
        <v>750</v>
      </c>
      <c r="F1551" t="s">
        <v>757</v>
      </c>
      <c r="G1551" t="s">
        <v>104</v>
      </c>
      <c r="I1551" s="4">
        <v>12000</v>
      </c>
      <c r="L1551" t="s">
        <v>849</v>
      </c>
    </row>
    <row r="1552" spans="1:12" x14ac:dyDescent="0.2">
      <c r="A1552" t="s">
        <v>27</v>
      </c>
      <c r="B1552" t="s">
        <v>95</v>
      </c>
      <c r="C1552" t="s">
        <v>19</v>
      </c>
      <c r="D1552" t="s">
        <v>757</v>
      </c>
      <c r="E1552" t="s">
        <v>750</v>
      </c>
      <c r="F1552" t="s">
        <v>757</v>
      </c>
      <c r="G1552" t="s">
        <v>162</v>
      </c>
      <c r="I1552" s="4">
        <v>1.19</v>
      </c>
    </row>
    <row r="1553" spans="1:12" x14ac:dyDescent="0.2">
      <c r="A1553" t="s">
        <v>18</v>
      </c>
      <c r="B1553" t="s">
        <v>95</v>
      </c>
      <c r="C1553" t="s">
        <v>19</v>
      </c>
      <c r="D1553" t="s">
        <v>850</v>
      </c>
      <c r="E1553" t="s">
        <v>15</v>
      </c>
      <c r="F1553" t="s">
        <v>821</v>
      </c>
      <c r="G1553" t="s">
        <v>98</v>
      </c>
      <c r="H1553" s="3" t="s">
        <v>851</v>
      </c>
      <c r="I1553" s="4">
        <v>530</v>
      </c>
      <c r="L1553" t="s">
        <v>199</v>
      </c>
    </row>
    <row r="1554" spans="1:12" x14ac:dyDescent="0.2">
      <c r="A1554" t="s">
        <v>27</v>
      </c>
      <c r="B1554" t="s">
        <v>95</v>
      </c>
      <c r="C1554" t="s">
        <v>19</v>
      </c>
      <c r="D1554" t="s">
        <v>850</v>
      </c>
      <c r="E1554" t="s">
        <v>750</v>
      </c>
      <c r="F1554" t="s">
        <v>850</v>
      </c>
      <c r="G1554" t="s">
        <v>162</v>
      </c>
      <c r="I1554" s="4">
        <v>4.01</v>
      </c>
    </row>
    <row r="1555" spans="1:12" x14ac:dyDescent="0.2">
      <c r="A1555" t="s">
        <v>748</v>
      </c>
      <c r="B1555" t="s">
        <v>95</v>
      </c>
      <c r="C1555" t="s">
        <v>19</v>
      </c>
      <c r="D1555" t="s">
        <v>850</v>
      </c>
      <c r="E1555" t="s">
        <v>750</v>
      </c>
      <c r="F1555" t="s">
        <v>850</v>
      </c>
      <c r="G1555" t="s">
        <v>156</v>
      </c>
      <c r="H1555" s="3" t="s">
        <v>852</v>
      </c>
      <c r="I1555" s="4">
        <v>38</v>
      </c>
    </row>
    <row r="1556" spans="1:12" x14ac:dyDescent="0.2">
      <c r="A1556" t="s">
        <v>58</v>
      </c>
      <c r="B1556" t="s">
        <v>200</v>
      </c>
      <c r="C1556" t="s">
        <v>19</v>
      </c>
      <c r="D1556" t="s">
        <v>758</v>
      </c>
      <c r="E1556" t="s">
        <v>750</v>
      </c>
      <c r="F1556" t="s">
        <v>758</v>
      </c>
      <c r="G1556" t="s">
        <v>107</v>
      </c>
      <c r="H1556" s="3" t="s">
        <v>853</v>
      </c>
      <c r="I1556" s="4">
        <v>16600</v>
      </c>
      <c r="K1556" t="s">
        <v>840</v>
      </c>
      <c r="L1556" t="s">
        <v>841</v>
      </c>
    </row>
    <row r="1557" spans="1:12" x14ac:dyDescent="0.2">
      <c r="A1557" t="s">
        <v>27</v>
      </c>
      <c r="B1557" t="s">
        <v>95</v>
      </c>
      <c r="C1557" t="s">
        <v>19</v>
      </c>
      <c r="D1557" t="s">
        <v>758</v>
      </c>
      <c r="E1557" t="s">
        <v>750</v>
      </c>
      <c r="F1557" t="s">
        <v>758</v>
      </c>
      <c r="G1557" t="s">
        <v>107</v>
      </c>
      <c r="I1557" s="4">
        <v>800</v>
      </c>
      <c r="L1557" t="s">
        <v>854</v>
      </c>
    </row>
    <row r="1558" spans="1:12" x14ac:dyDescent="0.2">
      <c r="A1558" t="s">
        <v>27</v>
      </c>
      <c r="B1558" t="s">
        <v>95</v>
      </c>
      <c r="C1558" t="s">
        <v>19</v>
      </c>
      <c r="D1558" t="s">
        <v>758</v>
      </c>
      <c r="E1558" t="s">
        <v>750</v>
      </c>
      <c r="F1558" t="s">
        <v>758</v>
      </c>
      <c r="G1558" t="s">
        <v>162</v>
      </c>
      <c r="I1558" s="4">
        <v>0.02</v>
      </c>
    </row>
    <row r="1559" spans="1:12" x14ac:dyDescent="0.2">
      <c r="A1559" t="s">
        <v>27</v>
      </c>
      <c r="B1559" t="s">
        <v>125</v>
      </c>
      <c r="C1559" t="s">
        <v>19</v>
      </c>
      <c r="D1559" t="s">
        <v>855</v>
      </c>
      <c r="E1559" t="s">
        <v>750</v>
      </c>
      <c r="F1559" t="s">
        <v>855</v>
      </c>
      <c r="G1559" t="s">
        <v>98</v>
      </c>
      <c r="H1559" s="3" t="s">
        <v>206</v>
      </c>
      <c r="I1559" s="4">
        <v>460</v>
      </c>
      <c r="L1559" t="s">
        <v>799</v>
      </c>
    </row>
    <row r="1560" spans="1:12" x14ac:dyDescent="0.2">
      <c r="A1560" t="s">
        <v>18</v>
      </c>
      <c r="B1560" t="s">
        <v>95</v>
      </c>
      <c r="C1560" t="s">
        <v>19</v>
      </c>
      <c r="D1560" t="s">
        <v>856</v>
      </c>
      <c r="E1560" t="s">
        <v>15</v>
      </c>
      <c r="F1560" t="s">
        <v>848</v>
      </c>
      <c r="G1560" t="s">
        <v>98</v>
      </c>
      <c r="H1560" s="3" t="s">
        <v>857</v>
      </c>
      <c r="I1560" s="4">
        <v>319</v>
      </c>
      <c r="L1560" t="s">
        <v>207</v>
      </c>
    </row>
    <row r="1561" spans="1:12" x14ac:dyDescent="0.2">
      <c r="A1561" t="s">
        <v>27</v>
      </c>
      <c r="B1561" t="s">
        <v>125</v>
      </c>
      <c r="C1561" t="s">
        <v>19</v>
      </c>
      <c r="D1561" t="s">
        <v>856</v>
      </c>
      <c r="E1561" t="s">
        <v>814</v>
      </c>
      <c r="F1561" t="s">
        <v>361</v>
      </c>
      <c r="G1561" t="s">
        <v>98</v>
      </c>
      <c r="H1561" s="3" t="s">
        <v>858</v>
      </c>
      <c r="I1561" s="4">
        <v>500</v>
      </c>
      <c r="K1561" t="s">
        <v>226</v>
      </c>
      <c r="L1561" t="s">
        <v>227</v>
      </c>
    </row>
    <row r="1562" spans="1:12" x14ac:dyDescent="0.2">
      <c r="A1562" t="s">
        <v>748</v>
      </c>
      <c r="B1562" t="s">
        <v>95</v>
      </c>
      <c r="C1562" t="s">
        <v>19</v>
      </c>
      <c r="D1562" t="s">
        <v>859</v>
      </c>
      <c r="E1562" t="s">
        <v>15</v>
      </c>
      <c r="F1562" t="s">
        <v>758</v>
      </c>
      <c r="G1562" t="s">
        <v>98</v>
      </c>
      <c r="H1562" s="3" t="s">
        <v>860</v>
      </c>
      <c r="I1562" s="4">
        <v>180</v>
      </c>
      <c r="L1562" t="s">
        <v>121</v>
      </c>
    </row>
    <row r="1563" spans="1:12" x14ac:dyDescent="0.2">
      <c r="A1563" t="s">
        <v>27</v>
      </c>
      <c r="B1563" t="s">
        <v>125</v>
      </c>
      <c r="C1563" t="s">
        <v>19</v>
      </c>
      <c r="D1563" t="s">
        <v>861</v>
      </c>
      <c r="E1563" t="s">
        <v>862</v>
      </c>
      <c r="F1563" t="s">
        <v>855</v>
      </c>
      <c r="G1563" t="s">
        <v>98</v>
      </c>
      <c r="H1563" s="3" t="s">
        <v>276</v>
      </c>
      <c r="I1563" s="4">
        <v>460</v>
      </c>
      <c r="L1563" t="s">
        <v>799</v>
      </c>
    </row>
    <row r="1564" spans="1:12" x14ac:dyDescent="0.2">
      <c r="A1564" t="s">
        <v>748</v>
      </c>
      <c r="B1564" t="s">
        <v>95</v>
      </c>
      <c r="C1564" t="s">
        <v>13</v>
      </c>
      <c r="D1564" t="s">
        <v>334</v>
      </c>
      <c r="E1564" t="s">
        <v>64</v>
      </c>
      <c r="F1564" t="s">
        <v>301</v>
      </c>
      <c r="G1564" t="s">
        <v>379</v>
      </c>
      <c r="H1564" s="3" t="s">
        <v>863</v>
      </c>
      <c r="J1564" s="4">
        <v>759</v>
      </c>
      <c r="L1564" t="s">
        <v>409</v>
      </c>
    </row>
    <row r="1565" spans="1:12" x14ac:dyDescent="0.2">
      <c r="A1565" t="s">
        <v>748</v>
      </c>
      <c r="B1565" t="s">
        <v>95</v>
      </c>
      <c r="C1565" t="s">
        <v>13</v>
      </c>
      <c r="D1565" t="s">
        <v>334</v>
      </c>
      <c r="E1565" t="s">
        <v>84</v>
      </c>
      <c r="F1565" t="s">
        <v>301</v>
      </c>
      <c r="G1565" t="s">
        <v>864</v>
      </c>
      <c r="H1565" s="3" t="s">
        <v>865</v>
      </c>
      <c r="J1565" s="4">
        <v>115</v>
      </c>
      <c r="L1565" t="s">
        <v>409</v>
      </c>
    </row>
    <row r="1566" spans="1:12" x14ac:dyDescent="0.2">
      <c r="A1566" t="s">
        <v>748</v>
      </c>
      <c r="B1566" t="s">
        <v>95</v>
      </c>
      <c r="C1566" t="s">
        <v>13</v>
      </c>
      <c r="D1566" t="s">
        <v>334</v>
      </c>
      <c r="E1566" t="s">
        <v>84</v>
      </c>
      <c r="F1566" t="s">
        <v>301</v>
      </c>
      <c r="G1566" t="s">
        <v>379</v>
      </c>
      <c r="J1566" s="4">
        <v>1585</v>
      </c>
      <c r="L1566" t="s">
        <v>395</v>
      </c>
    </row>
    <row r="1567" spans="1:12" x14ac:dyDescent="0.2">
      <c r="A1567" t="s">
        <v>748</v>
      </c>
      <c r="B1567" t="s">
        <v>95</v>
      </c>
      <c r="C1567" t="s">
        <v>13</v>
      </c>
      <c r="D1567" t="s">
        <v>334</v>
      </c>
      <c r="E1567" t="s">
        <v>84</v>
      </c>
      <c r="F1567" t="s">
        <v>301</v>
      </c>
      <c r="G1567" t="s">
        <v>864</v>
      </c>
      <c r="J1567" s="4">
        <v>230</v>
      </c>
      <c r="L1567" t="s">
        <v>395</v>
      </c>
    </row>
    <row r="1568" spans="1:12" x14ac:dyDescent="0.2">
      <c r="A1568" t="s">
        <v>748</v>
      </c>
      <c r="B1568" t="s">
        <v>95</v>
      </c>
      <c r="C1568" t="s">
        <v>13</v>
      </c>
      <c r="D1568" t="s">
        <v>334</v>
      </c>
      <c r="E1568" t="s">
        <v>84</v>
      </c>
      <c r="F1568" t="s">
        <v>301</v>
      </c>
      <c r="G1568" t="s">
        <v>379</v>
      </c>
      <c r="J1568" s="4">
        <v>418</v>
      </c>
      <c r="L1568" t="s">
        <v>381</v>
      </c>
    </row>
    <row r="1569" spans="1:12" x14ac:dyDescent="0.2">
      <c r="A1569" t="s">
        <v>748</v>
      </c>
      <c r="B1569" t="s">
        <v>95</v>
      </c>
      <c r="C1569" t="s">
        <v>13</v>
      </c>
      <c r="D1569" t="s">
        <v>334</v>
      </c>
      <c r="E1569" t="s">
        <v>84</v>
      </c>
      <c r="F1569" t="s">
        <v>301</v>
      </c>
      <c r="G1569" t="s">
        <v>379</v>
      </c>
      <c r="J1569" s="4">
        <v>1848</v>
      </c>
      <c r="L1569" t="s">
        <v>410</v>
      </c>
    </row>
    <row r="1570" spans="1:12" x14ac:dyDescent="0.2">
      <c r="A1570" t="s">
        <v>748</v>
      </c>
      <c r="B1570" t="s">
        <v>95</v>
      </c>
      <c r="C1570" t="s">
        <v>13</v>
      </c>
      <c r="D1570" t="s">
        <v>334</v>
      </c>
      <c r="E1570" t="s">
        <v>84</v>
      </c>
      <c r="F1570" t="s">
        <v>301</v>
      </c>
      <c r="G1570" t="s">
        <v>866</v>
      </c>
      <c r="J1570" s="4">
        <v>3200</v>
      </c>
      <c r="L1570" t="s">
        <v>867</v>
      </c>
    </row>
    <row r="1571" spans="1:12" x14ac:dyDescent="0.2">
      <c r="A1571" t="s">
        <v>18</v>
      </c>
      <c r="B1571" t="s">
        <v>95</v>
      </c>
      <c r="C1571" t="s">
        <v>13</v>
      </c>
      <c r="D1571" t="s">
        <v>334</v>
      </c>
      <c r="E1571" t="s">
        <v>64</v>
      </c>
      <c r="F1571" t="s">
        <v>301</v>
      </c>
      <c r="G1571" t="s">
        <v>866</v>
      </c>
      <c r="J1571" s="4">
        <v>5720</v>
      </c>
      <c r="L1571" t="s">
        <v>400</v>
      </c>
    </row>
    <row r="1572" spans="1:12" x14ac:dyDescent="0.2">
      <c r="A1572" t="s">
        <v>18</v>
      </c>
      <c r="B1572" t="s">
        <v>95</v>
      </c>
      <c r="C1572" t="s">
        <v>13</v>
      </c>
      <c r="D1572" t="s">
        <v>334</v>
      </c>
      <c r="E1572" t="s">
        <v>64</v>
      </c>
      <c r="F1572" t="s">
        <v>301</v>
      </c>
      <c r="G1572" t="s">
        <v>868</v>
      </c>
      <c r="J1572" s="4">
        <v>2310</v>
      </c>
      <c r="L1572" t="s">
        <v>382</v>
      </c>
    </row>
    <row r="1573" spans="1:12" x14ac:dyDescent="0.2">
      <c r="A1573" t="s">
        <v>18</v>
      </c>
      <c r="B1573" t="s">
        <v>95</v>
      </c>
      <c r="C1573" t="s">
        <v>13</v>
      </c>
      <c r="D1573" t="s">
        <v>334</v>
      </c>
      <c r="E1573" t="s">
        <v>64</v>
      </c>
      <c r="F1573" t="s">
        <v>301</v>
      </c>
      <c r="G1573" t="s">
        <v>868</v>
      </c>
      <c r="J1573" s="4">
        <v>2100</v>
      </c>
      <c r="L1573" t="s">
        <v>420</v>
      </c>
    </row>
    <row r="1574" spans="1:12" x14ac:dyDescent="0.2">
      <c r="A1574" t="s">
        <v>18</v>
      </c>
      <c r="B1574" t="s">
        <v>95</v>
      </c>
      <c r="C1574" t="s">
        <v>13</v>
      </c>
      <c r="D1574" t="s">
        <v>334</v>
      </c>
      <c r="E1574" t="s">
        <v>64</v>
      </c>
      <c r="F1574" t="s">
        <v>301</v>
      </c>
      <c r="G1574" t="s">
        <v>379</v>
      </c>
      <c r="J1574" s="4">
        <v>1313</v>
      </c>
      <c r="L1574" t="s">
        <v>406</v>
      </c>
    </row>
    <row r="1575" spans="1:12" x14ac:dyDescent="0.2">
      <c r="A1575" t="s">
        <v>18</v>
      </c>
      <c r="B1575" t="s">
        <v>95</v>
      </c>
      <c r="C1575" t="s">
        <v>13</v>
      </c>
      <c r="D1575" t="s">
        <v>334</v>
      </c>
      <c r="E1575" t="s">
        <v>84</v>
      </c>
      <c r="F1575" t="s">
        <v>301</v>
      </c>
      <c r="G1575" t="s">
        <v>864</v>
      </c>
      <c r="J1575" s="4">
        <v>230</v>
      </c>
      <c r="L1575" t="s">
        <v>406</v>
      </c>
    </row>
    <row r="1576" spans="1:12" x14ac:dyDescent="0.2">
      <c r="A1576" t="s">
        <v>18</v>
      </c>
      <c r="B1576" t="s">
        <v>95</v>
      </c>
      <c r="C1576" t="s">
        <v>13</v>
      </c>
      <c r="D1576" t="s">
        <v>421</v>
      </c>
      <c r="E1576" t="s">
        <v>64</v>
      </c>
      <c r="F1576" t="s">
        <v>301</v>
      </c>
      <c r="G1576" t="s">
        <v>868</v>
      </c>
      <c r="J1576" s="4">
        <v>2500</v>
      </c>
      <c r="L1576" t="s">
        <v>396</v>
      </c>
    </row>
    <row r="1577" spans="1:12" x14ac:dyDescent="0.2">
      <c r="A1577" t="s">
        <v>58</v>
      </c>
      <c r="B1577" t="s">
        <v>95</v>
      </c>
      <c r="C1577" t="s">
        <v>13</v>
      </c>
      <c r="D1577" t="s">
        <v>301</v>
      </c>
      <c r="E1577" t="s">
        <v>64</v>
      </c>
      <c r="F1577" t="s">
        <v>301</v>
      </c>
      <c r="G1577" t="s">
        <v>379</v>
      </c>
      <c r="J1577" s="4">
        <v>900</v>
      </c>
      <c r="L1577" t="s">
        <v>408</v>
      </c>
    </row>
    <row r="1578" spans="1:12" x14ac:dyDescent="0.2">
      <c r="A1578" t="s">
        <v>18</v>
      </c>
      <c r="B1578" t="s">
        <v>95</v>
      </c>
      <c r="C1578" t="s">
        <v>13</v>
      </c>
      <c r="D1578" t="s">
        <v>87</v>
      </c>
      <c r="E1578" t="s">
        <v>84</v>
      </c>
      <c r="F1578" t="s">
        <v>87</v>
      </c>
      <c r="G1578" t="s">
        <v>869</v>
      </c>
      <c r="H1578" s="3" t="s">
        <v>870</v>
      </c>
      <c r="J1578" s="4">
        <v>180</v>
      </c>
      <c r="L1578" t="s">
        <v>409</v>
      </c>
    </row>
    <row r="1579" spans="1:12" x14ac:dyDescent="0.2">
      <c r="A1579" t="s">
        <v>27</v>
      </c>
      <c r="B1579" t="s">
        <v>95</v>
      </c>
      <c r="C1579" t="s">
        <v>13</v>
      </c>
      <c r="D1579" t="s">
        <v>88</v>
      </c>
      <c r="E1579" t="s">
        <v>84</v>
      </c>
      <c r="F1579" t="s">
        <v>88</v>
      </c>
      <c r="G1579" t="s">
        <v>864</v>
      </c>
      <c r="H1579" s="3" t="s">
        <v>871</v>
      </c>
      <c r="J1579" s="4">
        <v>318</v>
      </c>
      <c r="L1579" t="s">
        <v>410</v>
      </c>
    </row>
    <row r="1580" spans="1:12" x14ac:dyDescent="0.2">
      <c r="A1580" t="s">
        <v>18</v>
      </c>
      <c r="B1580" t="s">
        <v>95</v>
      </c>
      <c r="C1580" t="s">
        <v>13</v>
      </c>
      <c r="D1580" t="s">
        <v>360</v>
      </c>
      <c r="E1580" t="s">
        <v>84</v>
      </c>
      <c r="F1580" t="s">
        <v>810</v>
      </c>
      <c r="G1580" t="s">
        <v>379</v>
      </c>
      <c r="J1580" s="4">
        <v>765</v>
      </c>
      <c r="L1580" t="s">
        <v>381</v>
      </c>
    </row>
    <row r="1581" spans="1:12" x14ac:dyDescent="0.2">
      <c r="A1581" t="s">
        <v>18</v>
      </c>
      <c r="B1581" t="s">
        <v>95</v>
      </c>
      <c r="C1581" t="s">
        <v>13</v>
      </c>
      <c r="D1581" t="s">
        <v>534</v>
      </c>
      <c r="E1581" t="s">
        <v>84</v>
      </c>
      <c r="F1581" t="s">
        <v>810</v>
      </c>
      <c r="G1581" t="s">
        <v>379</v>
      </c>
      <c r="H1581" s="3" t="s">
        <v>863</v>
      </c>
      <c r="J1581" s="4">
        <v>786</v>
      </c>
      <c r="L1581" t="s">
        <v>409</v>
      </c>
    </row>
    <row r="1582" spans="1:12" x14ac:dyDescent="0.2">
      <c r="A1582" t="s">
        <v>18</v>
      </c>
      <c r="B1582" t="s">
        <v>95</v>
      </c>
      <c r="C1582" t="s">
        <v>13</v>
      </c>
      <c r="D1582" t="s">
        <v>534</v>
      </c>
      <c r="E1582" t="s">
        <v>84</v>
      </c>
      <c r="F1582" t="s">
        <v>810</v>
      </c>
      <c r="G1582" t="s">
        <v>864</v>
      </c>
      <c r="H1582" s="3" t="s">
        <v>872</v>
      </c>
      <c r="J1582" s="4">
        <v>119.9</v>
      </c>
      <c r="L1582" t="s">
        <v>409</v>
      </c>
    </row>
    <row r="1583" spans="1:12" x14ac:dyDescent="0.2">
      <c r="A1583" t="s">
        <v>18</v>
      </c>
      <c r="B1583" t="s">
        <v>95</v>
      </c>
      <c r="C1583" t="s">
        <v>13</v>
      </c>
      <c r="D1583" t="s">
        <v>534</v>
      </c>
      <c r="E1583" t="s">
        <v>84</v>
      </c>
      <c r="F1583" t="s">
        <v>810</v>
      </c>
      <c r="G1583" t="s">
        <v>379</v>
      </c>
      <c r="J1583" s="4">
        <v>1672</v>
      </c>
      <c r="L1583" t="s">
        <v>395</v>
      </c>
    </row>
    <row r="1584" spans="1:12" x14ac:dyDescent="0.2">
      <c r="A1584" t="s">
        <v>18</v>
      </c>
      <c r="B1584" t="s">
        <v>95</v>
      </c>
      <c r="C1584" t="s">
        <v>13</v>
      </c>
      <c r="D1584" t="s">
        <v>534</v>
      </c>
      <c r="E1584" t="s">
        <v>84</v>
      </c>
      <c r="F1584" t="s">
        <v>810</v>
      </c>
      <c r="G1584" t="s">
        <v>864</v>
      </c>
      <c r="J1584" s="4">
        <v>239.8</v>
      </c>
      <c r="L1584" t="s">
        <v>395</v>
      </c>
    </row>
    <row r="1585" spans="1:12" x14ac:dyDescent="0.2">
      <c r="A1585" t="s">
        <v>18</v>
      </c>
      <c r="B1585" t="s">
        <v>95</v>
      </c>
      <c r="C1585" t="s">
        <v>13</v>
      </c>
      <c r="D1585" t="s">
        <v>534</v>
      </c>
      <c r="E1585" t="s">
        <v>84</v>
      </c>
      <c r="F1585" t="s">
        <v>810</v>
      </c>
      <c r="G1585" t="s">
        <v>379</v>
      </c>
      <c r="J1585" s="4">
        <v>1672</v>
      </c>
      <c r="L1585" t="s">
        <v>410</v>
      </c>
    </row>
    <row r="1586" spans="1:12" x14ac:dyDescent="0.2">
      <c r="A1586" t="s">
        <v>27</v>
      </c>
      <c r="B1586" t="s">
        <v>95</v>
      </c>
      <c r="C1586" t="s">
        <v>13</v>
      </c>
      <c r="D1586" t="s">
        <v>534</v>
      </c>
      <c r="E1586" t="s">
        <v>84</v>
      </c>
      <c r="F1586" t="s">
        <v>810</v>
      </c>
      <c r="G1586" t="s">
        <v>866</v>
      </c>
      <c r="J1586" s="4">
        <v>3200</v>
      </c>
      <c r="L1586" t="s">
        <v>867</v>
      </c>
    </row>
    <row r="1587" spans="1:12" x14ac:dyDescent="0.2">
      <c r="A1587" t="s">
        <v>18</v>
      </c>
      <c r="B1587" t="s">
        <v>95</v>
      </c>
      <c r="C1587" t="s">
        <v>13</v>
      </c>
      <c r="D1587" t="s">
        <v>534</v>
      </c>
      <c r="E1587" t="s">
        <v>84</v>
      </c>
      <c r="F1587" t="s">
        <v>810</v>
      </c>
      <c r="G1587" t="s">
        <v>868</v>
      </c>
      <c r="J1587" s="4">
        <v>2500</v>
      </c>
      <c r="L1587" t="s">
        <v>396</v>
      </c>
    </row>
    <row r="1588" spans="1:12" x14ac:dyDescent="0.2">
      <c r="A1588" t="s">
        <v>18</v>
      </c>
      <c r="B1588" t="s">
        <v>95</v>
      </c>
      <c r="C1588" t="s">
        <v>13</v>
      </c>
      <c r="D1588" t="s">
        <v>534</v>
      </c>
      <c r="E1588" t="s">
        <v>84</v>
      </c>
      <c r="F1588" t="s">
        <v>810</v>
      </c>
      <c r="G1588" t="s">
        <v>868</v>
      </c>
      <c r="J1588" s="4">
        <v>2310</v>
      </c>
      <c r="L1588" t="s">
        <v>382</v>
      </c>
    </row>
    <row r="1589" spans="1:12" x14ac:dyDescent="0.2">
      <c r="A1589" t="s">
        <v>18</v>
      </c>
      <c r="B1589" t="s">
        <v>95</v>
      </c>
      <c r="C1589" t="s">
        <v>13</v>
      </c>
      <c r="D1589" t="s">
        <v>534</v>
      </c>
      <c r="E1589" t="s">
        <v>84</v>
      </c>
      <c r="F1589" t="s">
        <v>810</v>
      </c>
      <c r="G1589" t="s">
        <v>868</v>
      </c>
      <c r="J1589" s="4">
        <v>2100</v>
      </c>
      <c r="L1589" t="s">
        <v>420</v>
      </c>
    </row>
    <row r="1590" spans="1:12" x14ac:dyDescent="0.2">
      <c r="A1590" t="s">
        <v>18</v>
      </c>
      <c r="B1590" t="s">
        <v>95</v>
      </c>
      <c r="C1590" t="s">
        <v>13</v>
      </c>
      <c r="D1590" t="s">
        <v>534</v>
      </c>
      <c r="E1590" t="s">
        <v>84</v>
      </c>
      <c r="F1590" t="s">
        <v>810</v>
      </c>
      <c r="G1590" t="s">
        <v>379</v>
      </c>
      <c r="J1590" s="4">
        <v>1402</v>
      </c>
      <c r="L1590" t="s">
        <v>406</v>
      </c>
    </row>
    <row r="1591" spans="1:12" x14ac:dyDescent="0.2">
      <c r="A1591" t="s">
        <v>27</v>
      </c>
      <c r="B1591" t="s">
        <v>95</v>
      </c>
      <c r="C1591" t="s">
        <v>13</v>
      </c>
      <c r="D1591" t="s">
        <v>810</v>
      </c>
      <c r="E1591" t="s">
        <v>84</v>
      </c>
      <c r="F1591" t="s">
        <v>810</v>
      </c>
      <c r="G1591" t="s">
        <v>866</v>
      </c>
      <c r="J1591" s="4">
        <v>6000</v>
      </c>
      <c r="L1591" t="s">
        <v>400</v>
      </c>
    </row>
    <row r="1592" spans="1:12" x14ac:dyDescent="0.2">
      <c r="A1592" t="s">
        <v>18</v>
      </c>
      <c r="B1592" t="s">
        <v>95</v>
      </c>
      <c r="C1592" t="s">
        <v>13</v>
      </c>
      <c r="D1592" t="s">
        <v>810</v>
      </c>
      <c r="E1592" t="s">
        <v>750</v>
      </c>
      <c r="F1592" t="s">
        <v>810</v>
      </c>
      <c r="G1592" t="s">
        <v>864</v>
      </c>
      <c r="J1592" s="4">
        <v>239.8</v>
      </c>
      <c r="L1592" t="s">
        <v>410</v>
      </c>
    </row>
    <row r="1593" spans="1:12" x14ac:dyDescent="0.2">
      <c r="A1593" t="s">
        <v>18</v>
      </c>
      <c r="B1593" t="s">
        <v>95</v>
      </c>
      <c r="C1593" t="s">
        <v>13</v>
      </c>
      <c r="D1593" t="s">
        <v>810</v>
      </c>
      <c r="E1593" t="s">
        <v>750</v>
      </c>
      <c r="F1593" t="s">
        <v>810</v>
      </c>
      <c r="G1593" t="s">
        <v>864</v>
      </c>
      <c r="J1593" s="4">
        <v>239.8</v>
      </c>
      <c r="L1593" t="s">
        <v>406</v>
      </c>
    </row>
    <row r="1594" spans="1:12" x14ac:dyDescent="0.2">
      <c r="A1594" t="s">
        <v>27</v>
      </c>
      <c r="B1594" t="s">
        <v>95</v>
      </c>
      <c r="C1594" t="s">
        <v>13</v>
      </c>
      <c r="D1594" t="s">
        <v>810</v>
      </c>
      <c r="E1594" t="s">
        <v>750</v>
      </c>
      <c r="F1594" t="s">
        <v>810</v>
      </c>
      <c r="G1594" t="s">
        <v>379</v>
      </c>
      <c r="J1594" s="4">
        <v>800</v>
      </c>
      <c r="L1594" t="s">
        <v>408</v>
      </c>
    </row>
    <row r="1595" spans="1:12" x14ac:dyDescent="0.2">
      <c r="A1595" t="s">
        <v>18</v>
      </c>
      <c r="B1595" t="s">
        <v>95</v>
      </c>
      <c r="C1595" t="s">
        <v>13</v>
      </c>
      <c r="D1595" t="s">
        <v>817</v>
      </c>
      <c r="E1595" t="s">
        <v>750</v>
      </c>
      <c r="F1595" t="s">
        <v>817</v>
      </c>
      <c r="G1595" t="s">
        <v>869</v>
      </c>
      <c r="H1595" s="3" t="s">
        <v>873</v>
      </c>
      <c r="J1595" s="4">
        <v>555</v>
      </c>
      <c r="L1595" t="s">
        <v>381</v>
      </c>
    </row>
    <row r="1596" spans="1:12" x14ac:dyDescent="0.2">
      <c r="A1596" t="s">
        <v>18</v>
      </c>
      <c r="B1596" t="s">
        <v>95</v>
      </c>
      <c r="C1596" t="s">
        <v>13</v>
      </c>
      <c r="D1596" t="s">
        <v>834</v>
      </c>
      <c r="E1596" t="s">
        <v>750</v>
      </c>
      <c r="F1596" t="s">
        <v>834</v>
      </c>
      <c r="G1596" t="s">
        <v>869</v>
      </c>
      <c r="H1596" s="3" t="s">
        <v>874</v>
      </c>
      <c r="J1596" s="4">
        <v>120</v>
      </c>
      <c r="L1596" t="s">
        <v>406</v>
      </c>
    </row>
    <row r="1597" spans="1:12" x14ac:dyDescent="0.2">
      <c r="A1597" t="s">
        <v>748</v>
      </c>
      <c r="B1597" t="s">
        <v>95</v>
      </c>
      <c r="C1597" t="s">
        <v>13</v>
      </c>
      <c r="D1597" t="s">
        <v>875</v>
      </c>
      <c r="E1597" t="s">
        <v>750</v>
      </c>
      <c r="F1597" t="s">
        <v>875</v>
      </c>
      <c r="G1597" t="s">
        <v>411</v>
      </c>
      <c r="J1597" s="4">
        <v>200</v>
      </c>
      <c r="L1597" t="s">
        <v>381</v>
      </c>
    </row>
    <row r="1598" spans="1:12" x14ac:dyDescent="0.2">
      <c r="A1598" t="s">
        <v>18</v>
      </c>
      <c r="B1598" t="s">
        <v>95</v>
      </c>
      <c r="C1598" t="s">
        <v>13</v>
      </c>
      <c r="D1598" t="s">
        <v>757</v>
      </c>
      <c r="E1598" t="s">
        <v>750</v>
      </c>
      <c r="F1598" t="s">
        <v>757</v>
      </c>
      <c r="G1598" t="s">
        <v>404</v>
      </c>
      <c r="J1598" s="4">
        <v>6000</v>
      </c>
      <c r="L1598" t="s">
        <v>400</v>
      </c>
    </row>
    <row r="1599" spans="1:12" x14ac:dyDescent="0.2">
      <c r="A1599" t="s">
        <v>18</v>
      </c>
      <c r="B1599" t="s">
        <v>95</v>
      </c>
      <c r="C1599" t="s">
        <v>13</v>
      </c>
      <c r="D1599" t="s">
        <v>757</v>
      </c>
      <c r="E1599" t="s">
        <v>750</v>
      </c>
      <c r="F1599" t="s">
        <v>757</v>
      </c>
      <c r="G1599" t="s">
        <v>404</v>
      </c>
      <c r="J1599" s="4">
        <v>3200</v>
      </c>
      <c r="L1599" t="s">
        <v>867</v>
      </c>
    </row>
    <row r="1600" spans="1:12" x14ac:dyDescent="0.2">
      <c r="A1600" t="s">
        <v>18</v>
      </c>
      <c r="B1600" t="s">
        <v>95</v>
      </c>
      <c r="C1600" t="s">
        <v>13</v>
      </c>
      <c r="D1600" t="s">
        <v>91</v>
      </c>
      <c r="E1600" t="s">
        <v>84</v>
      </c>
      <c r="F1600" t="s">
        <v>88</v>
      </c>
      <c r="G1600" t="s">
        <v>423</v>
      </c>
      <c r="J1600" s="4">
        <v>638.88</v>
      </c>
    </row>
    <row r="1601" spans="1:12" x14ac:dyDescent="0.2">
      <c r="A1601" t="s">
        <v>18</v>
      </c>
      <c r="B1601" t="s">
        <v>95</v>
      </c>
      <c r="C1601" t="s">
        <v>13</v>
      </c>
      <c r="D1601" t="s">
        <v>810</v>
      </c>
      <c r="E1601" t="s">
        <v>750</v>
      </c>
      <c r="F1601" t="s">
        <v>810</v>
      </c>
      <c r="G1601" t="s">
        <v>423</v>
      </c>
      <c r="J1601" s="4">
        <v>144.83000000000001</v>
      </c>
    </row>
    <row r="1602" spans="1:12" x14ac:dyDescent="0.2">
      <c r="A1602" t="s">
        <v>18</v>
      </c>
      <c r="B1602" t="s">
        <v>95</v>
      </c>
      <c r="C1602" t="s">
        <v>13</v>
      </c>
      <c r="D1602" t="s">
        <v>756</v>
      </c>
      <c r="E1602" t="s">
        <v>750</v>
      </c>
      <c r="F1602" t="s">
        <v>846</v>
      </c>
      <c r="G1602" t="s">
        <v>423</v>
      </c>
      <c r="J1602" s="4">
        <v>427.31</v>
      </c>
    </row>
    <row r="1603" spans="1:12" x14ac:dyDescent="0.2">
      <c r="A1603" t="s">
        <v>27</v>
      </c>
      <c r="B1603" t="s">
        <v>95</v>
      </c>
      <c r="C1603" t="s">
        <v>13</v>
      </c>
      <c r="D1603" t="s">
        <v>91</v>
      </c>
      <c r="E1603" t="s">
        <v>84</v>
      </c>
      <c r="F1603" t="s">
        <v>88</v>
      </c>
      <c r="G1603" t="s">
        <v>430</v>
      </c>
      <c r="J1603" s="4">
        <v>4817.8599999999997</v>
      </c>
    </row>
    <row r="1604" spans="1:12" x14ac:dyDescent="0.2">
      <c r="A1604" t="s">
        <v>27</v>
      </c>
      <c r="B1604" t="s">
        <v>95</v>
      </c>
      <c r="C1604" t="s">
        <v>13</v>
      </c>
      <c r="D1604" t="s">
        <v>91</v>
      </c>
      <c r="E1604" t="s">
        <v>84</v>
      </c>
      <c r="F1604" t="s">
        <v>91</v>
      </c>
      <c r="G1604" t="s">
        <v>431</v>
      </c>
      <c r="J1604" s="4">
        <v>8617.02</v>
      </c>
    </row>
    <row r="1605" spans="1:12" x14ac:dyDescent="0.2">
      <c r="A1605" t="s">
        <v>18</v>
      </c>
      <c r="B1605" t="s">
        <v>95</v>
      </c>
      <c r="C1605" t="s">
        <v>13</v>
      </c>
      <c r="D1605" t="s">
        <v>810</v>
      </c>
      <c r="E1605" t="s">
        <v>750</v>
      </c>
      <c r="F1605" t="s">
        <v>810</v>
      </c>
      <c r="G1605" t="s">
        <v>430</v>
      </c>
      <c r="J1605" s="4">
        <v>139.35</v>
      </c>
    </row>
    <row r="1606" spans="1:12" x14ac:dyDescent="0.2">
      <c r="A1606" t="s">
        <v>27</v>
      </c>
      <c r="B1606" t="s">
        <v>95</v>
      </c>
      <c r="C1606" t="s">
        <v>13</v>
      </c>
      <c r="D1606" t="s">
        <v>756</v>
      </c>
      <c r="E1606" t="s">
        <v>750</v>
      </c>
      <c r="F1606" t="s">
        <v>846</v>
      </c>
      <c r="G1606" t="s">
        <v>430</v>
      </c>
      <c r="J1606" s="4">
        <v>3075.13</v>
      </c>
    </row>
    <row r="1607" spans="1:12" x14ac:dyDescent="0.2">
      <c r="A1607" t="s">
        <v>27</v>
      </c>
      <c r="B1607" t="s">
        <v>95</v>
      </c>
      <c r="C1607" t="s">
        <v>13</v>
      </c>
      <c r="D1607" t="s">
        <v>756</v>
      </c>
      <c r="E1607" t="s">
        <v>750</v>
      </c>
      <c r="F1607" t="s">
        <v>756</v>
      </c>
      <c r="G1607" t="s">
        <v>431</v>
      </c>
      <c r="J1607" s="4">
        <v>16571.12</v>
      </c>
    </row>
    <row r="1608" spans="1:12" x14ac:dyDescent="0.2">
      <c r="A1608" t="s">
        <v>748</v>
      </c>
      <c r="B1608" t="s">
        <v>95</v>
      </c>
      <c r="C1608" t="s">
        <v>13</v>
      </c>
      <c r="D1608" t="s">
        <v>278</v>
      </c>
      <c r="E1608" t="s">
        <v>42</v>
      </c>
      <c r="F1608" t="s">
        <v>301</v>
      </c>
      <c r="G1608" t="s">
        <v>445</v>
      </c>
      <c r="H1608" s="3" t="s">
        <v>489</v>
      </c>
      <c r="J1608" s="4">
        <v>99</v>
      </c>
    </row>
    <row r="1609" spans="1:12" x14ac:dyDescent="0.2">
      <c r="A1609" t="s">
        <v>748</v>
      </c>
      <c r="B1609" t="s">
        <v>95</v>
      </c>
      <c r="C1609" t="s">
        <v>13</v>
      </c>
      <c r="D1609" t="s">
        <v>421</v>
      </c>
      <c r="E1609" t="s">
        <v>64</v>
      </c>
      <c r="F1609" t="s">
        <v>301</v>
      </c>
      <c r="G1609" t="s">
        <v>445</v>
      </c>
      <c r="H1609" s="3" t="s">
        <v>489</v>
      </c>
      <c r="J1609" s="4">
        <v>99</v>
      </c>
    </row>
    <row r="1610" spans="1:12" x14ac:dyDescent="0.2">
      <c r="A1610" t="s">
        <v>18</v>
      </c>
      <c r="B1610" t="s">
        <v>95</v>
      </c>
      <c r="C1610" t="s">
        <v>13</v>
      </c>
      <c r="D1610" t="s">
        <v>338</v>
      </c>
      <c r="E1610" t="s">
        <v>84</v>
      </c>
      <c r="F1610" t="s">
        <v>89</v>
      </c>
      <c r="G1610" t="s">
        <v>490</v>
      </c>
      <c r="H1610" s="3" t="s">
        <v>491</v>
      </c>
      <c r="J1610" s="4">
        <v>45.24</v>
      </c>
    </row>
    <row r="1611" spans="1:12" x14ac:dyDescent="0.2">
      <c r="A1611" t="s">
        <v>18</v>
      </c>
      <c r="B1611" t="s">
        <v>95</v>
      </c>
      <c r="C1611" t="s">
        <v>13</v>
      </c>
      <c r="D1611" t="s">
        <v>301</v>
      </c>
      <c r="E1611" t="s">
        <v>84</v>
      </c>
      <c r="F1611" t="s">
        <v>301</v>
      </c>
      <c r="G1611" t="s">
        <v>477</v>
      </c>
      <c r="H1611" s="3" t="s">
        <v>514</v>
      </c>
      <c r="J1611" s="4">
        <v>1600</v>
      </c>
    </row>
    <row r="1612" spans="1:12" x14ac:dyDescent="0.2">
      <c r="A1612" t="s">
        <v>71</v>
      </c>
      <c r="B1612" t="s">
        <v>95</v>
      </c>
      <c r="C1612" t="s">
        <v>13</v>
      </c>
      <c r="D1612" t="s">
        <v>301</v>
      </c>
      <c r="E1612" t="s">
        <v>84</v>
      </c>
      <c r="F1612" t="s">
        <v>515</v>
      </c>
      <c r="G1612" t="s">
        <v>504</v>
      </c>
      <c r="J1612" s="4">
        <v>3000</v>
      </c>
    </row>
    <row r="1613" spans="1:12" x14ac:dyDescent="0.2">
      <c r="A1613" t="s">
        <v>748</v>
      </c>
      <c r="B1613" t="s">
        <v>95</v>
      </c>
      <c r="C1613" t="s">
        <v>13</v>
      </c>
      <c r="D1613" t="s">
        <v>83</v>
      </c>
      <c r="E1613" t="s">
        <v>84</v>
      </c>
      <c r="F1613" t="s">
        <v>85</v>
      </c>
      <c r="G1613" t="s">
        <v>440</v>
      </c>
      <c r="H1613" s="3" t="s">
        <v>441</v>
      </c>
      <c r="J1613" s="4">
        <v>163</v>
      </c>
    </row>
    <row r="1614" spans="1:12" x14ac:dyDescent="0.2">
      <c r="A1614" t="s">
        <v>748</v>
      </c>
      <c r="B1614" t="s">
        <v>95</v>
      </c>
      <c r="C1614" t="s">
        <v>13</v>
      </c>
      <c r="D1614" t="s">
        <v>83</v>
      </c>
      <c r="E1614" t="s">
        <v>84</v>
      </c>
      <c r="F1614" t="s">
        <v>83</v>
      </c>
      <c r="G1614" t="s">
        <v>443</v>
      </c>
      <c r="H1614" s="3" t="s">
        <v>444</v>
      </c>
      <c r="J1614" s="4">
        <v>249.66</v>
      </c>
    </row>
    <row r="1615" spans="1:12" x14ac:dyDescent="0.2">
      <c r="A1615" t="s">
        <v>748</v>
      </c>
      <c r="B1615" t="s">
        <v>95</v>
      </c>
      <c r="C1615" t="s">
        <v>13</v>
      </c>
      <c r="D1615" t="s">
        <v>83</v>
      </c>
      <c r="E1615" t="s">
        <v>84</v>
      </c>
      <c r="F1615" t="s">
        <v>83</v>
      </c>
      <c r="G1615" t="s">
        <v>438</v>
      </c>
      <c r="H1615" s="3" t="s">
        <v>516</v>
      </c>
      <c r="J1615" s="4">
        <v>450</v>
      </c>
    </row>
    <row r="1616" spans="1:12" x14ac:dyDescent="0.2">
      <c r="A1616" t="s">
        <v>18</v>
      </c>
      <c r="B1616" t="s">
        <v>95</v>
      </c>
      <c r="C1616" t="s">
        <v>13</v>
      </c>
      <c r="D1616" t="s">
        <v>87</v>
      </c>
      <c r="E1616" t="s">
        <v>84</v>
      </c>
      <c r="F1616" t="s">
        <v>87</v>
      </c>
      <c r="G1616" t="s">
        <v>488</v>
      </c>
      <c r="J1616" s="4">
        <v>120</v>
      </c>
      <c r="L1616" t="s">
        <v>517</v>
      </c>
    </row>
    <row r="1617" spans="1:12" x14ac:dyDescent="0.2">
      <c r="A1617" t="s">
        <v>748</v>
      </c>
      <c r="B1617" t="s">
        <v>95</v>
      </c>
      <c r="C1617" t="s">
        <v>13</v>
      </c>
      <c r="D1617" t="s">
        <v>85</v>
      </c>
      <c r="E1617" t="s">
        <v>84</v>
      </c>
      <c r="F1617" t="s">
        <v>85</v>
      </c>
      <c r="G1617" t="s">
        <v>488</v>
      </c>
      <c r="J1617" s="4">
        <v>120</v>
      </c>
      <c r="L1617" t="s">
        <v>499</v>
      </c>
    </row>
    <row r="1618" spans="1:12" x14ac:dyDescent="0.2">
      <c r="A1618" t="s">
        <v>748</v>
      </c>
      <c r="B1618" t="s">
        <v>95</v>
      </c>
      <c r="C1618" t="s">
        <v>13</v>
      </c>
      <c r="D1618" t="s">
        <v>85</v>
      </c>
      <c r="E1618" t="s">
        <v>84</v>
      </c>
      <c r="F1618" t="s">
        <v>346</v>
      </c>
      <c r="G1618" t="s">
        <v>442</v>
      </c>
      <c r="H1618" s="3" t="s">
        <v>283</v>
      </c>
      <c r="J1618" s="4">
        <v>660.79</v>
      </c>
    </row>
    <row r="1619" spans="1:12" x14ac:dyDescent="0.2">
      <c r="A1619" t="s">
        <v>71</v>
      </c>
      <c r="B1619" t="s">
        <v>95</v>
      </c>
      <c r="C1619" t="s">
        <v>13</v>
      </c>
      <c r="D1619" t="s">
        <v>351</v>
      </c>
      <c r="E1619" t="s">
        <v>84</v>
      </c>
      <c r="F1619" t="s">
        <v>352</v>
      </c>
      <c r="G1619" t="s">
        <v>445</v>
      </c>
      <c r="H1619" s="3" t="s">
        <v>518</v>
      </c>
      <c r="J1619" s="4">
        <v>1500</v>
      </c>
    </row>
    <row r="1620" spans="1:12" x14ac:dyDescent="0.2">
      <c r="A1620" t="s">
        <v>748</v>
      </c>
      <c r="B1620" t="s">
        <v>95</v>
      </c>
      <c r="C1620" t="s">
        <v>13</v>
      </c>
      <c r="D1620" t="s">
        <v>351</v>
      </c>
      <c r="E1620" t="s">
        <v>84</v>
      </c>
      <c r="F1620" t="s">
        <v>351</v>
      </c>
      <c r="G1620" t="s">
        <v>443</v>
      </c>
      <c r="H1620" s="3" t="s">
        <v>519</v>
      </c>
      <c r="J1620" s="4">
        <v>17</v>
      </c>
    </row>
    <row r="1621" spans="1:12" x14ac:dyDescent="0.2">
      <c r="A1621" t="s">
        <v>71</v>
      </c>
      <c r="B1621" t="s">
        <v>95</v>
      </c>
      <c r="C1621" t="s">
        <v>13</v>
      </c>
      <c r="D1621" t="s">
        <v>346</v>
      </c>
      <c r="E1621" t="s">
        <v>84</v>
      </c>
      <c r="F1621" t="s">
        <v>346</v>
      </c>
      <c r="G1621" t="s">
        <v>445</v>
      </c>
      <c r="H1621" s="3" t="s">
        <v>447</v>
      </c>
      <c r="J1621" s="4">
        <v>385</v>
      </c>
    </row>
    <row r="1622" spans="1:12" x14ac:dyDescent="0.2">
      <c r="A1622" t="s">
        <v>748</v>
      </c>
      <c r="B1622" t="s">
        <v>95</v>
      </c>
      <c r="C1622" t="s">
        <v>13</v>
      </c>
      <c r="D1622" t="s">
        <v>346</v>
      </c>
      <c r="E1622" t="s">
        <v>84</v>
      </c>
      <c r="F1622" t="s">
        <v>346</v>
      </c>
      <c r="G1622" t="s">
        <v>451</v>
      </c>
      <c r="H1622" s="3" t="s">
        <v>452</v>
      </c>
      <c r="J1622" s="4">
        <v>154.76</v>
      </c>
    </row>
    <row r="1623" spans="1:12" x14ac:dyDescent="0.2">
      <c r="A1623" t="s">
        <v>748</v>
      </c>
      <c r="B1623" t="s">
        <v>95</v>
      </c>
      <c r="C1623" t="s">
        <v>13</v>
      </c>
      <c r="D1623" t="s">
        <v>346</v>
      </c>
      <c r="E1623" t="s">
        <v>84</v>
      </c>
      <c r="F1623" t="s">
        <v>346</v>
      </c>
      <c r="G1623" t="s">
        <v>488</v>
      </c>
      <c r="H1623" s="3" t="s">
        <v>520</v>
      </c>
      <c r="J1623" s="4">
        <v>30</v>
      </c>
      <c r="L1623" t="s">
        <v>517</v>
      </c>
    </row>
    <row r="1624" spans="1:12" x14ac:dyDescent="0.2">
      <c r="A1624" t="s">
        <v>748</v>
      </c>
      <c r="B1624" t="s">
        <v>95</v>
      </c>
      <c r="C1624" t="s">
        <v>13</v>
      </c>
      <c r="D1624" t="s">
        <v>346</v>
      </c>
      <c r="E1624" t="s">
        <v>84</v>
      </c>
      <c r="F1624" t="s">
        <v>346</v>
      </c>
      <c r="G1624" t="s">
        <v>469</v>
      </c>
      <c r="H1624" s="3" t="s">
        <v>521</v>
      </c>
      <c r="J1624" s="4">
        <v>58</v>
      </c>
    </row>
    <row r="1625" spans="1:12" x14ac:dyDescent="0.2">
      <c r="A1625" t="s">
        <v>71</v>
      </c>
      <c r="B1625" t="s">
        <v>95</v>
      </c>
      <c r="C1625" t="s">
        <v>13</v>
      </c>
      <c r="D1625" t="s">
        <v>346</v>
      </c>
      <c r="E1625" t="s">
        <v>84</v>
      </c>
      <c r="F1625" t="s">
        <v>346</v>
      </c>
      <c r="G1625" t="s">
        <v>488</v>
      </c>
      <c r="H1625" s="3" t="s">
        <v>522</v>
      </c>
      <c r="J1625" s="4">
        <v>150</v>
      </c>
      <c r="L1625" t="s">
        <v>523</v>
      </c>
    </row>
    <row r="1626" spans="1:12" x14ac:dyDescent="0.2">
      <c r="A1626" t="s">
        <v>27</v>
      </c>
      <c r="B1626" t="s">
        <v>95</v>
      </c>
      <c r="C1626" t="s">
        <v>13</v>
      </c>
      <c r="D1626" t="s">
        <v>86</v>
      </c>
      <c r="E1626" t="s">
        <v>84</v>
      </c>
      <c r="F1626" t="s">
        <v>86</v>
      </c>
      <c r="G1626" t="s">
        <v>442</v>
      </c>
      <c r="H1626" s="3" t="s">
        <v>453</v>
      </c>
      <c r="J1626" s="4">
        <v>1032.21</v>
      </c>
    </row>
    <row r="1627" spans="1:12" x14ac:dyDescent="0.2">
      <c r="A1627" t="s">
        <v>27</v>
      </c>
      <c r="B1627" t="s">
        <v>95</v>
      </c>
      <c r="C1627" t="s">
        <v>13</v>
      </c>
      <c r="D1627" t="s">
        <v>88</v>
      </c>
      <c r="E1627" t="s">
        <v>84</v>
      </c>
      <c r="F1627" t="s">
        <v>88</v>
      </c>
      <c r="G1627" t="s">
        <v>445</v>
      </c>
      <c r="H1627" s="3" t="s">
        <v>456</v>
      </c>
      <c r="J1627" s="4">
        <v>397</v>
      </c>
    </row>
    <row r="1628" spans="1:12" x14ac:dyDescent="0.2">
      <c r="A1628" t="s">
        <v>71</v>
      </c>
      <c r="B1628" t="s">
        <v>95</v>
      </c>
      <c r="C1628" t="s">
        <v>13</v>
      </c>
      <c r="D1628" t="s">
        <v>88</v>
      </c>
      <c r="E1628" t="s">
        <v>84</v>
      </c>
      <c r="F1628" t="s">
        <v>88</v>
      </c>
      <c r="G1628" t="s">
        <v>438</v>
      </c>
      <c r="H1628" s="3" t="s">
        <v>524</v>
      </c>
      <c r="J1628" s="4">
        <v>1000</v>
      </c>
    </row>
    <row r="1629" spans="1:12" x14ac:dyDescent="0.2">
      <c r="A1629" t="s">
        <v>18</v>
      </c>
      <c r="B1629" t="s">
        <v>95</v>
      </c>
      <c r="C1629" t="s">
        <v>13</v>
      </c>
      <c r="D1629" t="s">
        <v>88</v>
      </c>
      <c r="E1629" t="s">
        <v>84</v>
      </c>
      <c r="F1629" t="s">
        <v>88</v>
      </c>
      <c r="G1629" t="s">
        <v>438</v>
      </c>
      <c r="H1629" s="3" t="s">
        <v>525</v>
      </c>
      <c r="J1629" s="4">
        <v>90</v>
      </c>
    </row>
    <row r="1630" spans="1:12" x14ac:dyDescent="0.2">
      <c r="A1630" t="s">
        <v>27</v>
      </c>
      <c r="B1630" t="s">
        <v>95</v>
      </c>
      <c r="C1630" t="s">
        <v>13</v>
      </c>
      <c r="D1630" t="s">
        <v>352</v>
      </c>
      <c r="E1630" t="s">
        <v>84</v>
      </c>
      <c r="F1630" t="s">
        <v>352</v>
      </c>
      <c r="G1630" t="s">
        <v>488</v>
      </c>
      <c r="J1630" s="4">
        <v>200</v>
      </c>
      <c r="L1630" t="s">
        <v>499</v>
      </c>
    </row>
    <row r="1631" spans="1:12" x14ac:dyDescent="0.2">
      <c r="A1631" t="s">
        <v>18</v>
      </c>
      <c r="B1631" t="s">
        <v>95</v>
      </c>
      <c r="C1631" t="s">
        <v>13</v>
      </c>
      <c r="D1631" t="s">
        <v>352</v>
      </c>
      <c r="E1631" t="s">
        <v>84</v>
      </c>
      <c r="F1631" t="s">
        <v>352</v>
      </c>
      <c r="G1631" t="s">
        <v>449</v>
      </c>
      <c r="H1631" s="3" t="s">
        <v>484</v>
      </c>
      <c r="J1631" s="4">
        <v>2384</v>
      </c>
    </row>
    <row r="1632" spans="1:12" x14ac:dyDescent="0.2">
      <c r="A1632" t="s">
        <v>27</v>
      </c>
      <c r="B1632" t="s">
        <v>95</v>
      </c>
      <c r="C1632" t="s">
        <v>13</v>
      </c>
      <c r="D1632" t="s">
        <v>356</v>
      </c>
      <c r="E1632" t="s">
        <v>84</v>
      </c>
      <c r="F1632" t="s">
        <v>90</v>
      </c>
      <c r="G1632" t="s">
        <v>445</v>
      </c>
      <c r="H1632" s="3" t="s">
        <v>461</v>
      </c>
      <c r="J1632" s="4">
        <v>730</v>
      </c>
    </row>
    <row r="1633" spans="1:12" x14ac:dyDescent="0.2">
      <c r="A1633" t="s">
        <v>18</v>
      </c>
      <c r="B1633" t="s">
        <v>95</v>
      </c>
      <c r="C1633" t="s">
        <v>13</v>
      </c>
      <c r="D1633" t="s">
        <v>356</v>
      </c>
      <c r="E1633" t="s">
        <v>84</v>
      </c>
      <c r="F1633" t="s">
        <v>356</v>
      </c>
      <c r="G1633" t="s">
        <v>443</v>
      </c>
      <c r="H1633" s="3" t="s">
        <v>527</v>
      </c>
      <c r="J1633" s="4">
        <v>22</v>
      </c>
    </row>
    <row r="1634" spans="1:12" x14ac:dyDescent="0.2">
      <c r="A1634" t="s">
        <v>748</v>
      </c>
      <c r="B1634" t="s">
        <v>95</v>
      </c>
      <c r="C1634" t="s">
        <v>13</v>
      </c>
      <c r="D1634" t="s">
        <v>356</v>
      </c>
      <c r="E1634" t="s">
        <v>84</v>
      </c>
      <c r="F1634" t="s">
        <v>356</v>
      </c>
      <c r="G1634" t="s">
        <v>528</v>
      </c>
      <c r="H1634" s="3" t="s">
        <v>529</v>
      </c>
      <c r="J1634" s="4">
        <v>319.57</v>
      </c>
    </row>
    <row r="1635" spans="1:12" x14ac:dyDescent="0.2">
      <c r="A1635" t="s">
        <v>18</v>
      </c>
      <c r="B1635" t="s">
        <v>95</v>
      </c>
      <c r="C1635" t="s">
        <v>13</v>
      </c>
      <c r="D1635" t="s">
        <v>92</v>
      </c>
      <c r="E1635" t="s">
        <v>84</v>
      </c>
      <c r="F1635" t="s">
        <v>92</v>
      </c>
      <c r="G1635" t="s">
        <v>488</v>
      </c>
      <c r="J1635" s="4">
        <v>300</v>
      </c>
      <c r="L1635" t="s">
        <v>499</v>
      </c>
    </row>
    <row r="1636" spans="1:12" x14ac:dyDescent="0.2">
      <c r="A1636" t="s">
        <v>18</v>
      </c>
      <c r="B1636" t="s">
        <v>95</v>
      </c>
      <c r="C1636" t="s">
        <v>13</v>
      </c>
      <c r="D1636" t="s">
        <v>92</v>
      </c>
      <c r="E1636" t="s">
        <v>84</v>
      </c>
      <c r="F1636" t="s">
        <v>92</v>
      </c>
      <c r="G1636" t="s">
        <v>443</v>
      </c>
      <c r="H1636" s="3" t="s">
        <v>530</v>
      </c>
      <c r="J1636" s="4">
        <v>29</v>
      </c>
    </row>
    <row r="1637" spans="1:12" x14ac:dyDescent="0.2">
      <c r="A1637" t="s">
        <v>27</v>
      </c>
      <c r="B1637" t="s">
        <v>95</v>
      </c>
      <c r="C1637" t="s">
        <v>13</v>
      </c>
      <c r="D1637" t="s">
        <v>92</v>
      </c>
      <c r="E1637" t="s">
        <v>84</v>
      </c>
      <c r="F1637" t="s">
        <v>92</v>
      </c>
      <c r="G1637" t="s">
        <v>445</v>
      </c>
      <c r="H1637" s="3" t="s">
        <v>531</v>
      </c>
      <c r="J1637" s="4">
        <v>899.01</v>
      </c>
    </row>
    <row r="1638" spans="1:12" x14ac:dyDescent="0.2">
      <c r="A1638" t="s">
        <v>27</v>
      </c>
      <c r="B1638" t="s">
        <v>95</v>
      </c>
      <c r="C1638" t="s">
        <v>13</v>
      </c>
      <c r="D1638" t="s">
        <v>357</v>
      </c>
      <c r="E1638" t="s">
        <v>84</v>
      </c>
      <c r="F1638" t="s">
        <v>357</v>
      </c>
      <c r="G1638" t="s">
        <v>445</v>
      </c>
      <c r="H1638" s="3" t="s">
        <v>876</v>
      </c>
      <c r="J1638" s="4">
        <v>808.4</v>
      </c>
    </row>
    <row r="1639" spans="1:12" x14ac:dyDescent="0.2">
      <c r="A1639" t="s">
        <v>27</v>
      </c>
      <c r="B1639" t="s">
        <v>95</v>
      </c>
      <c r="C1639" t="s">
        <v>13</v>
      </c>
      <c r="D1639" t="s">
        <v>532</v>
      </c>
      <c r="E1639" t="s">
        <v>84</v>
      </c>
      <c r="F1639" t="s">
        <v>90</v>
      </c>
      <c r="G1639" t="s">
        <v>451</v>
      </c>
      <c r="H1639" s="3" t="s">
        <v>464</v>
      </c>
      <c r="J1639" s="4">
        <v>160.22999999999999</v>
      </c>
    </row>
    <row r="1640" spans="1:12" x14ac:dyDescent="0.2">
      <c r="A1640" t="s">
        <v>18</v>
      </c>
      <c r="B1640" t="s">
        <v>95</v>
      </c>
      <c r="C1640" t="s">
        <v>13</v>
      </c>
      <c r="D1640" t="s">
        <v>93</v>
      </c>
      <c r="E1640" t="s">
        <v>84</v>
      </c>
      <c r="F1640" t="s">
        <v>93</v>
      </c>
      <c r="G1640" t="s">
        <v>443</v>
      </c>
      <c r="H1640" s="3" t="s">
        <v>530</v>
      </c>
      <c r="J1640" s="4">
        <v>22</v>
      </c>
    </row>
    <row r="1641" spans="1:12" x14ac:dyDescent="0.2">
      <c r="A1641" t="s">
        <v>27</v>
      </c>
      <c r="B1641" t="s">
        <v>95</v>
      </c>
      <c r="C1641" t="s">
        <v>13</v>
      </c>
      <c r="D1641" t="s">
        <v>93</v>
      </c>
      <c r="E1641" t="s">
        <v>84</v>
      </c>
      <c r="F1641" t="s">
        <v>93</v>
      </c>
      <c r="G1641" t="s">
        <v>442</v>
      </c>
      <c r="H1641" s="3" t="s">
        <v>453</v>
      </c>
      <c r="J1641" s="4">
        <v>1042.33</v>
      </c>
    </row>
    <row r="1642" spans="1:12" x14ac:dyDescent="0.2">
      <c r="A1642" t="s">
        <v>18</v>
      </c>
      <c r="B1642" t="s">
        <v>95</v>
      </c>
      <c r="C1642" t="s">
        <v>13</v>
      </c>
      <c r="D1642" t="s">
        <v>358</v>
      </c>
      <c r="E1642" t="s">
        <v>84</v>
      </c>
      <c r="F1642" t="s">
        <v>358</v>
      </c>
      <c r="G1642" t="s">
        <v>443</v>
      </c>
      <c r="H1642" s="3" t="s">
        <v>530</v>
      </c>
      <c r="J1642" s="4">
        <v>22</v>
      </c>
    </row>
    <row r="1643" spans="1:12" x14ac:dyDescent="0.2">
      <c r="A1643" t="s">
        <v>18</v>
      </c>
      <c r="B1643" t="s">
        <v>95</v>
      </c>
      <c r="C1643" t="s">
        <v>13</v>
      </c>
      <c r="D1643" t="s">
        <v>359</v>
      </c>
      <c r="E1643" t="s">
        <v>84</v>
      </c>
      <c r="F1643" t="s">
        <v>359</v>
      </c>
      <c r="G1643" t="s">
        <v>443</v>
      </c>
      <c r="H1643" s="3" t="s">
        <v>454</v>
      </c>
      <c r="J1643" s="4">
        <v>22</v>
      </c>
    </row>
    <row r="1644" spans="1:12" x14ac:dyDescent="0.2">
      <c r="A1644" t="s">
        <v>18</v>
      </c>
      <c r="B1644" t="s">
        <v>95</v>
      </c>
      <c r="C1644" t="s">
        <v>13</v>
      </c>
      <c r="D1644" t="s">
        <v>359</v>
      </c>
      <c r="E1644" t="s">
        <v>84</v>
      </c>
      <c r="F1644" t="s">
        <v>359</v>
      </c>
      <c r="G1644" t="s">
        <v>490</v>
      </c>
      <c r="H1644" s="3" t="s">
        <v>533</v>
      </c>
      <c r="J1644" s="4">
        <v>20</v>
      </c>
    </row>
    <row r="1645" spans="1:12" x14ac:dyDescent="0.2">
      <c r="A1645" t="s">
        <v>18</v>
      </c>
      <c r="B1645" t="s">
        <v>95</v>
      </c>
      <c r="C1645" t="s">
        <v>13</v>
      </c>
      <c r="D1645" t="s">
        <v>94</v>
      </c>
      <c r="E1645" t="s">
        <v>84</v>
      </c>
      <c r="F1645" t="s">
        <v>94</v>
      </c>
      <c r="G1645" t="s">
        <v>443</v>
      </c>
      <c r="H1645" s="3" t="s">
        <v>454</v>
      </c>
      <c r="J1645" s="4">
        <v>44</v>
      </c>
    </row>
    <row r="1646" spans="1:12" x14ac:dyDescent="0.2">
      <c r="A1646" t="s">
        <v>18</v>
      </c>
      <c r="B1646" t="s">
        <v>95</v>
      </c>
      <c r="C1646" t="s">
        <v>13</v>
      </c>
      <c r="D1646" t="s">
        <v>360</v>
      </c>
      <c r="E1646" t="s">
        <v>84</v>
      </c>
      <c r="F1646" t="s">
        <v>360</v>
      </c>
      <c r="G1646" t="s">
        <v>488</v>
      </c>
      <c r="J1646" s="4">
        <v>70</v>
      </c>
      <c r="L1646" t="s">
        <v>381</v>
      </c>
    </row>
    <row r="1647" spans="1:12" x14ac:dyDescent="0.2">
      <c r="A1647" t="s">
        <v>27</v>
      </c>
      <c r="B1647" t="s">
        <v>95</v>
      </c>
      <c r="C1647" t="s">
        <v>13</v>
      </c>
      <c r="D1647" t="s">
        <v>534</v>
      </c>
      <c r="E1647" t="s">
        <v>84</v>
      </c>
      <c r="F1647" t="s">
        <v>810</v>
      </c>
      <c r="G1647" t="s">
        <v>445</v>
      </c>
      <c r="H1647" s="3" t="s">
        <v>489</v>
      </c>
      <c r="J1647" s="4">
        <v>100</v>
      </c>
    </row>
    <row r="1648" spans="1:12" x14ac:dyDescent="0.2">
      <c r="A1648" t="s">
        <v>27</v>
      </c>
      <c r="B1648" t="s">
        <v>95</v>
      </c>
      <c r="C1648" t="s">
        <v>13</v>
      </c>
      <c r="D1648" t="s">
        <v>877</v>
      </c>
      <c r="E1648" t="s">
        <v>84</v>
      </c>
      <c r="F1648" t="s">
        <v>810</v>
      </c>
      <c r="G1648" t="s">
        <v>490</v>
      </c>
      <c r="H1648" s="3" t="s">
        <v>491</v>
      </c>
      <c r="J1648" s="4">
        <v>58.03</v>
      </c>
    </row>
    <row r="1649" spans="1:12" x14ac:dyDescent="0.2">
      <c r="A1649" t="s">
        <v>748</v>
      </c>
      <c r="B1649" t="s">
        <v>95</v>
      </c>
      <c r="C1649" t="s">
        <v>13</v>
      </c>
      <c r="D1649" t="s">
        <v>877</v>
      </c>
      <c r="E1649" t="s">
        <v>750</v>
      </c>
      <c r="F1649" t="s">
        <v>877</v>
      </c>
      <c r="G1649" t="s">
        <v>443</v>
      </c>
      <c r="H1649" s="3" t="s">
        <v>878</v>
      </c>
      <c r="J1649" s="4">
        <v>42</v>
      </c>
    </row>
    <row r="1650" spans="1:12" x14ac:dyDescent="0.2">
      <c r="A1650" t="s">
        <v>748</v>
      </c>
      <c r="B1650" t="s">
        <v>95</v>
      </c>
      <c r="C1650" t="s">
        <v>13</v>
      </c>
      <c r="D1650" t="s">
        <v>810</v>
      </c>
      <c r="E1650" t="s">
        <v>750</v>
      </c>
      <c r="F1650" t="s">
        <v>810</v>
      </c>
      <c r="G1650" t="s">
        <v>443</v>
      </c>
      <c r="J1650" s="4">
        <v>29</v>
      </c>
    </row>
    <row r="1651" spans="1:12" x14ac:dyDescent="0.2">
      <c r="A1651" t="s">
        <v>27</v>
      </c>
      <c r="B1651" t="s">
        <v>95</v>
      </c>
      <c r="C1651" t="s">
        <v>13</v>
      </c>
      <c r="D1651" t="s">
        <v>810</v>
      </c>
      <c r="E1651" t="s">
        <v>750</v>
      </c>
      <c r="F1651" t="s">
        <v>810</v>
      </c>
      <c r="G1651" t="s">
        <v>445</v>
      </c>
      <c r="H1651" s="3" t="s">
        <v>531</v>
      </c>
      <c r="J1651" s="4">
        <v>893.41</v>
      </c>
    </row>
    <row r="1652" spans="1:12" x14ac:dyDescent="0.2">
      <c r="A1652" t="s">
        <v>18</v>
      </c>
      <c r="B1652" t="s">
        <v>95</v>
      </c>
      <c r="C1652" t="s">
        <v>13</v>
      </c>
      <c r="D1652" t="s">
        <v>810</v>
      </c>
      <c r="E1652" t="s">
        <v>750</v>
      </c>
      <c r="F1652" t="s">
        <v>810</v>
      </c>
      <c r="G1652" t="s">
        <v>443</v>
      </c>
      <c r="J1652" s="4">
        <v>139.5</v>
      </c>
    </row>
    <row r="1653" spans="1:12" x14ac:dyDescent="0.2">
      <c r="A1653" t="s">
        <v>748</v>
      </c>
      <c r="B1653" t="s">
        <v>95</v>
      </c>
      <c r="C1653" t="s">
        <v>13</v>
      </c>
      <c r="D1653" t="s">
        <v>817</v>
      </c>
      <c r="E1653" t="s">
        <v>750</v>
      </c>
      <c r="F1653" t="s">
        <v>817</v>
      </c>
      <c r="G1653" t="s">
        <v>435</v>
      </c>
      <c r="J1653" s="4">
        <v>50.49</v>
      </c>
    </row>
    <row r="1654" spans="1:12" x14ac:dyDescent="0.2">
      <c r="A1654" t="s">
        <v>748</v>
      </c>
      <c r="B1654" t="s">
        <v>95</v>
      </c>
      <c r="C1654" t="s">
        <v>13</v>
      </c>
      <c r="D1654" t="s">
        <v>817</v>
      </c>
      <c r="E1654" t="s">
        <v>750</v>
      </c>
      <c r="F1654" t="s">
        <v>817</v>
      </c>
      <c r="G1654" t="s">
        <v>879</v>
      </c>
      <c r="H1654" s="3" t="s">
        <v>880</v>
      </c>
      <c r="J1654" s="4">
        <v>14000</v>
      </c>
    </row>
    <row r="1655" spans="1:12" x14ac:dyDescent="0.2">
      <c r="A1655" t="s">
        <v>18</v>
      </c>
      <c r="B1655" t="s">
        <v>125</v>
      </c>
      <c r="C1655" t="s">
        <v>13</v>
      </c>
      <c r="D1655" t="s">
        <v>754</v>
      </c>
      <c r="E1655" t="s">
        <v>750</v>
      </c>
      <c r="F1655" t="s">
        <v>754</v>
      </c>
      <c r="G1655" t="s">
        <v>488</v>
      </c>
      <c r="J1655" s="4">
        <v>200</v>
      </c>
      <c r="L1655" t="s">
        <v>499</v>
      </c>
    </row>
    <row r="1656" spans="1:12" x14ac:dyDescent="0.2">
      <c r="A1656" t="s">
        <v>18</v>
      </c>
      <c r="B1656" t="s">
        <v>95</v>
      </c>
      <c r="C1656" t="s">
        <v>13</v>
      </c>
      <c r="D1656" t="s">
        <v>821</v>
      </c>
      <c r="E1656" t="s">
        <v>750</v>
      </c>
      <c r="F1656" t="s">
        <v>817</v>
      </c>
      <c r="G1656" t="s">
        <v>477</v>
      </c>
      <c r="H1656" s="3" t="s">
        <v>478</v>
      </c>
      <c r="J1656" s="4">
        <v>845</v>
      </c>
    </row>
    <row r="1657" spans="1:12" x14ac:dyDescent="0.2">
      <c r="A1657" t="s">
        <v>27</v>
      </c>
      <c r="B1657" t="s">
        <v>95</v>
      </c>
      <c r="C1657" t="s">
        <v>13</v>
      </c>
      <c r="D1657" t="s">
        <v>361</v>
      </c>
      <c r="E1657" t="s">
        <v>750</v>
      </c>
      <c r="F1657" t="s">
        <v>817</v>
      </c>
      <c r="G1657" t="s">
        <v>440</v>
      </c>
      <c r="H1657" s="3" t="s">
        <v>441</v>
      </c>
      <c r="J1657" s="4">
        <v>199.72</v>
      </c>
    </row>
    <row r="1658" spans="1:12" x14ac:dyDescent="0.2">
      <c r="A1658" t="s">
        <v>27</v>
      </c>
      <c r="B1658" t="s">
        <v>95</v>
      </c>
      <c r="C1658" t="s">
        <v>13</v>
      </c>
      <c r="D1658" t="s">
        <v>752</v>
      </c>
      <c r="E1658" t="s">
        <v>84</v>
      </c>
      <c r="F1658" t="s">
        <v>361</v>
      </c>
      <c r="G1658" t="s">
        <v>881</v>
      </c>
      <c r="H1658" s="3" t="s">
        <v>760</v>
      </c>
      <c r="J1658" s="4">
        <v>660.79</v>
      </c>
    </row>
    <row r="1659" spans="1:12" x14ac:dyDescent="0.2">
      <c r="A1659" t="s">
        <v>18</v>
      </c>
      <c r="B1659" t="s">
        <v>95</v>
      </c>
      <c r="C1659" t="s">
        <v>13</v>
      </c>
      <c r="D1659" t="s">
        <v>751</v>
      </c>
      <c r="E1659" t="s">
        <v>750</v>
      </c>
      <c r="F1659" t="s">
        <v>751</v>
      </c>
      <c r="G1659" t="s">
        <v>488</v>
      </c>
      <c r="H1659" s="3" t="s">
        <v>882</v>
      </c>
      <c r="J1659" s="4">
        <v>70</v>
      </c>
      <c r="L1659" t="s">
        <v>381</v>
      </c>
    </row>
    <row r="1660" spans="1:12" x14ac:dyDescent="0.2">
      <c r="A1660" t="s">
        <v>71</v>
      </c>
      <c r="B1660" t="s">
        <v>95</v>
      </c>
      <c r="C1660" t="s">
        <v>13</v>
      </c>
      <c r="D1660" t="s">
        <v>751</v>
      </c>
      <c r="E1660" t="s">
        <v>750</v>
      </c>
      <c r="F1660" t="s">
        <v>751</v>
      </c>
      <c r="G1660" t="s">
        <v>488</v>
      </c>
      <c r="J1660" s="4">
        <v>300</v>
      </c>
      <c r="L1660" t="s">
        <v>499</v>
      </c>
    </row>
    <row r="1661" spans="1:12" x14ac:dyDescent="0.2">
      <c r="A1661" t="s">
        <v>71</v>
      </c>
      <c r="B1661" t="s">
        <v>95</v>
      </c>
      <c r="C1661" t="s">
        <v>13</v>
      </c>
      <c r="D1661" t="s">
        <v>751</v>
      </c>
      <c r="E1661" t="s">
        <v>750</v>
      </c>
      <c r="F1661" t="s">
        <v>751</v>
      </c>
      <c r="G1661" t="s">
        <v>488</v>
      </c>
      <c r="H1661" s="3" t="s">
        <v>883</v>
      </c>
      <c r="J1661" s="4">
        <v>50</v>
      </c>
    </row>
    <row r="1662" spans="1:12" x14ac:dyDescent="0.2">
      <c r="A1662" t="s">
        <v>71</v>
      </c>
      <c r="B1662" t="s">
        <v>95</v>
      </c>
      <c r="C1662" t="s">
        <v>13</v>
      </c>
      <c r="D1662" t="s">
        <v>751</v>
      </c>
      <c r="E1662" t="s">
        <v>750</v>
      </c>
      <c r="F1662" t="s">
        <v>751</v>
      </c>
      <c r="G1662" t="s">
        <v>488</v>
      </c>
      <c r="H1662" s="3" t="s">
        <v>884</v>
      </c>
      <c r="J1662" s="4">
        <v>50</v>
      </c>
    </row>
    <row r="1663" spans="1:12" x14ac:dyDescent="0.2">
      <c r="A1663" t="s">
        <v>748</v>
      </c>
      <c r="B1663" t="s">
        <v>95</v>
      </c>
      <c r="C1663" t="s">
        <v>13</v>
      </c>
      <c r="D1663" t="s">
        <v>751</v>
      </c>
      <c r="E1663" t="s">
        <v>750</v>
      </c>
      <c r="F1663" t="s">
        <v>751</v>
      </c>
      <c r="G1663" t="s">
        <v>469</v>
      </c>
      <c r="H1663" s="3" t="s">
        <v>885</v>
      </c>
      <c r="J1663" s="4">
        <v>168.63</v>
      </c>
    </row>
    <row r="1664" spans="1:12" x14ac:dyDescent="0.2">
      <c r="A1664" t="s">
        <v>71</v>
      </c>
      <c r="B1664" t="s">
        <v>95</v>
      </c>
      <c r="C1664" t="s">
        <v>13</v>
      </c>
      <c r="D1664" t="s">
        <v>834</v>
      </c>
      <c r="E1664" t="s">
        <v>750</v>
      </c>
      <c r="F1664" t="s">
        <v>753</v>
      </c>
      <c r="G1664" t="s">
        <v>445</v>
      </c>
      <c r="H1664" s="3" t="s">
        <v>886</v>
      </c>
      <c r="J1664" s="4">
        <v>1500</v>
      </c>
    </row>
    <row r="1665" spans="1:12" x14ac:dyDescent="0.2">
      <c r="A1665" t="s">
        <v>27</v>
      </c>
      <c r="B1665" t="s">
        <v>95</v>
      </c>
      <c r="C1665" t="s">
        <v>13</v>
      </c>
      <c r="D1665" t="s">
        <v>834</v>
      </c>
      <c r="E1665" t="s">
        <v>750</v>
      </c>
      <c r="F1665" t="s">
        <v>834</v>
      </c>
      <c r="G1665" t="s">
        <v>445</v>
      </c>
      <c r="H1665" s="3" t="s">
        <v>447</v>
      </c>
      <c r="J1665" s="4">
        <v>385</v>
      </c>
    </row>
    <row r="1666" spans="1:12" x14ac:dyDescent="0.2">
      <c r="A1666" t="s">
        <v>27</v>
      </c>
      <c r="B1666" t="s">
        <v>95</v>
      </c>
      <c r="C1666" t="s">
        <v>13</v>
      </c>
      <c r="D1666" t="s">
        <v>834</v>
      </c>
      <c r="E1666" t="s">
        <v>750</v>
      </c>
      <c r="F1666" t="s">
        <v>834</v>
      </c>
      <c r="G1666" t="s">
        <v>451</v>
      </c>
      <c r="H1666" s="3" t="s">
        <v>452</v>
      </c>
      <c r="J1666" s="4">
        <v>154.79</v>
      </c>
    </row>
    <row r="1667" spans="1:12" x14ac:dyDescent="0.2">
      <c r="A1667" t="s">
        <v>18</v>
      </c>
      <c r="B1667" t="s">
        <v>95</v>
      </c>
      <c r="C1667" t="s">
        <v>13</v>
      </c>
      <c r="D1667" t="s">
        <v>834</v>
      </c>
      <c r="E1667" t="s">
        <v>750</v>
      </c>
      <c r="F1667" t="s">
        <v>834</v>
      </c>
      <c r="G1667" t="s">
        <v>488</v>
      </c>
      <c r="H1667" s="3" t="s">
        <v>887</v>
      </c>
      <c r="J1667" s="4">
        <v>50</v>
      </c>
      <c r="L1667" t="s">
        <v>888</v>
      </c>
    </row>
    <row r="1668" spans="1:12" x14ac:dyDescent="0.2">
      <c r="A1668" t="s">
        <v>27</v>
      </c>
      <c r="B1668" t="s">
        <v>95</v>
      </c>
      <c r="C1668" t="s">
        <v>13</v>
      </c>
      <c r="D1668" t="s">
        <v>834</v>
      </c>
      <c r="E1668" t="s">
        <v>750</v>
      </c>
      <c r="F1668" t="s">
        <v>834</v>
      </c>
      <c r="G1668" t="s">
        <v>449</v>
      </c>
      <c r="H1668" s="3" t="s">
        <v>484</v>
      </c>
      <c r="J1668" s="4">
        <v>2000</v>
      </c>
    </row>
    <row r="1669" spans="1:12" x14ac:dyDescent="0.2">
      <c r="A1669" t="s">
        <v>18</v>
      </c>
      <c r="B1669" t="s">
        <v>95</v>
      </c>
      <c r="C1669" t="s">
        <v>13</v>
      </c>
      <c r="D1669" t="s">
        <v>835</v>
      </c>
      <c r="E1669" t="s">
        <v>750</v>
      </c>
      <c r="F1669" t="s">
        <v>835</v>
      </c>
      <c r="G1669" t="s">
        <v>488</v>
      </c>
      <c r="J1669" s="4">
        <v>100</v>
      </c>
      <c r="L1669" t="s">
        <v>783</v>
      </c>
    </row>
    <row r="1670" spans="1:12" x14ac:dyDescent="0.2">
      <c r="A1670" t="s">
        <v>748</v>
      </c>
      <c r="B1670" t="s">
        <v>95</v>
      </c>
      <c r="C1670" t="s">
        <v>13</v>
      </c>
      <c r="D1670" t="s">
        <v>839</v>
      </c>
      <c r="E1670" t="s">
        <v>750</v>
      </c>
      <c r="F1670" t="s">
        <v>839</v>
      </c>
      <c r="G1670" t="s">
        <v>435</v>
      </c>
      <c r="H1670" s="3" t="s">
        <v>889</v>
      </c>
      <c r="J1670" s="4">
        <v>354.65</v>
      </c>
    </row>
    <row r="1671" spans="1:12" x14ac:dyDescent="0.2">
      <c r="A1671" t="s">
        <v>27</v>
      </c>
      <c r="B1671" t="s">
        <v>95</v>
      </c>
      <c r="C1671" t="s">
        <v>13</v>
      </c>
      <c r="D1671" t="s">
        <v>753</v>
      </c>
      <c r="E1671" t="s">
        <v>750</v>
      </c>
      <c r="F1671" t="s">
        <v>753</v>
      </c>
      <c r="G1671" t="s">
        <v>442</v>
      </c>
      <c r="H1671" s="3" t="s">
        <v>453</v>
      </c>
      <c r="J1671" s="4">
        <v>1045.3800000000001</v>
      </c>
    </row>
    <row r="1672" spans="1:12" x14ac:dyDescent="0.2">
      <c r="A1672" t="s">
        <v>748</v>
      </c>
      <c r="B1672" t="s">
        <v>95</v>
      </c>
      <c r="C1672" t="s">
        <v>13</v>
      </c>
      <c r="D1672" t="s">
        <v>691</v>
      </c>
      <c r="E1672" t="s">
        <v>750</v>
      </c>
      <c r="F1672" t="s">
        <v>691</v>
      </c>
      <c r="G1672" t="s">
        <v>438</v>
      </c>
      <c r="H1672" s="3" t="s">
        <v>890</v>
      </c>
      <c r="J1672" s="4">
        <v>400</v>
      </c>
    </row>
    <row r="1673" spans="1:12" x14ac:dyDescent="0.2">
      <c r="A1673" t="s">
        <v>27</v>
      </c>
      <c r="B1673" t="s">
        <v>95</v>
      </c>
      <c r="C1673" t="s">
        <v>13</v>
      </c>
      <c r="D1673" t="s">
        <v>846</v>
      </c>
      <c r="E1673" t="s">
        <v>750</v>
      </c>
      <c r="F1673" t="s">
        <v>848</v>
      </c>
      <c r="G1673" t="s">
        <v>445</v>
      </c>
      <c r="H1673" s="3" t="s">
        <v>876</v>
      </c>
      <c r="J1673" s="4">
        <v>825.34</v>
      </c>
    </row>
    <row r="1674" spans="1:12" x14ac:dyDescent="0.2">
      <c r="A1674" t="s">
        <v>18</v>
      </c>
      <c r="B1674" t="s">
        <v>95</v>
      </c>
      <c r="C1674" t="s">
        <v>13</v>
      </c>
      <c r="D1674" t="s">
        <v>846</v>
      </c>
      <c r="E1674" t="s">
        <v>750</v>
      </c>
      <c r="F1674" t="s">
        <v>846</v>
      </c>
      <c r="G1674" t="s">
        <v>488</v>
      </c>
      <c r="J1674" s="4">
        <v>250</v>
      </c>
      <c r="L1674" t="s">
        <v>499</v>
      </c>
    </row>
    <row r="1675" spans="1:12" x14ac:dyDescent="0.2">
      <c r="A1675" t="s">
        <v>18</v>
      </c>
      <c r="B1675" t="s">
        <v>95</v>
      </c>
      <c r="C1675" t="s">
        <v>13</v>
      </c>
      <c r="D1675" t="s">
        <v>846</v>
      </c>
      <c r="E1675" t="s">
        <v>750</v>
      </c>
      <c r="F1675" t="s">
        <v>846</v>
      </c>
      <c r="G1675" t="s">
        <v>469</v>
      </c>
      <c r="J1675" s="4">
        <v>30</v>
      </c>
    </row>
    <row r="1676" spans="1:12" x14ac:dyDescent="0.2">
      <c r="A1676" t="s">
        <v>18</v>
      </c>
      <c r="B1676" t="s">
        <v>95</v>
      </c>
      <c r="C1676" t="s">
        <v>13</v>
      </c>
      <c r="D1676" t="s">
        <v>846</v>
      </c>
      <c r="E1676" t="s">
        <v>750</v>
      </c>
      <c r="F1676" t="s">
        <v>846</v>
      </c>
      <c r="G1676" t="s">
        <v>445</v>
      </c>
      <c r="H1676" s="3" t="s">
        <v>891</v>
      </c>
      <c r="J1676" s="4">
        <v>2000</v>
      </c>
    </row>
    <row r="1677" spans="1:12" x14ac:dyDescent="0.2">
      <c r="A1677" t="s">
        <v>18</v>
      </c>
      <c r="B1677" t="s">
        <v>95</v>
      </c>
      <c r="C1677" t="s">
        <v>13</v>
      </c>
      <c r="D1677" t="s">
        <v>756</v>
      </c>
      <c r="E1677" t="s">
        <v>750</v>
      </c>
      <c r="F1677" t="s">
        <v>756</v>
      </c>
      <c r="G1677" t="s">
        <v>438</v>
      </c>
      <c r="H1677" s="3" t="s">
        <v>892</v>
      </c>
      <c r="J1677" s="4">
        <v>480</v>
      </c>
    </row>
    <row r="1678" spans="1:12" x14ac:dyDescent="0.2">
      <c r="A1678" t="s">
        <v>748</v>
      </c>
      <c r="B1678" t="s">
        <v>95</v>
      </c>
      <c r="C1678" t="s">
        <v>13</v>
      </c>
      <c r="D1678" t="s">
        <v>847</v>
      </c>
      <c r="E1678" t="s">
        <v>750</v>
      </c>
      <c r="F1678" t="s">
        <v>847</v>
      </c>
      <c r="G1678" t="s">
        <v>746</v>
      </c>
      <c r="J1678" s="4">
        <v>58.9</v>
      </c>
    </row>
    <row r="1679" spans="1:12" x14ac:dyDescent="0.2">
      <c r="A1679" t="s">
        <v>748</v>
      </c>
      <c r="B1679" t="s">
        <v>95</v>
      </c>
      <c r="C1679" t="s">
        <v>13</v>
      </c>
      <c r="D1679" t="s">
        <v>847</v>
      </c>
      <c r="E1679" t="s">
        <v>750</v>
      </c>
      <c r="F1679" t="s">
        <v>847</v>
      </c>
      <c r="G1679" t="s">
        <v>435</v>
      </c>
      <c r="J1679" s="4">
        <v>197.05</v>
      </c>
    </row>
    <row r="1680" spans="1:12" x14ac:dyDescent="0.2">
      <c r="A1680" t="s">
        <v>27</v>
      </c>
      <c r="B1680" t="s">
        <v>95</v>
      </c>
      <c r="C1680" t="s">
        <v>13</v>
      </c>
      <c r="D1680" t="s">
        <v>848</v>
      </c>
      <c r="E1680" t="s">
        <v>750</v>
      </c>
      <c r="F1680" t="s">
        <v>848</v>
      </c>
      <c r="G1680" t="s">
        <v>445</v>
      </c>
      <c r="H1680" s="3" t="s">
        <v>461</v>
      </c>
      <c r="J1680" s="4">
        <v>730</v>
      </c>
    </row>
    <row r="1681" spans="1:12" x14ac:dyDescent="0.2">
      <c r="A1681" t="s">
        <v>18</v>
      </c>
      <c r="B1681" t="s">
        <v>95</v>
      </c>
      <c r="C1681" t="s">
        <v>13</v>
      </c>
      <c r="D1681" t="s">
        <v>848</v>
      </c>
      <c r="E1681" t="s">
        <v>750</v>
      </c>
      <c r="F1681" t="s">
        <v>848</v>
      </c>
      <c r="G1681" t="s">
        <v>488</v>
      </c>
      <c r="J1681" s="4">
        <v>255.41</v>
      </c>
      <c r="L1681" t="s">
        <v>499</v>
      </c>
    </row>
    <row r="1682" spans="1:12" x14ac:dyDescent="0.2">
      <c r="A1682" t="s">
        <v>18</v>
      </c>
      <c r="B1682" t="s">
        <v>95</v>
      </c>
      <c r="C1682" t="s">
        <v>13</v>
      </c>
      <c r="D1682" t="s">
        <v>848</v>
      </c>
      <c r="E1682" t="s">
        <v>750</v>
      </c>
      <c r="F1682" t="s">
        <v>848</v>
      </c>
      <c r="G1682" t="s">
        <v>458</v>
      </c>
      <c r="H1682" s="3" t="s">
        <v>893</v>
      </c>
      <c r="J1682" s="4">
        <v>444.59</v>
      </c>
      <c r="L1682" t="s">
        <v>499</v>
      </c>
    </row>
    <row r="1683" spans="1:12" x14ac:dyDescent="0.2">
      <c r="A1683" t="s">
        <v>748</v>
      </c>
      <c r="B1683" t="s">
        <v>95</v>
      </c>
      <c r="C1683" t="s">
        <v>13</v>
      </c>
      <c r="D1683" t="s">
        <v>848</v>
      </c>
      <c r="E1683" t="s">
        <v>750</v>
      </c>
      <c r="F1683" t="s">
        <v>848</v>
      </c>
      <c r="G1683" t="s">
        <v>443</v>
      </c>
      <c r="J1683" s="4">
        <v>122.88</v>
      </c>
    </row>
    <row r="1684" spans="1:12" x14ac:dyDescent="0.2">
      <c r="A1684" t="s">
        <v>748</v>
      </c>
      <c r="B1684" t="s">
        <v>95</v>
      </c>
      <c r="C1684" t="s">
        <v>13</v>
      </c>
      <c r="D1684" t="s">
        <v>848</v>
      </c>
      <c r="E1684" t="s">
        <v>750</v>
      </c>
      <c r="F1684" t="s">
        <v>848</v>
      </c>
      <c r="G1684" t="s">
        <v>443</v>
      </c>
      <c r="J1684" s="4">
        <v>29.09</v>
      </c>
    </row>
    <row r="1685" spans="1:12" x14ac:dyDescent="0.2">
      <c r="A1685" t="s">
        <v>748</v>
      </c>
      <c r="B1685" t="s">
        <v>95</v>
      </c>
      <c r="C1685" t="s">
        <v>13</v>
      </c>
      <c r="D1685" t="s">
        <v>757</v>
      </c>
      <c r="E1685" t="s">
        <v>750</v>
      </c>
      <c r="F1685" t="s">
        <v>758</v>
      </c>
      <c r="G1685" t="s">
        <v>451</v>
      </c>
      <c r="H1685" s="3" t="s">
        <v>464</v>
      </c>
      <c r="J1685" s="4">
        <v>156.88</v>
      </c>
    </row>
    <row r="1686" spans="1:12" x14ac:dyDescent="0.2">
      <c r="A1686" t="s">
        <v>18</v>
      </c>
      <c r="B1686" t="s">
        <v>95</v>
      </c>
      <c r="C1686" t="s">
        <v>13</v>
      </c>
      <c r="D1686" t="s">
        <v>850</v>
      </c>
      <c r="E1686" t="s">
        <v>750</v>
      </c>
      <c r="F1686" t="s">
        <v>850</v>
      </c>
      <c r="G1686" t="s">
        <v>443</v>
      </c>
      <c r="J1686" s="4">
        <v>50</v>
      </c>
    </row>
    <row r="1687" spans="1:12" x14ac:dyDescent="0.2">
      <c r="A1687" t="s">
        <v>18</v>
      </c>
      <c r="B1687" t="s">
        <v>95</v>
      </c>
      <c r="C1687" t="s">
        <v>13</v>
      </c>
      <c r="D1687" t="s">
        <v>850</v>
      </c>
      <c r="E1687" t="s">
        <v>750</v>
      </c>
      <c r="F1687" t="s">
        <v>850</v>
      </c>
      <c r="G1687" t="s">
        <v>458</v>
      </c>
      <c r="J1687" s="4">
        <v>70</v>
      </c>
    </row>
    <row r="1688" spans="1:12" x14ac:dyDescent="0.2">
      <c r="A1688" t="s">
        <v>27</v>
      </c>
      <c r="B1688" t="s">
        <v>95</v>
      </c>
      <c r="C1688" t="s">
        <v>13</v>
      </c>
      <c r="D1688" t="s">
        <v>758</v>
      </c>
      <c r="E1688" t="s">
        <v>750</v>
      </c>
      <c r="F1688" t="s">
        <v>758</v>
      </c>
      <c r="G1688" t="s">
        <v>442</v>
      </c>
      <c r="H1688" s="3" t="s">
        <v>453</v>
      </c>
      <c r="J1688" s="4">
        <v>1054.47</v>
      </c>
    </row>
    <row r="1689" spans="1:12" x14ac:dyDescent="0.2">
      <c r="A1689" t="s">
        <v>18</v>
      </c>
      <c r="B1689" t="s">
        <v>95</v>
      </c>
      <c r="C1689" t="s">
        <v>13</v>
      </c>
      <c r="D1689" t="s">
        <v>758</v>
      </c>
      <c r="E1689" t="s">
        <v>750</v>
      </c>
      <c r="F1689" t="s">
        <v>758</v>
      </c>
      <c r="G1689" t="s">
        <v>458</v>
      </c>
      <c r="J1689" s="4">
        <v>165</v>
      </c>
      <c r="L1689" t="s">
        <v>499</v>
      </c>
    </row>
    <row r="1690" spans="1:12" x14ac:dyDescent="0.2">
      <c r="A1690" t="s">
        <v>27</v>
      </c>
      <c r="B1690" t="s">
        <v>95</v>
      </c>
      <c r="C1690" t="s">
        <v>13</v>
      </c>
      <c r="D1690" t="s">
        <v>289</v>
      </c>
      <c r="E1690" t="s">
        <v>64</v>
      </c>
      <c r="F1690" t="s">
        <v>88</v>
      </c>
      <c r="G1690" t="s">
        <v>538</v>
      </c>
      <c r="H1690" s="3" t="s">
        <v>619</v>
      </c>
      <c r="J1690" s="4">
        <v>150</v>
      </c>
      <c r="L1690" t="s">
        <v>640</v>
      </c>
    </row>
    <row r="1691" spans="1:12" x14ac:dyDescent="0.2">
      <c r="A1691" t="s">
        <v>748</v>
      </c>
      <c r="B1691" t="s">
        <v>95</v>
      </c>
      <c r="C1691" t="s">
        <v>13</v>
      </c>
      <c r="D1691" t="s">
        <v>76</v>
      </c>
      <c r="E1691" t="s">
        <v>42</v>
      </c>
      <c r="F1691" t="s">
        <v>301</v>
      </c>
      <c r="G1691" t="s">
        <v>580</v>
      </c>
      <c r="J1691" s="4">
        <v>1823.26</v>
      </c>
      <c r="L1691" t="s">
        <v>523</v>
      </c>
    </row>
    <row r="1692" spans="1:12" x14ac:dyDescent="0.2">
      <c r="A1692" t="s">
        <v>748</v>
      </c>
      <c r="B1692" t="s">
        <v>95</v>
      </c>
      <c r="C1692" t="s">
        <v>13</v>
      </c>
      <c r="D1692" t="s">
        <v>421</v>
      </c>
      <c r="E1692" t="s">
        <v>64</v>
      </c>
      <c r="F1692" t="s">
        <v>87</v>
      </c>
      <c r="G1692" t="s">
        <v>600</v>
      </c>
      <c r="H1692" s="3" t="s">
        <v>601</v>
      </c>
      <c r="J1692" s="4">
        <v>250</v>
      </c>
    </row>
    <row r="1693" spans="1:12" x14ac:dyDescent="0.2">
      <c r="A1693" t="s">
        <v>748</v>
      </c>
      <c r="B1693" t="s">
        <v>95</v>
      </c>
      <c r="C1693" t="s">
        <v>13</v>
      </c>
      <c r="D1693" t="s">
        <v>343</v>
      </c>
      <c r="E1693" t="s">
        <v>84</v>
      </c>
      <c r="F1693" t="s">
        <v>301</v>
      </c>
      <c r="G1693" t="s">
        <v>538</v>
      </c>
      <c r="H1693" s="3" t="s">
        <v>658</v>
      </c>
      <c r="J1693" s="4">
        <v>447</v>
      </c>
    </row>
    <row r="1694" spans="1:12" x14ac:dyDescent="0.2">
      <c r="A1694" t="s">
        <v>18</v>
      </c>
      <c r="B1694" t="s">
        <v>95</v>
      </c>
      <c r="C1694" t="s">
        <v>13</v>
      </c>
      <c r="D1694" t="s">
        <v>343</v>
      </c>
      <c r="E1694" t="s">
        <v>84</v>
      </c>
      <c r="F1694" t="s">
        <v>343</v>
      </c>
      <c r="G1694" t="s">
        <v>546</v>
      </c>
      <c r="J1694" s="4">
        <v>250</v>
      </c>
      <c r="L1694" t="s">
        <v>584</v>
      </c>
    </row>
    <row r="1695" spans="1:12" x14ac:dyDescent="0.2">
      <c r="A1695" t="s">
        <v>748</v>
      </c>
      <c r="B1695" t="s">
        <v>95</v>
      </c>
      <c r="C1695" t="s">
        <v>13</v>
      </c>
      <c r="D1695" t="s">
        <v>345</v>
      </c>
      <c r="E1695" t="s">
        <v>84</v>
      </c>
      <c r="F1695" t="s">
        <v>345</v>
      </c>
      <c r="G1695" t="s">
        <v>570</v>
      </c>
      <c r="H1695" s="3" t="s">
        <v>616</v>
      </c>
      <c r="J1695" s="4">
        <v>15</v>
      </c>
    </row>
    <row r="1696" spans="1:12" x14ac:dyDescent="0.2">
      <c r="A1696" t="s">
        <v>748</v>
      </c>
      <c r="B1696" t="s">
        <v>95</v>
      </c>
      <c r="C1696" t="s">
        <v>13</v>
      </c>
      <c r="D1696" t="s">
        <v>345</v>
      </c>
      <c r="E1696" t="s">
        <v>84</v>
      </c>
      <c r="F1696" t="s">
        <v>345</v>
      </c>
      <c r="G1696" t="s">
        <v>570</v>
      </c>
      <c r="H1696" s="3" t="s">
        <v>659</v>
      </c>
      <c r="J1696" s="4">
        <v>48.2</v>
      </c>
    </row>
    <row r="1697" spans="1:12" x14ac:dyDescent="0.2">
      <c r="A1697" t="s">
        <v>71</v>
      </c>
      <c r="B1697" t="s">
        <v>125</v>
      </c>
      <c r="C1697" t="s">
        <v>13</v>
      </c>
      <c r="D1697" t="s">
        <v>301</v>
      </c>
      <c r="E1697" t="s">
        <v>42</v>
      </c>
      <c r="F1697" t="s">
        <v>301</v>
      </c>
      <c r="G1697" t="s">
        <v>580</v>
      </c>
      <c r="H1697" s="3" t="s">
        <v>660</v>
      </c>
      <c r="J1697" s="4">
        <v>500</v>
      </c>
      <c r="L1697" t="s">
        <v>523</v>
      </c>
    </row>
    <row r="1698" spans="1:12" x14ac:dyDescent="0.2">
      <c r="A1698" t="s">
        <v>27</v>
      </c>
      <c r="B1698" t="s">
        <v>95</v>
      </c>
      <c r="C1698" t="s">
        <v>13</v>
      </c>
      <c r="D1698" t="s">
        <v>301</v>
      </c>
      <c r="E1698" t="s">
        <v>84</v>
      </c>
      <c r="F1698" t="s">
        <v>88</v>
      </c>
      <c r="G1698" t="s">
        <v>538</v>
      </c>
      <c r="H1698" s="3" t="s">
        <v>619</v>
      </c>
      <c r="J1698" s="4">
        <v>150</v>
      </c>
      <c r="L1698" t="s">
        <v>640</v>
      </c>
    </row>
    <row r="1699" spans="1:12" x14ac:dyDescent="0.2">
      <c r="A1699" t="s">
        <v>71</v>
      </c>
      <c r="B1699" t="s">
        <v>95</v>
      </c>
      <c r="C1699" t="s">
        <v>13</v>
      </c>
      <c r="D1699" t="s">
        <v>87</v>
      </c>
      <c r="E1699" t="s">
        <v>84</v>
      </c>
      <c r="F1699" t="s">
        <v>87</v>
      </c>
      <c r="G1699" t="s">
        <v>894</v>
      </c>
      <c r="H1699" s="3" t="s">
        <v>661</v>
      </c>
      <c r="J1699" s="4">
        <v>500</v>
      </c>
      <c r="L1699" t="s">
        <v>662</v>
      </c>
    </row>
    <row r="1700" spans="1:12" x14ac:dyDescent="0.2">
      <c r="A1700" t="s">
        <v>748</v>
      </c>
      <c r="B1700" t="s">
        <v>95</v>
      </c>
      <c r="C1700" t="s">
        <v>13</v>
      </c>
      <c r="D1700" t="s">
        <v>87</v>
      </c>
      <c r="E1700" t="s">
        <v>84</v>
      </c>
      <c r="F1700" t="s">
        <v>87</v>
      </c>
      <c r="G1700" t="s">
        <v>546</v>
      </c>
      <c r="J1700" s="4">
        <v>70</v>
      </c>
      <c r="L1700" t="s">
        <v>547</v>
      </c>
    </row>
    <row r="1701" spans="1:12" x14ac:dyDescent="0.2">
      <c r="A1701" t="s">
        <v>748</v>
      </c>
      <c r="B1701" t="s">
        <v>95</v>
      </c>
      <c r="C1701" t="s">
        <v>13</v>
      </c>
      <c r="D1701" t="s">
        <v>87</v>
      </c>
      <c r="E1701" t="s">
        <v>84</v>
      </c>
      <c r="F1701" t="s">
        <v>87</v>
      </c>
      <c r="G1701" t="s">
        <v>546</v>
      </c>
      <c r="J1701" s="4">
        <v>100</v>
      </c>
      <c r="L1701" t="s">
        <v>584</v>
      </c>
    </row>
    <row r="1702" spans="1:12" x14ac:dyDescent="0.2">
      <c r="A1702" t="s">
        <v>748</v>
      </c>
      <c r="B1702" t="s">
        <v>95</v>
      </c>
      <c r="C1702" t="s">
        <v>13</v>
      </c>
      <c r="D1702" t="s">
        <v>85</v>
      </c>
      <c r="E1702" t="s">
        <v>84</v>
      </c>
      <c r="F1702" t="s">
        <v>85</v>
      </c>
      <c r="G1702" t="s">
        <v>546</v>
      </c>
      <c r="H1702" s="3" t="s">
        <v>663</v>
      </c>
      <c r="J1702" s="4">
        <v>300</v>
      </c>
    </row>
    <row r="1703" spans="1:12" x14ac:dyDescent="0.2">
      <c r="A1703" t="s">
        <v>18</v>
      </c>
      <c r="B1703" t="s">
        <v>95</v>
      </c>
      <c r="C1703" t="s">
        <v>13</v>
      </c>
      <c r="D1703" t="s">
        <v>85</v>
      </c>
      <c r="E1703" t="s">
        <v>84</v>
      </c>
      <c r="F1703" t="s">
        <v>85</v>
      </c>
      <c r="G1703" t="s">
        <v>546</v>
      </c>
      <c r="H1703" s="3" t="s">
        <v>664</v>
      </c>
      <c r="J1703" s="4">
        <v>300</v>
      </c>
      <c r="L1703" t="s">
        <v>547</v>
      </c>
    </row>
    <row r="1704" spans="1:12" x14ac:dyDescent="0.2">
      <c r="A1704" t="s">
        <v>748</v>
      </c>
      <c r="B1704" t="s">
        <v>95</v>
      </c>
      <c r="C1704" t="s">
        <v>13</v>
      </c>
      <c r="D1704" t="s">
        <v>85</v>
      </c>
      <c r="E1704" t="s">
        <v>64</v>
      </c>
      <c r="F1704" t="s">
        <v>85</v>
      </c>
      <c r="G1704" t="s">
        <v>580</v>
      </c>
      <c r="H1704" s="3" t="s">
        <v>656</v>
      </c>
      <c r="J1704" s="4">
        <v>400</v>
      </c>
      <c r="L1704" t="s">
        <v>583</v>
      </c>
    </row>
    <row r="1705" spans="1:12" x14ac:dyDescent="0.2">
      <c r="A1705" t="s">
        <v>748</v>
      </c>
      <c r="B1705" t="s">
        <v>95</v>
      </c>
      <c r="C1705" t="s">
        <v>13</v>
      </c>
      <c r="D1705" t="s">
        <v>348</v>
      </c>
      <c r="E1705" t="s">
        <v>665</v>
      </c>
      <c r="F1705" t="s">
        <v>348</v>
      </c>
      <c r="G1705" t="s">
        <v>580</v>
      </c>
      <c r="J1705" s="4">
        <v>2668.06</v>
      </c>
      <c r="L1705" t="s">
        <v>583</v>
      </c>
    </row>
    <row r="1706" spans="1:12" x14ac:dyDescent="0.2">
      <c r="A1706" t="s">
        <v>748</v>
      </c>
      <c r="B1706" t="s">
        <v>95</v>
      </c>
      <c r="C1706" t="s">
        <v>13</v>
      </c>
      <c r="D1706" t="s">
        <v>348</v>
      </c>
      <c r="E1706" t="s">
        <v>84</v>
      </c>
      <c r="F1706" t="s">
        <v>348</v>
      </c>
      <c r="G1706" t="s">
        <v>546</v>
      </c>
      <c r="J1706" s="4">
        <v>600</v>
      </c>
      <c r="L1706" t="s">
        <v>547</v>
      </c>
    </row>
    <row r="1707" spans="1:12" x14ac:dyDescent="0.2">
      <c r="A1707" t="s">
        <v>748</v>
      </c>
      <c r="B1707" t="s">
        <v>95</v>
      </c>
      <c r="C1707" t="s">
        <v>13</v>
      </c>
      <c r="D1707" t="s">
        <v>348</v>
      </c>
      <c r="E1707" t="s">
        <v>84</v>
      </c>
      <c r="F1707" t="s">
        <v>348</v>
      </c>
      <c r="G1707" t="s">
        <v>546</v>
      </c>
      <c r="J1707" s="4">
        <v>100</v>
      </c>
      <c r="L1707" t="s">
        <v>584</v>
      </c>
    </row>
    <row r="1708" spans="1:12" x14ac:dyDescent="0.2">
      <c r="A1708" t="s">
        <v>71</v>
      </c>
      <c r="B1708" t="s">
        <v>95</v>
      </c>
      <c r="C1708" t="s">
        <v>13</v>
      </c>
      <c r="D1708" t="s">
        <v>351</v>
      </c>
      <c r="E1708" t="s">
        <v>84</v>
      </c>
      <c r="F1708" t="s">
        <v>351</v>
      </c>
      <c r="G1708" t="s">
        <v>538</v>
      </c>
      <c r="H1708" s="3" t="s">
        <v>649</v>
      </c>
      <c r="J1708" s="4">
        <v>70</v>
      </c>
      <c r="L1708" t="s">
        <v>408</v>
      </c>
    </row>
    <row r="1709" spans="1:12" x14ac:dyDescent="0.2">
      <c r="A1709" t="s">
        <v>748</v>
      </c>
      <c r="B1709" t="s">
        <v>95</v>
      </c>
      <c r="C1709" t="s">
        <v>13</v>
      </c>
      <c r="D1709" t="s">
        <v>351</v>
      </c>
      <c r="E1709" t="s">
        <v>84</v>
      </c>
      <c r="F1709" t="s">
        <v>351</v>
      </c>
      <c r="G1709" t="s">
        <v>546</v>
      </c>
      <c r="J1709" s="4">
        <v>1000</v>
      </c>
      <c r="L1709" t="s">
        <v>584</v>
      </c>
    </row>
    <row r="1710" spans="1:12" x14ac:dyDescent="0.2">
      <c r="A1710" t="s">
        <v>748</v>
      </c>
      <c r="B1710" t="s">
        <v>95</v>
      </c>
      <c r="C1710" t="s">
        <v>13</v>
      </c>
      <c r="D1710" t="s">
        <v>351</v>
      </c>
      <c r="E1710" t="s">
        <v>84</v>
      </c>
      <c r="F1710" t="s">
        <v>351</v>
      </c>
      <c r="G1710" t="s">
        <v>546</v>
      </c>
      <c r="H1710" s="3" t="s">
        <v>666</v>
      </c>
      <c r="J1710" s="4">
        <v>1500</v>
      </c>
    </row>
    <row r="1711" spans="1:12" x14ac:dyDescent="0.2">
      <c r="A1711" t="s">
        <v>748</v>
      </c>
      <c r="B1711" t="s">
        <v>95</v>
      </c>
      <c r="C1711" t="s">
        <v>13</v>
      </c>
      <c r="D1711" t="s">
        <v>351</v>
      </c>
      <c r="E1711" t="s">
        <v>84</v>
      </c>
      <c r="F1711" t="s">
        <v>351</v>
      </c>
      <c r="G1711" t="s">
        <v>570</v>
      </c>
      <c r="J1711" s="4">
        <v>36</v>
      </c>
    </row>
    <row r="1712" spans="1:12" x14ac:dyDescent="0.2">
      <c r="A1712" t="s">
        <v>748</v>
      </c>
      <c r="B1712" t="s">
        <v>95</v>
      </c>
      <c r="C1712" t="s">
        <v>13</v>
      </c>
      <c r="D1712" t="s">
        <v>351</v>
      </c>
      <c r="E1712" t="s">
        <v>84</v>
      </c>
      <c r="F1712" t="s">
        <v>351</v>
      </c>
      <c r="G1712" t="s">
        <v>546</v>
      </c>
      <c r="H1712" s="3" t="s">
        <v>667</v>
      </c>
      <c r="J1712" s="4">
        <v>350</v>
      </c>
    </row>
    <row r="1713" spans="1:12" x14ac:dyDescent="0.2">
      <c r="A1713" t="s">
        <v>748</v>
      </c>
      <c r="B1713" t="s">
        <v>95</v>
      </c>
      <c r="C1713" t="s">
        <v>13</v>
      </c>
      <c r="D1713" t="s">
        <v>668</v>
      </c>
      <c r="E1713" t="s">
        <v>84</v>
      </c>
      <c r="F1713" t="s">
        <v>668</v>
      </c>
      <c r="G1713" t="s">
        <v>546</v>
      </c>
      <c r="J1713" s="4">
        <v>500</v>
      </c>
      <c r="L1713" t="s">
        <v>584</v>
      </c>
    </row>
    <row r="1714" spans="1:12" x14ac:dyDescent="0.2">
      <c r="A1714" t="s">
        <v>748</v>
      </c>
      <c r="B1714" t="s">
        <v>95</v>
      </c>
      <c r="C1714" t="s">
        <v>13</v>
      </c>
      <c r="D1714" t="s">
        <v>346</v>
      </c>
      <c r="E1714" t="s">
        <v>84</v>
      </c>
      <c r="F1714" t="s">
        <v>346</v>
      </c>
      <c r="G1714" t="s">
        <v>570</v>
      </c>
      <c r="J1714" s="4">
        <v>9</v>
      </c>
    </row>
    <row r="1715" spans="1:12" x14ac:dyDescent="0.2">
      <c r="A1715" t="s">
        <v>748</v>
      </c>
      <c r="B1715" t="s">
        <v>95</v>
      </c>
      <c r="C1715" t="s">
        <v>13</v>
      </c>
      <c r="D1715" t="s">
        <v>346</v>
      </c>
      <c r="E1715" t="s">
        <v>84</v>
      </c>
      <c r="F1715" t="s">
        <v>346</v>
      </c>
      <c r="G1715" t="s">
        <v>580</v>
      </c>
      <c r="J1715" s="4">
        <v>15000</v>
      </c>
      <c r="L1715" t="s">
        <v>669</v>
      </c>
    </row>
    <row r="1716" spans="1:12" x14ac:dyDescent="0.2">
      <c r="A1716" t="s">
        <v>748</v>
      </c>
      <c r="B1716" t="s">
        <v>95</v>
      </c>
      <c r="C1716" t="s">
        <v>13</v>
      </c>
      <c r="D1716" t="s">
        <v>346</v>
      </c>
      <c r="E1716" t="s">
        <v>64</v>
      </c>
      <c r="F1716" t="s">
        <v>346</v>
      </c>
      <c r="G1716" t="s">
        <v>580</v>
      </c>
      <c r="J1716" s="4">
        <v>3500</v>
      </c>
      <c r="L1716" t="s">
        <v>583</v>
      </c>
    </row>
    <row r="1717" spans="1:12" x14ac:dyDescent="0.2">
      <c r="A1717" t="s">
        <v>18</v>
      </c>
      <c r="B1717" t="s">
        <v>95</v>
      </c>
      <c r="C1717" t="s">
        <v>13</v>
      </c>
      <c r="D1717" t="s">
        <v>86</v>
      </c>
      <c r="E1717" t="s">
        <v>84</v>
      </c>
      <c r="F1717" t="s">
        <v>86</v>
      </c>
      <c r="G1717" t="s">
        <v>561</v>
      </c>
      <c r="H1717" s="3" t="s">
        <v>670</v>
      </c>
      <c r="J1717" s="4">
        <v>100</v>
      </c>
    </row>
    <row r="1718" spans="1:12" x14ac:dyDescent="0.2">
      <c r="A1718" t="s">
        <v>18</v>
      </c>
      <c r="B1718" t="s">
        <v>95</v>
      </c>
      <c r="C1718" t="s">
        <v>13</v>
      </c>
      <c r="D1718" t="s">
        <v>88</v>
      </c>
      <c r="E1718" t="s">
        <v>84</v>
      </c>
      <c r="F1718" t="s">
        <v>88</v>
      </c>
      <c r="G1718" t="s">
        <v>538</v>
      </c>
      <c r="H1718" s="3" t="s">
        <v>671</v>
      </c>
      <c r="J1718" s="4">
        <v>60</v>
      </c>
    </row>
    <row r="1719" spans="1:12" x14ac:dyDescent="0.2">
      <c r="A1719" t="s">
        <v>18</v>
      </c>
      <c r="B1719" t="s">
        <v>95</v>
      </c>
      <c r="C1719" t="s">
        <v>13</v>
      </c>
      <c r="D1719" t="s">
        <v>88</v>
      </c>
      <c r="E1719" t="s">
        <v>84</v>
      </c>
      <c r="F1719" t="s">
        <v>88</v>
      </c>
      <c r="G1719" t="s">
        <v>546</v>
      </c>
      <c r="H1719" s="3" t="s">
        <v>547</v>
      </c>
      <c r="J1719" s="4">
        <v>50</v>
      </c>
    </row>
    <row r="1720" spans="1:12" x14ac:dyDescent="0.2">
      <c r="A1720" t="s">
        <v>18</v>
      </c>
      <c r="B1720" t="s">
        <v>95</v>
      </c>
      <c r="C1720" t="s">
        <v>13</v>
      </c>
      <c r="D1720" t="s">
        <v>89</v>
      </c>
      <c r="E1720" t="s">
        <v>84</v>
      </c>
      <c r="F1720" t="s">
        <v>89</v>
      </c>
      <c r="G1720" t="s">
        <v>580</v>
      </c>
      <c r="H1720" s="3" t="s">
        <v>672</v>
      </c>
      <c r="J1720" s="4">
        <v>371</v>
      </c>
    </row>
    <row r="1721" spans="1:12" x14ac:dyDescent="0.2">
      <c r="A1721" t="s">
        <v>18</v>
      </c>
      <c r="B1721" t="s">
        <v>95</v>
      </c>
      <c r="C1721" t="s">
        <v>13</v>
      </c>
      <c r="D1721" t="s">
        <v>352</v>
      </c>
      <c r="E1721" t="s">
        <v>84</v>
      </c>
      <c r="F1721" t="s">
        <v>352</v>
      </c>
      <c r="G1721" t="s">
        <v>580</v>
      </c>
      <c r="J1721" s="4">
        <v>1400</v>
      </c>
      <c r="L1721" t="s">
        <v>583</v>
      </c>
    </row>
    <row r="1722" spans="1:12" x14ac:dyDescent="0.2">
      <c r="A1722" t="s">
        <v>18</v>
      </c>
      <c r="B1722" t="s">
        <v>95</v>
      </c>
      <c r="C1722" t="s">
        <v>13</v>
      </c>
      <c r="D1722" t="s">
        <v>352</v>
      </c>
      <c r="E1722" t="s">
        <v>84</v>
      </c>
      <c r="F1722" t="s">
        <v>352</v>
      </c>
      <c r="G1722" t="s">
        <v>546</v>
      </c>
      <c r="H1722" s="3" t="s">
        <v>584</v>
      </c>
      <c r="J1722" s="4">
        <v>210</v>
      </c>
    </row>
    <row r="1723" spans="1:12" x14ac:dyDescent="0.2">
      <c r="A1723" t="s">
        <v>18</v>
      </c>
      <c r="B1723" t="s">
        <v>95</v>
      </c>
      <c r="C1723" t="s">
        <v>13</v>
      </c>
      <c r="D1723" t="s">
        <v>352</v>
      </c>
      <c r="E1723" t="s">
        <v>84</v>
      </c>
      <c r="F1723" t="s">
        <v>352</v>
      </c>
      <c r="G1723" t="s">
        <v>546</v>
      </c>
      <c r="H1723" s="3" t="s">
        <v>547</v>
      </c>
      <c r="J1723" s="4">
        <v>100</v>
      </c>
    </row>
    <row r="1724" spans="1:12" x14ac:dyDescent="0.2">
      <c r="A1724" t="s">
        <v>18</v>
      </c>
      <c r="B1724" t="s">
        <v>95</v>
      </c>
      <c r="C1724" t="s">
        <v>13</v>
      </c>
      <c r="D1724" t="s">
        <v>352</v>
      </c>
      <c r="E1724" t="s">
        <v>84</v>
      </c>
      <c r="F1724" t="s">
        <v>352</v>
      </c>
      <c r="G1724" t="s">
        <v>538</v>
      </c>
      <c r="H1724" s="3" t="s">
        <v>674</v>
      </c>
      <c r="J1724" s="4">
        <v>426.1</v>
      </c>
    </row>
    <row r="1725" spans="1:12" x14ac:dyDescent="0.2">
      <c r="A1725" t="s">
        <v>18</v>
      </c>
      <c r="B1725" t="s">
        <v>95</v>
      </c>
      <c r="C1725" t="s">
        <v>13</v>
      </c>
      <c r="D1725" t="s">
        <v>515</v>
      </c>
      <c r="E1725" t="s">
        <v>84</v>
      </c>
      <c r="F1725" t="s">
        <v>515</v>
      </c>
      <c r="G1725" t="s">
        <v>546</v>
      </c>
      <c r="H1725" s="3" t="s">
        <v>547</v>
      </c>
      <c r="J1725" s="4">
        <v>485</v>
      </c>
    </row>
    <row r="1726" spans="1:12" x14ac:dyDescent="0.2">
      <c r="A1726" t="s">
        <v>18</v>
      </c>
      <c r="B1726" t="s">
        <v>95</v>
      </c>
      <c r="C1726" t="s">
        <v>13</v>
      </c>
      <c r="D1726" t="s">
        <v>515</v>
      </c>
      <c r="E1726" t="s">
        <v>84</v>
      </c>
      <c r="F1726" t="s">
        <v>515</v>
      </c>
      <c r="G1726" t="s">
        <v>538</v>
      </c>
      <c r="H1726" s="3" t="s">
        <v>675</v>
      </c>
      <c r="J1726" s="4">
        <v>130</v>
      </c>
    </row>
    <row r="1727" spans="1:12" x14ac:dyDescent="0.2">
      <c r="A1727" t="s">
        <v>18</v>
      </c>
      <c r="B1727" t="s">
        <v>95</v>
      </c>
      <c r="C1727" t="s">
        <v>13</v>
      </c>
      <c r="D1727" t="s">
        <v>515</v>
      </c>
      <c r="E1727" t="s">
        <v>84</v>
      </c>
      <c r="F1727" t="s">
        <v>515</v>
      </c>
      <c r="G1727" t="s">
        <v>546</v>
      </c>
      <c r="H1727" s="3" t="s">
        <v>584</v>
      </c>
      <c r="J1727" s="4">
        <v>1000</v>
      </c>
    </row>
    <row r="1728" spans="1:12" x14ac:dyDescent="0.2">
      <c r="A1728" t="s">
        <v>18</v>
      </c>
      <c r="B1728" t="s">
        <v>95</v>
      </c>
      <c r="C1728" t="s">
        <v>13</v>
      </c>
      <c r="D1728" t="s">
        <v>676</v>
      </c>
      <c r="E1728" t="s">
        <v>84</v>
      </c>
      <c r="F1728" t="s">
        <v>676</v>
      </c>
      <c r="G1728" t="s">
        <v>580</v>
      </c>
      <c r="J1728" s="4">
        <v>150</v>
      </c>
      <c r="L1728" t="s">
        <v>583</v>
      </c>
    </row>
    <row r="1729" spans="1:12" x14ac:dyDescent="0.2">
      <c r="A1729" t="s">
        <v>18</v>
      </c>
      <c r="B1729" t="s">
        <v>95</v>
      </c>
      <c r="C1729" t="s">
        <v>13</v>
      </c>
      <c r="D1729" t="s">
        <v>90</v>
      </c>
      <c r="E1729" t="s">
        <v>84</v>
      </c>
      <c r="F1729" t="s">
        <v>90</v>
      </c>
      <c r="G1729" t="s">
        <v>580</v>
      </c>
      <c r="J1729" s="4">
        <v>300</v>
      </c>
      <c r="L1729" t="s">
        <v>499</v>
      </c>
    </row>
    <row r="1730" spans="1:12" x14ac:dyDescent="0.2">
      <c r="A1730" t="s">
        <v>27</v>
      </c>
      <c r="B1730" t="s">
        <v>95</v>
      </c>
      <c r="C1730" t="s">
        <v>13</v>
      </c>
      <c r="D1730" t="s">
        <v>90</v>
      </c>
      <c r="E1730" t="s">
        <v>84</v>
      </c>
      <c r="F1730" t="s">
        <v>90</v>
      </c>
      <c r="G1730" t="s">
        <v>538</v>
      </c>
      <c r="H1730" s="3" t="s">
        <v>677</v>
      </c>
      <c r="J1730" s="4">
        <v>1700</v>
      </c>
    </row>
    <row r="1731" spans="1:12" x14ac:dyDescent="0.2">
      <c r="A1731" t="s">
        <v>748</v>
      </c>
      <c r="B1731" t="s">
        <v>95</v>
      </c>
      <c r="C1731" t="s">
        <v>13</v>
      </c>
      <c r="D1731" t="s">
        <v>90</v>
      </c>
      <c r="E1731" t="s">
        <v>84</v>
      </c>
      <c r="F1731" t="s">
        <v>90</v>
      </c>
      <c r="G1731" t="s">
        <v>580</v>
      </c>
      <c r="J1731" s="4">
        <v>300</v>
      </c>
      <c r="L1731" t="s">
        <v>517</v>
      </c>
    </row>
    <row r="1732" spans="1:12" x14ac:dyDescent="0.2">
      <c r="A1732" t="s">
        <v>18</v>
      </c>
      <c r="B1732" t="s">
        <v>125</v>
      </c>
      <c r="C1732" t="s">
        <v>13</v>
      </c>
      <c r="D1732" t="s">
        <v>91</v>
      </c>
      <c r="E1732" t="s">
        <v>84</v>
      </c>
      <c r="F1732" t="s">
        <v>356</v>
      </c>
      <c r="G1732" t="s">
        <v>551</v>
      </c>
      <c r="J1732" s="4">
        <v>237.91</v>
      </c>
      <c r="L1732" t="s">
        <v>678</v>
      </c>
    </row>
    <row r="1733" spans="1:12" x14ac:dyDescent="0.2">
      <c r="A1733" t="s">
        <v>18</v>
      </c>
      <c r="B1733" t="s">
        <v>95</v>
      </c>
      <c r="C1733" t="s">
        <v>13</v>
      </c>
      <c r="D1733" t="s">
        <v>91</v>
      </c>
      <c r="E1733" t="s">
        <v>84</v>
      </c>
      <c r="F1733" t="s">
        <v>91</v>
      </c>
      <c r="G1733" t="s">
        <v>595</v>
      </c>
      <c r="J1733" s="4">
        <v>613.16999999999996</v>
      </c>
      <c r="L1733" t="s">
        <v>420</v>
      </c>
    </row>
    <row r="1734" spans="1:12" x14ac:dyDescent="0.2">
      <c r="A1734" t="s">
        <v>18</v>
      </c>
      <c r="B1734" t="s">
        <v>95</v>
      </c>
      <c r="C1734" t="s">
        <v>13</v>
      </c>
      <c r="D1734" t="s">
        <v>91</v>
      </c>
      <c r="E1734" t="s">
        <v>84</v>
      </c>
      <c r="F1734" t="s">
        <v>91</v>
      </c>
      <c r="G1734" t="s">
        <v>595</v>
      </c>
      <c r="J1734" s="4">
        <v>3265.46</v>
      </c>
      <c r="L1734" t="s">
        <v>396</v>
      </c>
    </row>
    <row r="1735" spans="1:12" x14ac:dyDescent="0.2">
      <c r="A1735" t="s">
        <v>748</v>
      </c>
      <c r="B1735" t="s">
        <v>95</v>
      </c>
      <c r="C1735" t="s">
        <v>13</v>
      </c>
      <c r="D1735" t="s">
        <v>91</v>
      </c>
      <c r="E1735" t="s">
        <v>84</v>
      </c>
      <c r="F1735" t="s">
        <v>91</v>
      </c>
      <c r="G1735" t="s">
        <v>580</v>
      </c>
      <c r="J1735" s="4">
        <v>63.55</v>
      </c>
      <c r="L1735" t="s">
        <v>517</v>
      </c>
    </row>
    <row r="1736" spans="1:12" x14ac:dyDescent="0.2">
      <c r="A1736" t="s">
        <v>18</v>
      </c>
      <c r="B1736" t="s">
        <v>95</v>
      </c>
      <c r="C1736" t="s">
        <v>13</v>
      </c>
      <c r="D1736" t="s">
        <v>356</v>
      </c>
      <c r="E1736" t="s">
        <v>84</v>
      </c>
      <c r="F1736" t="s">
        <v>356</v>
      </c>
      <c r="G1736" t="s">
        <v>580</v>
      </c>
      <c r="J1736" s="4">
        <v>120</v>
      </c>
      <c r="L1736" t="s">
        <v>583</v>
      </c>
    </row>
    <row r="1737" spans="1:12" x14ac:dyDescent="0.2">
      <c r="A1737" t="s">
        <v>18</v>
      </c>
      <c r="B1737" t="s">
        <v>95</v>
      </c>
      <c r="C1737" t="s">
        <v>13</v>
      </c>
      <c r="D1737" t="s">
        <v>356</v>
      </c>
      <c r="E1737" t="s">
        <v>84</v>
      </c>
      <c r="F1737" t="s">
        <v>356</v>
      </c>
      <c r="G1737" t="s">
        <v>570</v>
      </c>
      <c r="H1737" s="3" t="s">
        <v>679</v>
      </c>
      <c r="J1737" s="4">
        <v>195.08</v>
      </c>
    </row>
    <row r="1738" spans="1:12" x14ac:dyDescent="0.2">
      <c r="A1738" t="s">
        <v>18</v>
      </c>
      <c r="B1738" t="s">
        <v>95</v>
      </c>
      <c r="C1738" t="s">
        <v>13</v>
      </c>
      <c r="D1738" t="s">
        <v>356</v>
      </c>
      <c r="E1738" t="s">
        <v>84</v>
      </c>
      <c r="F1738" t="s">
        <v>356</v>
      </c>
      <c r="G1738" t="s">
        <v>580</v>
      </c>
      <c r="J1738" s="4">
        <v>1700</v>
      </c>
      <c r="L1738" t="s">
        <v>583</v>
      </c>
    </row>
    <row r="1739" spans="1:12" x14ac:dyDescent="0.2">
      <c r="A1739" t="s">
        <v>748</v>
      </c>
      <c r="B1739" t="s">
        <v>95</v>
      </c>
      <c r="C1739" t="s">
        <v>13</v>
      </c>
      <c r="D1739" t="s">
        <v>356</v>
      </c>
      <c r="E1739" t="s">
        <v>84</v>
      </c>
      <c r="F1739" t="s">
        <v>356</v>
      </c>
      <c r="G1739" t="s">
        <v>595</v>
      </c>
      <c r="J1739" s="4">
        <v>1438.61</v>
      </c>
      <c r="L1739" t="s">
        <v>596</v>
      </c>
    </row>
    <row r="1740" spans="1:12" x14ac:dyDescent="0.2">
      <c r="A1740" t="s">
        <v>748</v>
      </c>
      <c r="B1740" t="s">
        <v>95</v>
      </c>
      <c r="C1740" t="s">
        <v>13</v>
      </c>
      <c r="D1740" t="s">
        <v>92</v>
      </c>
      <c r="E1740" t="s">
        <v>84</v>
      </c>
      <c r="F1740" t="s">
        <v>92</v>
      </c>
      <c r="G1740" t="s">
        <v>580</v>
      </c>
      <c r="J1740" s="4">
        <v>220</v>
      </c>
      <c r="L1740" t="s">
        <v>583</v>
      </c>
    </row>
    <row r="1741" spans="1:12" x14ac:dyDescent="0.2">
      <c r="A1741" t="s">
        <v>18</v>
      </c>
      <c r="B1741" t="s">
        <v>95</v>
      </c>
      <c r="C1741" t="s">
        <v>13</v>
      </c>
      <c r="D1741" t="s">
        <v>357</v>
      </c>
      <c r="E1741" t="s">
        <v>84</v>
      </c>
      <c r="F1741" t="s">
        <v>357</v>
      </c>
      <c r="G1741" t="s">
        <v>580</v>
      </c>
      <c r="H1741" s="3" t="s">
        <v>680</v>
      </c>
      <c r="J1741" s="4">
        <v>3477.14</v>
      </c>
      <c r="L1741" t="s">
        <v>681</v>
      </c>
    </row>
    <row r="1742" spans="1:12" x14ac:dyDescent="0.2">
      <c r="A1742" t="s">
        <v>18</v>
      </c>
      <c r="B1742" t="s">
        <v>95</v>
      </c>
      <c r="C1742" t="s">
        <v>13</v>
      </c>
      <c r="D1742" t="s">
        <v>357</v>
      </c>
      <c r="E1742" t="s">
        <v>84</v>
      </c>
      <c r="F1742" t="s">
        <v>357</v>
      </c>
      <c r="G1742" t="s">
        <v>580</v>
      </c>
      <c r="H1742" s="3" t="s">
        <v>682</v>
      </c>
      <c r="J1742" s="4">
        <v>531.70000000000005</v>
      </c>
    </row>
    <row r="1743" spans="1:12" x14ac:dyDescent="0.2">
      <c r="A1743" t="s">
        <v>18</v>
      </c>
      <c r="B1743" t="s">
        <v>95</v>
      </c>
      <c r="C1743" t="s">
        <v>13</v>
      </c>
      <c r="D1743" t="s">
        <v>357</v>
      </c>
      <c r="E1743" t="s">
        <v>84</v>
      </c>
      <c r="F1743" t="s">
        <v>357</v>
      </c>
      <c r="G1743" t="s">
        <v>538</v>
      </c>
      <c r="H1743" s="3" t="s">
        <v>683</v>
      </c>
      <c r="J1743" s="4">
        <v>399.99</v>
      </c>
    </row>
    <row r="1744" spans="1:12" x14ac:dyDescent="0.2">
      <c r="A1744" t="s">
        <v>748</v>
      </c>
      <c r="B1744" t="s">
        <v>95</v>
      </c>
      <c r="C1744" t="s">
        <v>13</v>
      </c>
      <c r="D1744" t="s">
        <v>357</v>
      </c>
      <c r="E1744" t="s">
        <v>84</v>
      </c>
      <c r="F1744" t="s">
        <v>357</v>
      </c>
      <c r="G1744" t="s">
        <v>546</v>
      </c>
      <c r="H1744" s="3" t="s">
        <v>584</v>
      </c>
      <c r="J1744" s="4">
        <v>100</v>
      </c>
    </row>
    <row r="1745" spans="1:12" x14ac:dyDescent="0.2">
      <c r="A1745" t="s">
        <v>748</v>
      </c>
      <c r="B1745" t="s">
        <v>95</v>
      </c>
      <c r="C1745" t="s">
        <v>13</v>
      </c>
      <c r="D1745" t="s">
        <v>532</v>
      </c>
      <c r="E1745" t="s">
        <v>84</v>
      </c>
      <c r="F1745" t="s">
        <v>532</v>
      </c>
      <c r="G1745" t="s">
        <v>570</v>
      </c>
      <c r="H1745" s="3" t="s">
        <v>685</v>
      </c>
      <c r="J1745" s="4">
        <v>24</v>
      </c>
    </row>
    <row r="1746" spans="1:12" x14ac:dyDescent="0.2">
      <c r="A1746" t="s">
        <v>748</v>
      </c>
      <c r="B1746" t="s">
        <v>95</v>
      </c>
      <c r="C1746" t="s">
        <v>13</v>
      </c>
      <c r="D1746" t="s">
        <v>532</v>
      </c>
      <c r="E1746" t="s">
        <v>84</v>
      </c>
      <c r="F1746" t="s">
        <v>532</v>
      </c>
      <c r="G1746" t="s">
        <v>546</v>
      </c>
      <c r="H1746" s="3" t="s">
        <v>584</v>
      </c>
      <c r="J1746" s="4">
        <v>800</v>
      </c>
    </row>
    <row r="1747" spans="1:12" x14ac:dyDescent="0.2">
      <c r="A1747" t="s">
        <v>748</v>
      </c>
      <c r="B1747" t="s">
        <v>95</v>
      </c>
      <c r="C1747" t="s">
        <v>13</v>
      </c>
      <c r="D1747" t="s">
        <v>532</v>
      </c>
      <c r="E1747" t="s">
        <v>84</v>
      </c>
      <c r="F1747" t="s">
        <v>532</v>
      </c>
      <c r="G1747" t="s">
        <v>546</v>
      </c>
      <c r="H1747" s="3" t="s">
        <v>569</v>
      </c>
      <c r="J1747" s="4">
        <v>500</v>
      </c>
    </row>
    <row r="1748" spans="1:12" x14ac:dyDescent="0.2">
      <c r="A1748" t="s">
        <v>18</v>
      </c>
      <c r="B1748" t="s">
        <v>95</v>
      </c>
      <c r="C1748" t="s">
        <v>13</v>
      </c>
      <c r="D1748" t="s">
        <v>93</v>
      </c>
      <c r="E1748" t="s">
        <v>84</v>
      </c>
      <c r="F1748" t="s">
        <v>93</v>
      </c>
      <c r="G1748" t="s">
        <v>580</v>
      </c>
      <c r="H1748" s="3" t="s">
        <v>686</v>
      </c>
      <c r="J1748" s="4">
        <v>325.93</v>
      </c>
    </row>
    <row r="1749" spans="1:12" x14ac:dyDescent="0.2">
      <c r="A1749" t="s">
        <v>18</v>
      </c>
      <c r="B1749" t="s">
        <v>95</v>
      </c>
      <c r="C1749" t="s">
        <v>13</v>
      </c>
      <c r="D1749" t="s">
        <v>93</v>
      </c>
      <c r="E1749" t="s">
        <v>84</v>
      </c>
      <c r="F1749" t="s">
        <v>93</v>
      </c>
      <c r="G1749" t="s">
        <v>580</v>
      </c>
      <c r="H1749" s="3" t="s">
        <v>602</v>
      </c>
      <c r="J1749" s="4">
        <v>516</v>
      </c>
    </row>
    <row r="1750" spans="1:12" x14ac:dyDescent="0.2">
      <c r="A1750" t="s">
        <v>18</v>
      </c>
      <c r="B1750" t="s">
        <v>95</v>
      </c>
      <c r="C1750" t="s">
        <v>13</v>
      </c>
      <c r="D1750" t="s">
        <v>93</v>
      </c>
      <c r="E1750" t="s">
        <v>84</v>
      </c>
      <c r="F1750" t="s">
        <v>93</v>
      </c>
      <c r="G1750" t="s">
        <v>580</v>
      </c>
      <c r="H1750" s="3" t="s">
        <v>687</v>
      </c>
      <c r="J1750" s="4">
        <v>114.16</v>
      </c>
    </row>
    <row r="1751" spans="1:12" x14ac:dyDescent="0.2">
      <c r="A1751" t="s">
        <v>18</v>
      </c>
      <c r="B1751" t="s">
        <v>95</v>
      </c>
      <c r="C1751" t="s">
        <v>13</v>
      </c>
      <c r="D1751" t="s">
        <v>93</v>
      </c>
      <c r="E1751" t="s">
        <v>84</v>
      </c>
      <c r="F1751" t="s">
        <v>93</v>
      </c>
      <c r="G1751" t="s">
        <v>546</v>
      </c>
      <c r="H1751" s="3" t="s">
        <v>584</v>
      </c>
      <c r="J1751" s="4">
        <v>400</v>
      </c>
    </row>
    <row r="1752" spans="1:12" x14ac:dyDescent="0.2">
      <c r="A1752" t="s">
        <v>18</v>
      </c>
      <c r="B1752" t="s">
        <v>95</v>
      </c>
      <c r="C1752" t="s">
        <v>13</v>
      </c>
      <c r="D1752" t="s">
        <v>93</v>
      </c>
      <c r="E1752" t="s">
        <v>84</v>
      </c>
      <c r="F1752" t="s">
        <v>93</v>
      </c>
      <c r="G1752" t="s">
        <v>580</v>
      </c>
      <c r="H1752" s="3" t="s">
        <v>688</v>
      </c>
      <c r="J1752" s="4">
        <v>959.24</v>
      </c>
      <c r="L1752" t="s">
        <v>523</v>
      </c>
    </row>
    <row r="1753" spans="1:12" x14ac:dyDescent="0.2">
      <c r="A1753" t="s">
        <v>18</v>
      </c>
      <c r="B1753" t="s">
        <v>95</v>
      </c>
      <c r="C1753" t="s">
        <v>13</v>
      </c>
      <c r="D1753" t="s">
        <v>93</v>
      </c>
      <c r="E1753" t="s">
        <v>84</v>
      </c>
      <c r="F1753" t="s">
        <v>93</v>
      </c>
      <c r="G1753" t="s">
        <v>580</v>
      </c>
      <c r="H1753" s="3" t="s">
        <v>689</v>
      </c>
      <c r="J1753" s="4">
        <v>354.49</v>
      </c>
    </row>
    <row r="1754" spans="1:12" x14ac:dyDescent="0.2">
      <c r="A1754" t="s">
        <v>18</v>
      </c>
      <c r="B1754" t="s">
        <v>95</v>
      </c>
      <c r="C1754" t="s">
        <v>13</v>
      </c>
      <c r="D1754" t="s">
        <v>93</v>
      </c>
      <c r="E1754" t="s">
        <v>84</v>
      </c>
      <c r="F1754" t="s">
        <v>93</v>
      </c>
      <c r="G1754" t="s">
        <v>546</v>
      </c>
      <c r="H1754" s="3" t="s">
        <v>584</v>
      </c>
      <c r="J1754" s="4">
        <v>5000</v>
      </c>
    </row>
    <row r="1755" spans="1:12" x14ac:dyDescent="0.2">
      <c r="A1755" t="s">
        <v>18</v>
      </c>
      <c r="B1755" t="s">
        <v>95</v>
      </c>
      <c r="C1755" t="s">
        <v>13</v>
      </c>
      <c r="D1755" t="s">
        <v>358</v>
      </c>
      <c r="E1755" t="s">
        <v>84</v>
      </c>
      <c r="F1755" t="s">
        <v>358</v>
      </c>
      <c r="G1755" t="s">
        <v>580</v>
      </c>
      <c r="J1755" s="4">
        <v>250</v>
      </c>
      <c r="L1755" t="s">
        <v>499</v>
      </c>
    </row>
    <row r="1756" spans="1:12" x14ac:dyDescent="0.2">
      <c r="A1756" t="s">
        <v>748</v>
      </c>
      <c r="B1756" t="s">
        <v>95</v>
      </c>
      <c r="C1756" t="s">
        <v>13</v>
      </c>
      <c r="D1756" t="s">
        <v>359</v>
      </c>
      <c r="E1756" t="s">
        <v>84</v>
      </c>
      <c r="F1756" t="s">
        <v>359</v>
      </c>
      <c r="G1756" t="s">
        <v>570</v>
      </c>
      <c r="H1756" s="3" t="s">
        <v>679</v>
      </c>
      <c r="J1756" s="4">
        <v>19</v>
      </c>
    </row>
    <row r="1757" spans="1:12" x14ac:dyDescent="0.2">
      <c r="A1757" t="s">
        <v>18</v>
      </c>
      <c r="B1757" t="s">
        <v>95</v>
      </c>
      <c r="C1757" t="s">
        <v>13</v>
      </c>
      <c r="D1757" t="s">
        <v>359</v>
      </c>
      <c r="E1757" t="s">
        <v>84</v>
      </c>
      <c r="F1757" t="s">
        <v>359</v>
      </c>
      <c r="G1757" t="s">
        <v>538</v>
      </c>
      <c r="H1757" s="3" t="s">
        <v>690</v>
      </c>
      <c r="J1757" s="4">
        <v>87.98</v>
      </c>
    </row>
    <row r="1758" spans="1:12" x14ac:dyDescent="0.2">
      <c r="A1758" t="s">
        <v>27</v>
      </c>
      <c r="B1758" t="s">
        <v>95</v>
      </c>
      <c r="C1758" t="s">
        <v>13</v>
      </c>
      <c r="D1758" t="s">
        <v>534</v>
      </c>
      <c r="E1758" t="s">
        <v>84</v>
      </c>
      <c r="F1758" t="s">
        <v>359</v>
      </c>
      <c r="G1758" t="s">
        <v>600</v>
      </c>
      <c r="H1758" s="3" t="s">
        <v>601</v>
      </c>
      <c r="J1758" s="4">
        <v>250</v>
      </c>
    </row>
    <row r="1759" spans="1:12" x14ac:dyDescent="0.2">
      <c r="A1759" t="s">
        <v>18</v>
      </c>
      <c r="B1759" t="s">
        <v>95</v>
      </c>
      <c r="C1759" t="s">
        <v>13</v>
      </c>
      <c r="D1759" t="s">
        <v>534</v>
      </c>
      <c r="E1759" t="s">
        <v>84</v>
      </c>
      <c r="F1759" t="s">
        <v>534</v>
      </c>
      <c r="G1759" t="s">
        <v>580</v>
      </c>
      <c r="J1759" s="4">
        <v>650</v>
      </c>
      <c r="L1759" t="s">
        <v>499</v>
      </c>
    </row>
    <row r="1760" spans="1:12" x14ac:dyDescent="0.2">
      <c r="A1760" t="s">
        <v>18</v>
      </c>
      <c r="B1760" t="s">
        <v>95</v>
      </c>
      <c r="C1760" t="s">
        <v>13</v>
      </c>
      <c r="D1760" t="s">
        <v>534</v>
      </c>
      <c r="E1760" t="s">
        <v>84</v>
      </c>
      <c r="F1760" t="s">
        <v>534</v>
      </c>
      <c r="G1760" t="s">
        <v>546</v>
      </c>
      <c r="H1760" s="3" t="s">
        <v>584</v>
      </c>
      <c r="J1760" s="4">
        <v>800</v>
      </c>
    </row>
    <row r="1761" spans="1:12" x14ac:dyDescent="0.2">
      <c r="A1761" t="s">
        <v>18</v>
      </c>
      <c r="B1761" t="s">
        <v>95</v>
      </c>
      <c r="C1761" t="s">
        <v>13</v>
      </c>
      <c r="D1761" t="s">
        <v>534</v>
      </c>
      <c r="E1761" t="s">
        <v>84</v>
      </c>
      <c r="F1761" t="s">
        <v>534</v>
      </c>
      <c r="G1761" t="s">
        <v>546</v>
      </c>
      <c r="H1761" s="3" t="s">
        <v>547</v>
      </c>
      <c r="J1761" s="4">
        <v>500</v>
      </c>
    </row>
    <row r="1762" spans="1:12" x14ac:dyDescent="0.2">
      <c r="A1762" t="s">
        <v>748</v>
      </c>
      <c r="B1762" t="s">
        <v>95</v>
      </c>
      <c r="C1762" t="s">
        <v>13</v>
      </c>
      <c r="D1762" t="s">
        <v>810</v>
      </c>
      <c r="E1762" t="s">
        <v>750</v>
      </c>
      <c r="F1762" t="s">
        <v>810</v>
      </c>
      <c r="G1762" t="s">
        <v>546</v>
      </c>
      <c r="H1762" s="3" t="s">
        <v>584</v>
      </c>
      <c r="J1762" s="4">
        <v>120</v>
      </c>
      <c r="L1762" t="s">
        <v>584</v>
      </c>
    </row>
    <row r="1763" spans="1:12" x14ac:dyDescent="0.2">
      <c r="A1763" t="s">
        <v>18</v>
      </c>
      <c r="B1763" t="s">
        <v>95</v>
      </c>
      <c r="C1763" t="s">
        <v>13</v>
      </c>
      <c r="D1763" t="s">
        <v>817</v>
      </c>
      <c r="E1763" t="s">
        <v>42</v>
      </c>
      <c r="F1763" t="s">
        <v>817</v>
      </c>
      <c r="G1763" t="s">
        <v>538</v>
      </c>
      <c r="H1763" s="3" t="s">
        <v>895</v>
      </c>
      <c r="J1763" s="4">
        <v>447</v>
      </c>
    </row>
    <row r="1764" spans="1:12" x14ac:dyDescent="0.2">
      <c r="A1764" t="s">
        <v>18</v>
      </c>
      <c r="B1764" t="s">
        <v>125</v>
      </c>
      <c r="C1764" t="s">
        <v>13</v>
      </c>
      <c r="D1764" t="s">
        <v>817</v>
      </c>
      <c r="E1764" t="s">
        <v>750</v>
      </c>
      <c r="F1764" t="s">
        <v>817</v>
      </c>
      <c r="G1764" t="s">
        <v>551</v>
      </c>
      <c r="H1764" s="3" t="s">
        <v>896</v>
      </c>
      <c r="J1764" s="4">
        <v>60</v>
      </c>
      <c r="K1764" t="s">
        <v>235</v>
      </c>
      <c r="L1764" t="s">
        <v>236</v>
      </c>
    </row>
    <row r="1765" spans="1:12" x14ac:dyDescent="0.2">
      <c r="A1765" t="s">
        <v>18</v>
      </c>
      <c r="B1765" t="s">
        <v>95</v>
      </c>
      <c r="C1765" t="s">
        <v>13</v>
      </c>
      <c r="D1765" t="s">
        <v>754</v>
      </c>
      <c r="E1765" t="s">
        <v>750</v>
      </c>
      <c r="F1765" t="s">
        <v>754</v>
      </c>
      <c r="G1765" t="s">
        <v>570</v>
      </c>
      <c r="J1765" s="4">
        <v>27</v>
      </c>
    </row>
    <row r="1766" spans="1:12" x14ac:dyDescent="0.2">
      <c r="A1766" t="s">
        <v>18</v>
      </c>
      <c r="B1766" t="s">
        <v>95</v>
      </c>
      <c r="C1766" t="s">
        <v>13</v>
      </c>
      <c r="D1766" t="s">
        <v>754</v>
      </c>
      <c r="E1766" t="s">
        <v>750</v>
      </c>
      <c r="F1766" t="s">
        <v>754</v>
      </c>
      <c r="G1766" t="s">
        <v>546</v>
      </c>
      <c r="J1766" s="4">
        <v>100</v>
      </c>
      <c r="L1766" t="s">
        <v>547</v>
      </c>
    </row>
    <row r="1767" spans="1:12" x14ac:dyDescent="0.2">
      <c r="A1767" t="s">
        <v>18</v>
      </c>
      <c r="B1767" t="s">
        <v>95</v>
      </c>
      <c r="C1767" t="s">
        <v>13</v>
      </c>
      <c r="D1767" t="s">
        <v>754</v>
      </c>
      <c r="E1767" t="s">
        <v>750</v>
      </c>
      <c r="F1767" t="s">
        <v>754</v>
      </c>
      <c r="G1767" t="s">
        <v>546</v>
      </c>
      <c r="J1767" s="4">
        <v>100</v>
      </c>
      <c r="L1767" t="s">
        <v>584</v>
      </c>
    </row>
    <row r="1768" spans="1:12" x14ac:dyDescent="0.2">
      <c r="A1768" t="s">
        <v>18</v>
      </c>
      <c r="B1768" t="s">
        <v>95</v>
      </c>
      <c r="C1768" t="s">
        <v>13</v>
      </c>
      <c r="D1768" t="s">
        <v>754</v>
      </c>
      <c r="E1768" t="s">
        <v>750</v>
      </c>
      <c r="F1768" t="s">
        <v>754</v>
      </c>
      <c r="G1768" t="s">
        <v>551</v>
      </c>
      <c r="H1768" s="3" t="s">
        <v>897</v>
      </c>
      <c r="J1768" s="4">
        <v>22.45</v>
      </c>
    </row>
    <row r="1769" spans="1:12" x14ac:dyDescent="0.2">
      <c r="A1769" t="s">
        <v>18</v>
      </c>
      <c r="B1769" t="s">
        <v>95</v>
      </c>
      <c r="C1769" t="s">
        <v>13</v>
      </c>
      <c r="D1769" t="s">
        <v>821</v>
      </c>
      <c r="E1769" t="s">
        <v>750</v>
      </c>
      <c r="F1769" t="s">
        <v>754</v>
      </c>
      <c r="G1769" t="s">
        <v>538</v>
      </c>
      <c r="H1769" s="3" t="s">
        <v>619</v>
      </c>
      <c r="J1769" s="4">
        <v>150</v>
      </c>
      <c r="L1769" t="s">
        <v>640</v>
      </c>
    </row>
    <row r="1770" spans="1:12" x14ac:dyDescent="0.2">
      <c r="A1770" t="s">
        <v>18</v>
      </c>
      <c r="B1770" t="s">
        <v>95</v>
      </c>
      <c r="C1770" t="s">
        <v>13</v>
      </c>
      <c r="D1770" t="s">
        <v>821</v>
      </c>
      <c r="E1770" t="s">
        <v>750</v>
      </c>
      <c r="F1770" t="s">
        <v>821</v>
      </c>
      <c r="G1770" t="s">
        <v>546</v>
      </c>
      <c r="J1770" s="4">
        <v>3000</v>
      </c>
      <c r="L1770" t="s">
        <v>898</v>
      </c>
    </row>
    <row r="1771" spans="1:12" x14ac:dyDescent="0.2">
      <c r="A1771" t="s">
        <v>18</v>
      </c>
      <c r="B1771" t="s">
        <v>95</v>
      </c>
      <c r="C1771" t="s">
        <v>13</v>
      </c>
      <c r="D1771" t="s">
        <v>821</v>
      </c>
      <c r="E1771" t="s">
        <v>750</v>
      </c>
      <c r="F1771" t="s">
        <v>821</v>
      </c>
      <c r="G1771" t="s">
        <v>570</v>
      </c>
      <c r="J1771" s="4">
        <v>78</v>
      </c>
    </row>
    <row r="1772" spans="1:12" x14ac:dyDescent="0.2">
      <c r="A1772" t="s">
        <v>748</v>
      </c>
      <c r="B1772" t="s">
        <v>95</v>
      </c>
      <c r="C1772" t="s">
        <v>13</v>
      </c>
      <c r="D1772" t="s">
        <v>821</v>
      </c>
      <c r="E1772" t="s">
        <v>750</v>
      </c>
      <c r="F1772" t="s">
        <v>821</v>
      </c>
      <c r="G1772" t="s">
        <v>570</v>
      </c>
      <c r="H1772" s="3" t="s">
        <v>899</v>
      </c>
      <c r="J1772" s="4">
        <v>670.04</v>
      </c>
    </row>
    <row r="1773" spans="1:12" x14ac:dyDescent="0.2">
      <c r="A1773" t="s">
        <v>71</v>
      </c>
      <c r="B1773" t="s">
        <v>95</v>
      </c>
      <c r="C1773" t="s">
        <v>13</v>
      </c>
      <c r="D1773" t="s">
        <v>361</v>
      </c>
      <c r="E1773" t="s">
        <v>750</v>
      </c>
      <c r="F1773" t="s">
        <v>361</v>
      </c>
      <c r="G1773" t="s">
        <v>580</v>
      </c>
      <c r="J1773" s="4">
        <v>2250</v>
      </c>
      <c r="L1773" t="s">
        <v>583</v>
      </c>
    </row>
    <row r="1774" spans="1:12" x14ac:dyDescent="0.2">
      <c r="A1774" t="s">
        <v>748</v>
      </c>
      <c r="B1774" t="s">
        <v>95</v>
      </c>
      <c r="C1774" t="s">
        <v>13</v>
      </c>
      <c r="D1774" t="s">
        <v>361</v>
      </c>
      <c r="E1774" t="s">
        <v>750</v>
      </c>
      <c r="F1774" t="s">
        <v>361</v>
      </c>
      <c r="G1774" t="s">
        <v>546</v>
      </c>
      <c r="H1774" s="3" t="s">
        <v>569</v>
      </c>
      <c r="J1774" s="4">
        <v>500</v>
      </c>
    </row>
    <row r="1775" spans="1:12" x14ac:dyDescent="0.2">
      <c r="A1775" t="s">
        <v>748</v>
      </c>
      <c r="B1775" t="s">
        <v>95</v>
      </c>
      <c r="C1775" t="s">
        <v>13</v>
      </c>
      <c r="D1775" t="s">
        <v>361</v>
      </c>
      <c r="E1775" t="s">
        <v>750</v>
      </c>
      <c r="F1775" t="s">
        <v>361</v>
      </c>
      <c r="G1775" t="s">
        <v>570</v>
      </c>
      <c r="H1775" s="3" t="s">
        <v>900</v>
      </c>
      <c r="J1775" s="4">
        <v>20</v>
      </c>
    </row>
    <row r="1776" spans="1:12" x14ac:dyDescent="0.2">
      <c r="A1776" t="s">
        <v>748</v>
      </c>
      <c r="B1776" t="s">
        <v>95</v>
      </c>
      <c r="C1776" t="s">
        <v>13</v>
      </c>
      <c r="D1776" t="s">
        <v>830</v>
      </c>
      <c r="E1776" t="s">
        <v>750</v>
      </c>
      <c r="F1776" t="s">
        <v>830</v>
      </c>
      <c r="G1776" t="s">
        <v>546</v>
      </c>
      <c r="H1776" s="3" t="s">
        <v>569</v>
      </c>
      <c r="J1776" s="4">
        <v>150</v>
      </c>
    </row>
    <row r="1777" spans="1:12" x14ac:dyDescent="0.2">
      <c r="A1777" t="s">
        <v>748</v>
      </c>
      <c r="B1777" t="s">
        <v>95</v>
      </c>
      <c r="C1777" t="s">
        <v>13</v>
      </c>
      <c r="D1777" t="s">
        <v>830</v>
      </c>
      <c r="E1777" t="s">
        <v>750</v>
      </c>
      <c r="F1777" t="s">
        <v>830</v>
      </c>
      <c r="G1777" t="s">
        <v>546</v>
      </c>
      <c r="H1777" s="3" t="s">
        <v>584</v>
      </c>
      <c r="J1777" s="4">
        <v>1000</v>
      </c>
      <c r="L1777" t="s">
        <v>584</v>
      </c>
    </row>
    <row r="1778" spans="1:12" x14ac:dyDescent="0.2">
      <c r="A1778" t="s">
        <v>18</v>
      </c>
      <c r="B1778" t="s">
        <v>95</v>
      </c>
      <c r="C1778" t="s">
        <v>13</v>
      </c>
      <c r="D1778" t="s">
        <v>751</v>
      </c>
      <c r="E1778" t="s">
        <v>750</v>
      </c>
      <c r="F1778" t="s">
        <v>751</v>
      </c>
      <c r="G1778" t="s">
        <v>580</v>
      </c>
      <c r="J1778" s="4">
        <v>1000</v>
      </c>
      <c r="L1778" t="s">
        <v>583</v>
      </c>
    </row>
    <row r="1779" spans="1:12" x14ac:dyDescent="0.2">
      <c r="A1779" t="s">
        <v>18</v>
      </c>
      <c r="B1779" t="s">
        <v>95</v>
      </c>
      <c r="C1779" t="s">
        <v>13</v>
      </c>
      <c r="D1779" t="s">
        <v>751</v>
      </c>
      <c r="E1779" t="s">
        <v>750</v>
      </c>
      <c r="F1779" t="s">
        <v>751</v>
      </c>
      <c r="G1779" t="s">
        <v>546</v>
      </c>
      <c r="H1779" s="3" t="s">
        <v>584</v>
      </c>
      <c r="J1779" s="4">
        <v>800</v>
      </c>
      <c r="L1779" t="s">
        <v>584</v>
      </c>
    </row>
    <row r="1780" spans="1:12" x14ac:dyDescent="0.2">
      <c r="A1780" t="s">
        <v>18</v>
      </c>
      <c r="B1780" t="s">
        <v>95</v>
      </c>
      <c r="C1780" t="s">
        <v>13</v>
      </c>
      <c r="D1780" t="s">
        <v>751</v>
      </c>
      <c r="E1780" t="s">
        <v>750</v>
      </c>
      <c r="F1780" t="s">
        <v>751</v>
      </c>
      <c r="G1780" t="s">
        <v>570</v>
      </c>
      <c r="J1780" s="4">
        <v>17</v>
      </c>
    </row>
    <row r="1781" spans="1:12" x14ac:dyDescent="0.2">
      <c r="A1781" t="s">
        <v>18</v>
      </c>
      <c r="B1781" t="s">
        <v>95</v>
      </c>
      <c r="C1781" t="s">
        <v>13</v>
      </c>
      <c r="D1781" t="s">
        <v>834</v>
      </c>
      <c r="E1781" t="s">
        <v>750</v>
      </c>
      <c r="F1781" t="s">
        <v>756</v>
      </c>
      <c r="G1781" t="s">
        <v>901</v>
      </c>
      <c r="H1781" s="3" t="s">
        <v>731</v>
      </c>
      <c r="J1781" s="4">
        <v>1000</v>
      </c>
    </row>
    <row r="1782" spans="1:12" x14ac:dyDescent="0.2">
      <c r="A1782" t="s">
        <v>18</v>
      </c>
      <c r="B1782" t="s">
        <v>95</v>
      </c>
      <c r="C1782" t="s">
        <v>13</v>
      </c>
      <c r="D1782" t="s">
        <v>834</v>
      </c>
      <c r="E1782" t="s">
        <v>750</v>
      </c>
      <c r="F1782" t="s">
        <v>834</v>
      </c>
      <c r="G1782" t="s">
        <v>546</v>
      </c>
      <c r="H1782" s="3" t="s">
        <v>902</v>
      </c>
      <c r="J1782" s="4">
        <v>22</v>
      </c>
    </row>
    <row r="1783" spans="1:12" x14ac:dyDescent="0.2">
      <c r="A1783" t="s">
        <v>18</v>
      </c>
      <c r="B1783" t="s">
        <v>95</v>
      </c>
      <c r="C1783" t="s">
        <v>13</v>
      </c>
      <c r="D1783" t="s">
        <v>834</v>
      </c>
      <c r="E1783" t="s">
        <v>750</v>
      </c>
      <c r="F1783" t="s">
        <v>834</v>
      </c>
      <c r="G1783" t="s">
        <v>551</v>
      </c>
      <c r="H1783" s="3" t="s">
        <v>903</v>
      </c>
      <c r="J1783" s="4">
        <v>19.3</v>
      </c>
      <c r="K1783" t="s">
        <v>828</v>
      </c>
      <c r="L1783" t="s">
        <v>829</v>
      </c>
    </row>
    <row r="1784" spans="1:12" x14ac:dyDescent="0.2">
      <c r="A1784" t="s">
        <v>748</v>
      </c>
      <c r="B1784" t="s">
        <v>95</v>
      </c>
      <c r="C1784" t="s">
        <v>13</v>
      </c>
      <c r="D1784" t="s">
        <v>834</v>
      </c>
      <c r="E1784" t="s">
        <v>750</v>
      </c>
      <c r="F1784" t="s">
        <v>834</v>
      </c>
      <c r="G1784" t="s">
        <v>538</v>
      </c>
      <c r="H1784" s="3" t="s">
        <v>904</v>
      </c>
      <c r="J1784" s="4">
        <v>1700</v>
      </c>
    </row>
    <row r="1785" spans="1:12" x14ac:dyDescent="0.2">
      <c r="A1785" t="s">
        <v>18</v>
      </c>
      <c r="B1785" t="s">
        <v>95</v>
      </c>
      <c r="C1785" t="s">
        <v>13</v>
      </c>
      <c r="D1785" t="s">
        <v>835</v>
      </c>
      <c r="E1785" t="s">
        <v>750</v>
      </c>
      <c r="F1785" t="s">
        <v>835</v>
      </c>
      <c r="G1785" t="s">
        <v>894</v>
      </c>
      <c r="J1785" s="4">
        <v>400</v>
      </c>
      <c r="L1785" t="s">
        <v>499</v>
      </c>
    </row>
    <row r="1786" spans="1:12" x14ac:dyDescent="0.2">
      <c r="A1786" t="s">
        <v>748</v>
      </c>
      <c r="B1786" t="s">
        <v>95</v>
      </c>
      <c r="C1786" t="s">
        <v>13</v>
      </c>
      <c r="D1786" t="s">
        <v>839</v>
      </c>
      <c r="E1786" t="s">
        <v>750</v>
      </c>
      <c r="F1786" t="s">
        <v>839</v>
      </c>
      <c r="G1786" t="s">
        <v>546</v>
      </c>
      <c r="H1786" s="3" t="s">
        <v>565</v>
      </c>
      <c r="J1786" s="4">
        <v>100</v>
      </c>
    </row>
    <row r="1787" spans="1:12" x14ac:dyDescent="0.2">
      <c r="A1787" t="s">
        <v>748</v>
      </c>
      <c r="B1787" t="s">
        <v>95</v>
      </c>
      <c r="C1787" t="s">
        <v>13</v>
      </c>
      <c r="D1787" t="s">
        <v>839</v>
      </c>
      <c r="E1787" t="s">
        <v>750</v>
      </c>
      <c r="F1787" t="s">
        <v>839</v>
      </c>
      <c r="G1787" t="s">
        <v>894</v>
      </c>
      <c r="J1787" s="4">
        <v>400</v>
      </c>
      <c r="L1787" t="s">
        <v>583</v>
      </c>
    </row>
    <row r="1788" spans="1:12" x14ac:dyDescent="0.2">
      <c r="A1788" t="s">
        <v>748</v>
      </c>
      <c r="B1788" t="s">
        <v>95</v>
      </c>
      <c r="C1788" t="s">
        <v>13</v>
      </c>
      <c r="D1788" t="s">
        <v>839</v>
      </c>
      <c r="E1788" t="s">
        <v>750</v>
      </c>
      <c r="F1788" t="s">
        <v>839</v>
      </c>
      <c r="G1788" t="s">
        <v>570</v>
      </c>
      <c r="H1788" s="3" t="s">
        <v>905</v>
      </c>
      <c r="J1788" s="4">
        <v>613.59</v>
      </c>
    </row>
    <row r="1789" spans="1:12" x14ac:dyDescent="0.2">
      <c r="A1789" t="s">
        <v>18</v>
      </c>
      <c r="B1789" t="s">
        <v>95</v>
      </c>
      <c r="C1789" t="s">
        <v>13</v>
      </c>
      <c r="D1789" t="s">
        <v>753</v>
      </c>
      <c r="E1789" t="s">
        <v>750</v>
      </c>
      <c r="F1789" t="s">
        <v>753</v>
      </c>
      <c r="G1789" t="s">
        <v>551</v>
      </c>
      <c r="H1789" s="3" t="s">
        <v>906</v>
      </c>
      <c r="J1789" s="4">
        <v>31.3</v>
      </c>
    </row>
    <row r="1790" spans="1:12" x14ac:dyDescent="0.2">
      <c r="A1790" t="s">
        <v>18</v>
      </c>
      <c r="B1790" t="s">
        <v>95</v>
      </c>
      <c r="C1790" t="s">
        <v>13</v>
      </c>
      <c r="D1790" t="s">
        <v>753</v>
      </c>
      <c r="E1790" t="s">
        <v>750</v>
      </c>
      <c r="F1790" t="s">
        <v>753</v>
      </c>
      <c r="G1790" t="s">
        <v>551</v>
      </c>
      <c r="H1790" s="3" t="s">
        <v>637</v>
      </c>
      <c r="J1790" s="4">
        <v>11.8</v>
      </c>
    </row>
    <row r="1791" spans="1:12" x14ac:dyDescent="0.2">
      <c r="A1791" t="s">
        <v>18</v>
      </c>
      <c r="B1791" t="s">
        <v>95</v>
      </c>
      <c r="C1791" t="s">
        <v>13</v>
      </c>
      <c r="D1791" t="s">
        <v>753</v>
      </c>
      <c r="E1791" t="s">
        <v>750</v>
      </c>
      <c r="F1791" t="s">
        <v>753</v>
      </c>
      <c r="G1791" t="s">
        <v>551</v>
      </c>
      <c r="H1791" s="3" t="s">
        <v>637</v>
      </c>
      <c r="J1791" s="4">
        <v>8.6</v>
      </c>
    </row>
    <row r="1792" spans="1:12" x14ac:dyDescent="0.2">
      <c r="A1792" t="s">
        <v>748</v>
      </c>
      <c r="B1792" t="s">
        <v>95</v>
      </c>
      <c r="C1792" t="s">
        <v>13</v>
      </c>
      <c r="D1792" t="s">
        <v>753</v>
      </c>
      <c r="E1792" t="s">
        <v>750</v>
      </c>
      <c r="F1792" t="s">
        <v>753</v>
      </c>
      <c r="G1792" t="s">
        <v>546</v>
      </c>
      <c r="H1792" s="3" t="s">
        <v>584</v>
      </c>
      <c r="J1792" s="4">
        <v>100</v>
      </c>
      <c r="L1792" t="s">
        <v>584</v>
      </c>
    </row>
    <row r="1793" spans="1:12" x14ac:dyDescent="0.2">
      <c r="A1793" t="s">
        <v>748</v>
      </c>
      <c r="B1793" t="s">
        <v>95</v>
      </c>
      <c r="C1793" t="s">
        <v>13</v>
      </c>
      <c r="D1793" t="s">
        <v>753</v>
      </c>
      <c r="E1793" t="s">
        <v>750</v>
      </c>
      <c r="F1793" t="s">
        <v>753</v>
      </c>
      <c r="G1793" t="s">
        <v>570</v>
      </c>
      <c r="H1793" s="3" t="s">
        <v>659</v>
      </c>
      <c r="J1793" s="4">
        <v>260.5</v>
      </c>
    </row>
    <row r="1794" spans="1:12" x14ac:dyDescent="0.2">
      <c r="A1794" t="s">
        <v>748</v>
      </c>
      <c r="B1794" t="s">
        <v>95</v>
      </c>
      <c r="C1794" t="s">
        <v>13</v>
      </c>
      <c r="D1794" t="s">
        <v>753</v>
      </c>
      <c r="E1794" t="s">
        <v>750</v>
      </c>
      <c r="F1794" t="s">
        <v>753</v>
      </c>
      <c r="G1794" t="s">
        <v>570</v>
      </c>
      <c r="H1794" s="3" t="s">
        <v>659</v>
      </c>
      <c r="J1794" s="4">
        <v>277.99</v>
      </c>
    </row>
    <row r="1795" spans="1:12" x14ac:dyDescent="0.2">
      <c r="A1795" t="s">
        <v>748</v>
      </c>
      <c r="B1795" t="s">
        <v>95</v>
      </c>
      <c r="C1795" t="s">
        <v>13</v>
      </c>
      <c r="D1795" t="s">
        <v>875</v>
      </c>
      <c r="E1795" t="s">
        <v>750</v>
      </c>
      <c r="F1795" t="s">
        <v>875</v>
      </c>
      <c r="G1795" t="s">
        <v>546</v>
      </c>
      <c r="J1795" s="4">
        <v>1450</v>
      </c>
      <c r="L1795" t="s">
        <v>584</v>
      </c>
    </row>
    <row r="1796" spans="1:12" x14ac:dyDescent="0.2">
      <c r="A1796" t="s">
        <v>748</v>
      </c>
      <c r="B1796" t="s">
        <v>95</v>
      </c>
      <c r="C1796" t="s">
        <v>13</v>
      </c>
      <c r="D1796" t="s">
        <v>875</v>
      </c>
      <c r="E1796" t="s">
        <v>750</v>
      </c>
      <c r="F1796" t="s">
        <v>875</v>
      </c>
      <c r="G1796" t="s">
        <v>546</v>
      </c>
      <c r="J1796" s="4">
        <v>500</v>
      </c>
      <c r="L1796" t="s">
        <v>547</v>
      </c>
    </row>
    <row r="1797" spans="1:12" x14ac:dyDescent="0.2">
      <c r="A1797" t="s">
        <v>748</v>
      </c>
      <c r="B1797" t="s">
        <v>95</v>
      </c>
      <c r="C1797" t="s">
        <v>13</v>
      </c>
      <c r="D1797" t="s">
        <v>875</v>
      </c>
      <c r="E1797" t="s">
        <v>750</v>
      </c>
      <c r="F1797" t="s">
        <v>875</v>
      </c>
      <c r="G1797" t="s">
        <v>570</v>
      </c>
      <c r="H1797" s="3" t="s">
        <v>907</v>
      </c>
      <c r="J1797" s="4">
        <v>229</v>
      </c>
    </row>
    <row r="1798" spans="1:12" x14ac:dyDescent="0.2">
      <c r="A1798" t="s">
        <v>748</v>
      </c>
      <c r="B1798" t="s">
        <v>95</v>
      </c>
      <c r="C1798" t="s">
        <v>13</v>
      </c>
      <c r="D1798" t="s">
        <v>875</v>
      </c>
      <c r="E1798" t="s">
        <v>750</v>
      </c>
      <c r="F1798" t="s">
        <v>875</v>
      </c>
      <c r="G1798" t="s">
        <v>570</v>
      </c>
      <c r="H1798" s="3" t="s">
        <v>907</v>
      </c>
      <c r="J1798" s="4">
        <v>62</v>
      </c>
    </row>
    <row r="1799" spans="1:12" x14ac:dyDescent="0.2">
      <c r="A1799" t="s">
        <v>18</v>
      </c>
      <c r="B1799" t="s">
        <v>125</v>
      </c>
      <c r="C1799" t="s">
        <v>13</v>
      </c>
      <c r="D1799" t="s">
        <v>691</v>
      </c>
      <c r="E1799" t="s">
        <v>84</v>
      </c>
      <c r="F1799" t="s">
        <v>352</v>
      </c>
      <c r="G1799" t="s">
        <v>580</v>
      </c>
      <c r="H1799" s="3" t="s">
        <v>692</v>
      </c>
      <c r="J1799" s="4">
        <v>1454</v>
      </c>
      <c r="K1799" t="s">
        <v>341</v>
      </c>
      <c r="L1799" t="s">
        <v>342</v>
      </c>
    </row>
    <row r="1800" spans="1:12" x14ac:dyDescent="0.2">
      <c r="A1800" t="s">
        <v>748</v>
      </c>
      <c r="B1800" t="s">
        <v>95</v>
      </c>
      <c r="C1800" t="s">
        <v>13</v>
      </c>
      <c r="D1800" t="s">
        <v>843</v>
      </c>
      <c r="E1800" t="s">
        <v>750</v>
      </c>
      <c r="F1800" t="s">
        <v>843</v>
      </c>
      <c r="G1800" t="s">
        <v>538</v>
      </c>
      <c r="H1800" s="3" t="s">
        <v>908</v>
      </c>
      <c r="J1800" s="4">
        <v>800</v>
      </c>
      <c r="K1800" t="s">
        <v>909</v>
      </c>
      <c r="L1800" t="s">
        <v>910</v>
      </c>
    </row>
    <row r="1801" spans="1:12" x14ac:dyDescent="0.2">
      <c r="A1801" t="s">
        <v>748</v>
      </c>
      <c r="B1801" t="s">
        <v>95</v>
      </c>
      <c r="C1801" t="s">
        <v>13</v>
      </c>
      <c r="D1801" t="s">
        <v>911</v>
      </c>
      <c r="E1801" t="s">
        <v>750</v>
      </c>
      <c r="F1801" t="s">
        <v>911</v>
      </c>
      <c r="G1801" t="s">
        <v>894</v>
      </c>
      <c r="J1801" s="4">
        <v>200</v>
      </c>
      <c r="L1801" t="s">
        <v>583</v>
      </c>
    </row>
    <row r="1802" spans="1:12" x14ac:dyDescent="0.2">
      <c r="A1802" t="s">
        <v>71</v>
      </c>
      <c r="B1802" t="s">
        <v>95</v>
      </c>
      <c r="C1802" t="s">
        <v>13</v>
      </c>
      <c r="D1802" t="s">
        <v>755</v>
      </c>
      <c r="E1802" t="s">
        <v>750</v>
      </c>
      <c r="F1802" t="s">
        <v>755</v>
      </c>
      <c r="G1802" t="s">
        <v>538</v>
      </c>
      <c r="H1802" s="3" t="s">
        <v>912</v>
      </c>
      <c r="J1802" s="4">
        <v>50</v>
      </c>
    </row>
    <row r="1803" spans="1:12" x14ac:dyDescent="0.2">
      <c r="A1803" t="s">
        <v>18</v>
      </c>
      <c r="B1803" t="s">
        <v>95</v>
      </c>
      <c r="C1803" t="s">
        <v>13</v>
      </c>
      <c r="D1803" t="s">
        <v>755</v>
      </c>
      <c r="E1803" t="s">
        <v>750</v>
      </c>
      <c r="F1803" t="s">
        <v>755</v>
      </c>
      <c r="G1803" t="s">
        <v>580</v>
      </c>
      <c r="H1803" s="3" t="s">
        <v>913</v>
      </c>
      <c r="J1803" s="4">
        <v>673.95</v>
      </c>
      <c r="L1803" t="s">
        <v>657</v>
      </c>
    </row>
    <row r="1804" spans="1:12" x14ac:dyDescent="0.2">
      <c r="A1804" t="s">
        <v>18</v>
      </c>
      <c r="B1804" t="s">
        <v>95</v>
      </c>
      <c r="C1804" t="s">
        <v>13</v>
      </c>
      <c r="D1804" t="s">
        <v>755</v>
      </c>
      <c r="E1804" t="s">
        <v>84</v>
      </c>
      <c r="F1804" t="s">
        <v>755</v>
      </c>
      <c r="G1804" t="s">
        <v>580</v>
      </c>
      <c r="J1804" s="4">
        <v>4485.33</v>
      </c>
      <c r="L1804" t="s">
        <v>523</v>
      </c>
    </row>
    <row r="1805" spans="1:12" x14ac:dyDescent="0.2">
      <c r="A1805" t="s">
        <v>18</v>
      </c>
      <c r="B1805" t="s">
        <v>95</v>
      </c>
      <c r="C1805" t="s">
        <v>13</v>
      </c>
      <c r="D1805" t="s">
        <v>755</v>
      </c>
      <c r="E1805" t="s">
        <v>750</v>
      </c>
      <c r="F1805" t="s">
        <v>755</v>
      </c>
      <c r="G1805" t="s">
        <v>580</v>
      </c>
      <c r="H1805" s="3" t="s">
        <v>914</v>
      </c>
      <c r="J1805" s="4">
        <v>516</v>
      </c>
    </row>
    <row r="1806" spans="1:12" x14ac:dyDescent="0.2">
      <c r="A1806" t="s">
        <v>18</v>
      </c>
      <c r="B1806" t="s">
        <v>95</v>
      </c>
      <c r="C1806" t="s">
        <v>13</v>
      </c>
      <c r="D1806" t="s">
        <v>755</v>
      </c>
      <c r="E1806" t="s">
        <v>750</v>
      </c>
      <c r="F1806" t="s">
        <v>755</v>
      </c>
      <c r="G1806" t="s">
        <v>580</v>
      </c>
      <c r="H1806" s="3" t="s">
        <v>915</v>
      </c>
      <c r="J1806" s="4">
        <v>850.54</v>
      </c>
    </row>
    <row r="1807" spans="1:12" x14ac:dyDescent="0.2">
      <c r="A1807" t="s">
        <v>18</v>
      </c>
      <c r="B1807" t="s">
        <v>95</v>
      </c>
      <c r="C1807" t="s">
        <v>13</v>
      </c>
      <c r="D1807" t="s">
        <v>755</v>
      </c>
      <c r="E1807" t="s">
        <v>750</v>
      </c>
      <c r="F1807" t="s">
        <v>755</v>
      </c>
      <c r="G1807" t="s">
        <v>580</v>
      </c>
      <c r="H1807" s="3" t="s">
        <v>686</v>
      </c>
      <c r="J1807" s="4">
        <v>425.27</v>
      </c>
    </row>
    <row r="1808" spans="1:12" x14ac:dyDescent="0.2">
      <c r="A1808" t="s">
        <v>18</v>
      </c>
      <c r="B1808" t="s">
        <v>95</v>
      </c>
      <c r="C1808" t="s">
        <v>13</v>
      </c>
      <c r="D1808" t="s">
        <v>755</v>
      </c>
      <c r="E1808" t="s">
        <v>750</v>
      </c>
      <c r="F1808" t="s">
        <v>755</v>
      </c>
      <c r="G1808" t="s">
        <v>580</v>
      </c>
      <c r="J1808" s="4">
        <v>418.09</v>
      </c>
      <c r="L1808" t="s">
        <v>916</v>
      </c>
    </row>
    <row r="1809" spans="1:12" x14ac:dyDescent="0.2">
      <c r="A1809" t="s">
        <v>18</v>
      </c>
      <c r="B1809" t="s">
        <v>95</v>
      </c>
      <c r="C1809" t="s">
        <v>13</v>
      </c>
      <c r="D1809" t="s">
        <v>846</v>
      </c>
      <c r="E1809" t="s">
        <v>750</v>
      </c>
      <c r="F1809" t="s">
        <v>846</v>
      </c>
      <c r="G1809" t="s">
        <v>551</v>
      </c>
      <c r="H1809" s="3" t="s">
        <v>637</v>
      </c>
      <c r="J1809" s="4">
        <v>19.7</v>
      </c>
    </row>
    <row r="1810" spans="1:12" x14ac:dyDescent="0.2">
      <c r="A1810" t="s">
        <v>748</v>
      </c>
      <c r="B1810" t="s">
        <v>95</v>
      </c>
      <c r="C1810" t="s">
        <v>13</v>
      </c>
      <c r="D1810" t="s">
        <v>846</v>
      </c>
      <c r="E1810" t="s">
        <v>750</v>
      </c>
      <c r="F1810" t="s">
        <v>846</v>
      </c>
      <c r="G1810" t="s">
        <v>570</v>
      </c>
      <c r="J1810" s="4">
        <v>20</v>
      </c>
    </row>
    <row r="1811" spans="1:12" x14ac:dyDescent="0.2">
      <c r="A1811" t="s">
        <v>748</v>
      </c>
      <c r="B1811" t="s">
        <v>95</v>
      </c>
      <c r="C1811" t="s">
        <v>13</v>
      </c>
      <c r="D1811" t="s">
        <v>756</v>
      </c>
      <c r="E1811" t="s">
        <v>750</v>
      </c>
      <c r="F1811" t="s">
        <v>756</v>
      </c>
      <c r="G1811" t="s">
        <v>538</v>
      </c>
      <c r="H1811" s="3" t="s">
        <v>917</v>
      </c>
      <c r="J1811" s="4">
        <v>59.88</v>
      </c>
      <c r="L1811" t="s">
        <v>791</v>
      </c>
    </row>
    <row r="1812" spans="1:12" x14ac:dyDescent="0.2">
      <c r="A1812" t="s">
        <v>18</v>
      </c>
      <c r="B1812" t="s">
        <v>95</v>
      </c>
      <c r="C1812" t="s">
        <v>13</v>
      </c>
      <c r="D1812" t="s">
        <v>756</v>
      </c>
      <c r="E1812" t="s">
        <v>84</v>
      </c>
      <c r="F1812" t="s">
        <v>756</v>
      </c>
      <c r="G1812" t="s">
        <v>595</v>
      </c>
      <c r="J1812" s="4">
        <v>177.48</v>
      </c>
      <c r="L1812" t="s">
        <v>420</v>
      </c>
    </row>
    <row r="1813" spans="1:12" x14ac:dyDescent="0.2">
      <c r="A1813" t="s">
        <v>18</v>
      </c>
      <c r="B1813" t="s">
        <v>95</v>
      </c>
      <c r="C1813" t="s">
        <v>13</v>
      </c>
      <c r="D1813" t="s">
        <v>756</v>
      </c>
      <c r="E1813" t="s">
        <v>750</v>
      </c>
      <c r="F1813" t="s">
        <v>756</v>
      </c>
      <c r="G1813" t="s">
        <v>595</v>
      </c>
      <c r="J1813" s="4">
        <v>564.5</v>
      </c>
      <c r="L1813" t="s">
        <v>596</v>
      </c>
    </row>
    <row r="1814" spans="1:12" x14ac:dyDescent="0.2">
      <c r="A1814" t="s">
        <v>18</v>
      </c>
      <c r="B1814" t="s">
        <v>95</v>
      </c>
      <c r="C1814" t="s">
        <v>13</v>
      </c>
      <c r="D1814" t="s">
        <v>756</v>
      </c>
      <c r="E1814" t="s">
        <v>750</v>
      </c>
      <c r="F1814" t="s">
        <v>756</v>
      </c>
      <c r="G1814" t="s">
        <v>595</v>
      </c>
      <c r="J1814" s="4">
        <v>655.35</v>
      </c>
      <c r="L1814" t="s">
        <v>396</v>
      </c>
    </row>
    <row r="1815" spans="1:12" x14ac:dyDescent="0.2">
      <c r="A1815" t="s">
        <v>18</v>
      </c>
      <c r="B1815" t="s">
        <v>95</v>
      </c>
      <c r="C1815" t="s">
        <v>13</v>
      </c>
      <c r="D1815" t="s">
        <v>756</v>
      </c>
      <c r="E1815" t="s">
        <v>750</v>
      </c>
      <c r="F1815" t="s">
        <v>756</v>
      </c>
      <c r="G1815" t="s">
        <v>538</v>
      </c>
      <c r="H1815" s="3" t="s">
        <v>908</v>
      </c>
      <c r="J1815" s="4">
        <v>1000</v>
      </c>
      <c r="K1815" t="s">
        <v>909</v>
      </c>
      <c r="L1815" t="s">
        <v>910</v>
      </c>
    </row>
    <row r="1816" spans="1:12" x14ac:dyDescent="0.2">
      <c r="A1816" t="s">
        <v>748</v>
      </c>
      <c r="B1816" t="s">
        <v>95</v>
      </c>
      <c r="C1816" t="s">
        <v>13</v>
      </c>
      <c r="D1816" t="s">
        <v>756</v>
      </c>
      <c r="E1816" t="s">
        <v>750</v>
      </c>
      <c r="F1816" t="s">
        <v>756</v>
      </c>
      <c r="G1816" t="s">
        <v>546</v>
      </c>
      <c r="J1816" s="4">
        <v>500</v>
      </c>
      <c r="L1816" t="s">
        <v>547</v>
      </c>
    </row>
    <row r="1817" spans="1:12" x14ac:dyDescent="0.2">
      <c r="A1817" t="s">
        <v>748</v>
      </c>
      <c r="B1817" t="s">
        <v>95</v>
      </c>
      <c r="C1817" t="s">
        <v>13</v>
      </c>
      <c r="D1817" t="s">
        <v>756</v>
      </c>
      <c r="E1817" t="s">
        <v>750</v>
      </c>
      <c r="F1817" t="s">
        <v>756</v>
      </c>
      <c r="G1817" t="s">
        <v>546</v>
      </c>
      <c r="J1817" s="4">
        <v>50</v>
      </c>
      <c r="L1817" t="s">
        <v>584</v>
      </c>
    </row>
    <row r="1818" spans="1:12" x14ac:dyDescent="0.2">
      <c r="A1818" t="s">
        <v>748</v>
      </c>
      <c r="B1818" t="s">
        <v>95</v>
      </c>
      <c r="C1818" t="s">
        <v>13</v>
      </c>
      <c r="D1818" t="s">
        <v>918</v>
      </c>
      <c r="E1818" t="s">
        <v>750</v>
      </c>
      <c r="F1818" t="s">
        <v>918</v>
      </c>
      <c r="G1818" t="s">
        <v>894</v>
      </c>
      <c r="J1818" s="4">
        <v>150</v>
      </c>
      <c r="L1818" t="s">
        <v>517</v>
      </c>
    </row>
    <row r="1819" spans="1:12" x14ac:dyDescent="0.2">
      <c r="A1819" t="s">
        <v>748</v>
      </c>
      <c r="B1819" t="s">
        <v>95</v>
      </c>
      <c r="C1819" t="s">
        <v>13</v>
      </c>
      <c r="D1819" t="s">
        <v>918</v>
      </c>
      <c r="E1819" t="s">
        <v>750</v>
      </c>
      <c r="F1819" t="s">
        <v>918</v>
      </c>
      <c r="G1819" t="s">
        <v>546</v>
      </c>
      <c r="J1819" s="4">
        <v>250</v>
      </c>
      <c r="L1819" t="s">
        <v>547</v>
      </c>
    </row>
    <row r="1820" spans="1:12" x14ac:dyDescent="0.2">
      <c r="A1820" t="s">
        <v>748</v>
      </c>
      <c r="B1820" t="s">
        <v>95</v>
      </c>
      <c r="C1820" t="s">
        <v>13</v>
      </c>
      <c r="D1820" t="s">
        <v>918</v>
      </c>
      <c r="E1820" t="s">
        <v>750</v>
      </c>
      <c r="F1820" t="s">
        <v>918</v>
      </c>
      <c r="G1820" t="s">
        <v>546</v>
      </c>
      <c r="J1820" s="4">
        <v>100</v>
      </c>
      <c r="L1820" t="s">
        <v>584</v>
      </c>
    </row>
    <row r="1821" spans="1:12" x14ac:dyDescent="0.2">
      <c r="A1821" t="s">
        <v>748</v>
      </c>
      <c r="B1821" t="s">
        <v>95</v>
      </c>
      <c r="C1821" t="s">
        <v>13</v>
      </c>
      <c r="D1821" t="s">
        <v>847</v>
      </c>
      <c r="E1821" t="s">
        <v>750</v>
      </c>
      <c r="F1821" t="s">
        <v>847</v>
      </c>
      <c r="G1821" t="s">
        <v>546</v>
      </c>
      <c r="J1821" s="4">
        <v>800</v>
      </c>
      <c r="L1821" t="s">
        <v>584</v>
      </c>
    </row>
    <row r="1822" spans="1:12" x14ac:dyDescent="0.2">
      <c r="A1822" t="s">
        <v>748</v>
      </c>
      <c r="B1822" t="s">
        <v>95</v>
      </c>
      <c r="C1822" t="s">
        <v>13</v>
      </c>
      <c r="D1822" t="s">
        <v>847</v>
      </c>
      <c r="E1822" t="s">
        <v>750</v>
      </c>
      <c r="F1822" t="s">
        <v>847</v>
      </c>
      <c r="G1822" t="s">
        <v>546</v>
      </c>
      <c r="J1822" s="4">
        <v>30</v>
      </c>
      <c r="L1822" t="s">
        <v>547</v>
      </c>
    </row>
    <row r="1823" spans="1:12" x14ac:dyDescent="0.2">
      <c r="A1823" t="s">
        <v>18</v>
      </c>
      <c r="B1823" t="s">
        <v>95</v>
      </c>
      <c r="C1823" t="s">
        <v>13</v>
      </c>
      <c r="D1823" t="s">
        <v>848</v>
      </c>
      <c r="E1823" t="s">
        <v>750</v>
      </c>
      <c r="F1823" t="s">
        <v>848</v>
      </c>
      <c r="G1823" t="s">
        <v>538</v>
      </c>
      <c r="H1823" s="3" t="s">
        <v>908</v>
      </c>
      <c r="J1823" s="4">
        <v>500</v>
      </c>
      <c r="K1823" t="s">
        <v>909</v>
      </c>
      <c r="L1823" t="s">
        <v>910</v>
      </c>
    </row>
    <row r="1824" spans="1:12" x14ac:dyDescent="0.2">
      <c r="A1824" t="s">
        <v>18</v>
      </c>
      <c r="B1824" t="s">
        <v>95</v>
      </c>
      <c r="C1824" t="s">
        <v>13</v>
      </c>
      <c r="D1824" t="s">
        <v>848</v>
      </c>
      <c r="E1824" t="s">
        <v>750</v>
      </c>
      <c r="F1824" t="s">
        <v>848</v>
      </c>
      <c r="G1824" t="s">
        <v>551</v>
      </c>
      <c r="H1824" s="3" t="s">
        <v>637</v>
      </c>
      <c r="J1824" s="4">
        <v>12</v>
      </c>
    </row>
    <row r="1825" spans="1:12" x14ac:dyDescent="0.2">
      <c r="A1825" t="s">
        <v>18</v>
      </c>
      <c r="B1825" t="s">
        <v>95</v>
      </c>
      <c r="C1825" t="s">
        <v>13</v>
      </c>
      <c r="D1825" t="s">
        <v>848</v>
      </c>
      <c r="E1825" t="s">
        <v>750</v>
      </c>
      <c r="F1825" t="s">
        <v>848</v>
      </c>
      <c r="G1825" t="s">
        <v>546</v>
      </c>
      <c r="H1825" s="3" t="s">
        <v>584</v>
      </c>
      <c r="J1825" s="4">
        <v>150</v>
      </c>
      <c r="L1825" t="s">
        <v>584</v>
      </c>
    </row>
    <row r="1826" spans="1:12" x14ac:dyDescent="0.2">
      <c r="A1826" t="s">
        <v>18</v>
      </c>
      <c r="B1826" t="s">
        <v>95</v>
      </c>
      <c r="C1826" t="s">
        <v>13</v>
      </c>
      <c r="D1826" t="s">
        <v>848</v>
      </c>
      <c r="E1826" t="s">
        <v>750</v>
      </c>
      <c r="F1826" t="s">
        <v>848</v>
      </c>
      <c r="G1826" t="s">
        <v>894</v>
      </c>
      <c r="J1826" s="4">
        <v>250</v>
      </c>
      <c r="L1826" t="s">
        <v>583</v>
      </c>
    </row>
    <row r="1827" spans="1:12" x14ac:dyDescent="0.2">
      <c r="A1827" t="s">
        <v>748</v>
      </c>
      <c r="B1827" t="s">
        <v>95</v>
      </c>
      <c r="C1827" t="s">
        <v>13</v>
      </c>
      <c r="D1827" t="s">
        <v>848</v>
      </c>
      <c r="E1827" t="s">
        <v>750</v>
      </c>
      <c r="F1827" t="s">
        <v>848</v>
      </c>
      <c r="G1827" t="s">
        <v>570</v>
      </c>
      <c r="J1827" s="4">
        <v>17</v>
      </c>
    </row>
    <row r="1828" spans="1:12" x14ac:dyDescent="0.2">
      <c r="A1828" t="s">
        <v>18</v>
      </c>
      <c r="B1828" t="s">
        <v>95</v>
      </c>
      <c r="C1828" t="s">
        <v>13</v>
      </c>
      <c r="D1828" t="s">
        <v>757</v>
      </c>
      <c r="E1828" t="s">
        <v>750</v>
      </c>
      <c r="F1828" t="s">
        <v>757</v>
      </c>
      <c r="G1828" t="s">
        <v>570</v>
      </c>
      <c r="J1828" s="4">
        <v>10</v>
      </c>
    </row>
    <row r="1829" spans="1:12" x14ac:dyDescent="0.2">
      <c r="A1829" t="s">
        <v>18</v>
      </c>
      <c r="B1829" t="s">
        <v>125</v>
      </c>
      <c r="C1829" t="s">
        <v>13</v>
      </c>
      <c r="D1829" t="s">
        <v>757</v>
      </c>
      <c r="E1829" t="s">
        <v>750</v>
      </c>
      <c r="F1829" t="s">
        <v>757</v>
      </c>
      <c r="G1829" t="s">
        <v>919</v>
      </c>
      <c r="J1829" s="4">
        <v>5700</v>
      </c>
      <c r="K1829" t="s">
        <v>171</v>
      </c>
      <c r="L1829" t="s">
        <v>172</v>
      </c>
    </row>
    <row r="1830" spans="1:12" x14ac:dyDescent="0.2">
      <c r="A1830" t="s">
        <v>748</v>
      </c>
      <c r="B1830" t="s">
        <v>95</v>
      </c>
      <c r="C1830" t="s">
        <v>13</v>
      </c>
      <c r="D1830" t="s">
        <v>757</v>
      </c>
      <c r="E1830" t="s">
        <v>750</v>
      </c>
      <c r="F1830" t="s">
        <v>757</v>
      </c>
      <c r="G1830" t="s">
        <v>919</v>
      </c>
      <c r="J1830" s="4">
        <v>6300</v>
      </c>
      <c r="K1830" t="s">
        <v>171</v>
      </c>
      <c r="L1830" t="s">
        <v>172</v>
      </c>
    </row>
    <row r="1831" spans="1:12" x14ac:dyDescent="0.2">
      <c r="A1831" t="s">
        <v>27</v>
      </c>
      <c r="B1831" t="s">
        <v>95</v>
      </c>
      <c r="C1831" t="s">
        <v>13</v>
      </c>
      <c r="D1831" t="s">
        <v>850</v>
      </c>
      <c r="E1831" t="s">
        <v>750</v>
      </c>
      <c r="F1831" t="s">
        <v>850</v>
      </c>
      <c r="G1831" t="s">
        <v>919</v>
      </c>
      <c r="J1831" s="4">
        <v>12000</v>
      </c>
      <c r="K1831" t="s">
        <v>171</v>
      </c>
      <c r="L1831" t="s">
        <v>172</v>
      </c>
    </row>
    <row r="1832" spans="1:12" x14ac:dyDescent="0.2">
      <c r="A1832" t="s">
        <v>748</v>
      </c>
      <c r="B1832" t="s">
        <v>95</v>
      </c>
      <c r="C1832" t="s">
        <v>13</v>
      </c>
      <c r="D1832" t="s">
        <v>850</v>
      </c>
      <c r="E1832" t="s">
        <v>750</v>
      </c>
      <c r="F1832" t="s">
        <v>850</v>
      </c>
      <c r="G1832" t="s">
        <v>557</v>
      </c>
      <c r="J1832" s="4">
        <v>216</v>
      </c>
      <c r="K1832" t="s">
        <v>171</v>
      </c>
      <c r="L1832" t="s">
        <v>172</v>
      </c>
    </row>
    <row r="1833" spans="1:12" x14ac:dyDescent="0.2">
      <c r="A1833" t="s">
        <v>748</v>
      </c>
      <c r="B1833" t="s">
        <v>95</v>
      </c>
      <c r="C1833" t="s">
        <v>13</v>
      </c>
      <c r="D1833" t="s">
        <v>850</v>
      </c>
      <c r="E1833" t="s">
        <v>750</v>
      </c>
      <c r="F1833" t="s">
        <v>850</v>
      </c>
      <c r="G1833" t="s">
        <v>570</v>
      </c>
      <c r="J1833" s="4">
        <v>22</v>
      </c>
    </row>
    <row r="1834" spans="1:12" x14ac:dyDescent="0.2">
      <c r="A1834" t="s">
        <v>18</v>
      </c>
      <c r="B1834" t="s">
        <v>95</v>
      </c>
      <c r="C1834" t="s">
        <v>13</v>
      </c>
      <c r="D1834" t="s">
        <v>758</v>
      </c>
      <c r="E1834" t="s">
        <v>750</v>
      </c>
      <c r="F1834" t="s">
        <v>758</v>
      </c>
      <c r="G1834" t="s">
        <v>894</v>
      </c>
      <c r="J1834" s="4">
        <v>500</v>
      </c>
      <c r="L1834" t="s">
        <v>583</v>
      </c>
    </row>
    <row r="1835" spans="1:12" x14ac:dyDescent="0.2">
      <c r="A1835" t="s">
        <v>18</v>
      </c>
      <c r="B1835" t="s">
        <v>95</v>
      </c>
      <c r="C1835" t="s">
        <v>13</v>
      </c>
      <c r="D1835" t="s">
        <v>758</v>
      </c>
      <c r="E1835" t="s">
        <v>750</v>
      </c>
      <c r="F1835" t="s">
        <v>758</v>
      </c>
      <c r="G1835" t="s">
        <v>919</v>
      </c>
      <c r="J1835" s="4">
        <v>1000</v>
      </c>
      <c r="L1835" t="s">
        <v>584</v>
      </c>
    </row>
    <row r="1836" spans="1:12" x14ac:dyDescent="0.2">
      <c r="A1836" t="s">
        <v>748</v>
      </c>
      <c r="B1836" t="s">
        <v>95</v>
      </c>
      <c r="C1836" t="s">
        <v>13</v>
      </c>
      <c r="D1836" t="s">
        <v>758</v>
      </c>
      <c r="E1836" t="s">
        <v>750</v>
      </c>
      <c r="F1836" t="s">
        <v>758</v>
      </c>
      <c r="G1836" t="s">
        <v>546</v>
      </c>
      <c r="J1836" s="4">
        <v>100</v>
      </c>
      <c r="L1836" t="s">
        <v>547</v>
      </c>
    </row>
    <row r="1837" spans="1:12" x14ac:dyDescent="0.2">
      <c r="A1837" t="s">
        <v>18</v>
      </c>
      <c r="B1837" t="s">
        <v>95</v>
      </c>
      <c r="C1837" t="s">
        <v>13</v>
      </c>
      <c r="D1837" t="s">
        <v>855</v>
      </c>
      <c r="E1837" t="s">
        <v>750</v>
      </c>
      <c r="F1837" t="s">
        <v>855</v>
      </c>
      <c r="G1837" t="s">
        <v>570</v>
      </c>
      <c r="J1837" s="4">
        <v>256</v>
      </c>
    </row>
    <row r="1838" spans="1:12" x14ac:dyDescent="0.2">
      <c r="A1838" t="s">
        <v>18</v>
      </c>
      <c r="B1838" t="s">
        <v>95</v>
      </c>
      <c r="C1838" t="s">
        <v>13</v>
      </c>
      <c r="D1838" t="s">
        <v>855</v>
      </c>
      <c r="E1838" t="s">
        <v>750</v>
      </c>
      <c r="F1838" t="s">
        <v>855</v>
      </c>
      <c r="G1838" t="s">
        <v>570</v>
      </c>
      <c r="H1838" s="3" t="s">
        <v>638</v>
      </c>
      <c r="J1838" s="4">
        <v>10</v>
      </c>
    </row>
    <row r="1839" spans="1:12" x14ac:dyDescent="0.2">
      <c r="A1839" t="s">
        <v>18</v>
      </c>
      <c r="B1839" t="s">
        <v>95</v>
      </c>
      <c r="C1839" t="s">
        <v>13</v>
      </c>
      <c r="D1839" t="s">
        <v>855</v>
      </c>
      <c r="E1839" t="s">
        <v>750</v>
      </c>
      <c r="F1839" t="s">
        <v>855</v>
      </c>
      <c r="G1839" t="s">
        <v>570</v>
      </c>
      <c r="J1839" s="4">
        <v>15</v>
      </c>
    </row>
    <row r="1840" spans="1:12" x14ac:dyDescent="0.2">
      <c r="A1840" t="s">
        <v>18</v>
      </c>
      <c r="B1840" t="s">
        <v>95</v>
      </c>
      <c r="C1840" t="s">
        <v>13</v>
      </c>
      <c r="D1840" t="s">
        <v>855</v>
      </c>
      <c r="E1840" t="s">
        <v>750</v>
      </c>
      <c r="F1840" t="s">
        <v>855</v>
      </c>
      <c r="G1840" t="s">
        <v>570</v>
      </c>
      <c r="H1840" s="3" t="s">
        <v>920</v>
      </c>
      <c r="J1840" s="4">
        <v>18</v>
      </c>
    </row>
    <row r="1841" spans="1:12" x14ac:dyDescent="0.2">
      <c r="A1841" t="s">
        <v>921</v>
      </c>
      <c r="B1841" t="s">
        <v>95</v>
      </c>
      <c r="C1841" t="s">
        <v>13</v>
      </c>
      <c r="D1841" t="s">
        <v>855</v>
      </c>
      <c r="E1841" t="s">
        <v>750</v>
      </c>
      <c r="F1841" t="s">
        <v>855</v>
      </c>
      <c r="G1841" t="s">
        <v>546</v>
      </c>
      <c r="J1841" s="4">
        <v>70</v>
      </c>
      <c r="L1841" t="s">
        <v>584</v>
      </c>
    </row>
    <row r="1842" spans="1:12" x14ac:dyDescent="0.2">
      <c r="A1842" t="s">
        <v>27</v>
      </c>
      <c r="B1842" t="s">
        <v>95</v>
      </c>
      <c r="C1842" t="s">
        <v>13</v>
      </c>
      <c r="D1842" t="s">
        <v>856</v>
      </c>
      <c r="E1842" t="s">
        <v>750</v>
      </c>
      <c r="F1842" t="s">
        <v>855</v>
      </c>
      <c r="G1842" t="s">
        <v>600</v>
      </c>
      <c r="H1842" s="3" t="s">
        <v>601</v>
      </c>
      <c r="J1842" s="4">
        <v>250</v>
      </c>
    </row>
    <row r="1843" spans="1:12" x14ac:dyDescent="0.2">
      <c r="A1843" t="s">
        <v>748</v>
      </c>
      <c r="B1843" t="s">
        <v>95</v>
      </c>
      <c r="C1843" t="s">
        <v>13</v>
      </c>
      <c r="D1843" t="s">
        <v>856</v>
      </c>
      <c r="E1843" t="s">
        <v>750</v>
      </c>
      <c r="F1843" t="s">
        <v>856</v>
      </c>
      <c r="G1843" t="s">
        <v>546</v>
      </c>
      <c r="J1843" s="4">
        <v>66</v>
      </c>
      <c r="L1843" t="s">
        <v>584</v>
      </c>
    </row>
    <row r="1844" spans="1:12" x14ac:dyDescent="0.2">
      <c r="A1844" t="s">
        <v>748</v>
      </c>
      <c r="B1844" t="s">
        <v>95</v>
      </c>
      <c r="C1844" t="s">
        <v>13</v>
      </c>
      <c r="D1844" t="s">
        <v>856</v>
      </c>
      <c r="E1844" t="s">
        <v>750</v>
      </c>
      <c r="F1844" t="s">
        <v>856</v>
      </c>
      <c r="G1844" t="s">
        <v>546</v>
      </c>
      <c r="J1844" s="4">
        <v>700</v>
      </c>
      <c r="L1844" t="s">
        <v>584</v>
      </c>
    </row>
    <row r="1845" spans="1:12" x14ac:dyDescent="0.2">
      <c r="A1845" t="s">
        <v>748</v>
      </c>
      <c r="B1845" t="s">
        <v>95</v>
      </c>
      <c r="C1845" t="s">
        <v>13</v>
      </c>
      <c r="D1845" t="s">
        <v>856</v>
      </c>
      <c r="E1845" t="s">
        <v>750</v>
      </c>
      <c r="F1845" t="s">
        <v>856</v>
      </c>
      <c r="G1845" t="s">
        <v>546</v>
      </c>
      <c r="J1845" s="4">
        <v>50</v>
      </c>
      <c r="L1845" t="s">
        <v>547</v>
      </c>
    </row>
    <row r="1846" spans="1:12" x14ac:dyDescent="0.2">
      <c r="A1846" t="s">
        <v>18</v>
      </c>
      <c r="B1846" t="s">
        <v>125</v>
      </c>
      <c r="C1846" t="s">
        <v>13</v>
      </c>
      <c r="D1846" t="s">
        <v>339</v>
      </c>
      <c r="E1846" t="s">
        <v>84</v>
      </c>
      <c r="F1846" t="s">
        <v>339</v>
      </c>
      <c r="G1846" t="s">
        <v>693</v>
      </c>
      <c r="H1846" s="3" t="s">
        <v>712</v>
      </c>
      <c r="J1846" s="4">
        <v>3.45</v>
      </c>
      <c r="L1846" t="s">
        <v>131</v>
      </c>
    </row>
    <row r="1847" spans="1:12" x14ac:dyDescent="0.2">
      <c r="A1847" t="s">
        <v>18</v>
      </c>
      <c r="B1847" t="s">
        <v>125</v>
      </c>
      <c r="C1847" t="s">
        <v>13</v>
      </c>
      <c r="D1847" t="s">
        <v>301</v>
      </c>
      <c r="E1847" t="s">
        <v>84</v>
      </c>
      <c r="F1847" t="s">
        <v>301</v>
      </c>
      <c r="G1847" t="s">
        <v>693</v>
      </c>
      <c r="H1847" s="3" t="s">
        <v>712</v>
      </c>
      <c r="J1847" s="4">
        <v>3.45</v>
      </c>
      <c r="L1847" t="s">
        <v>132</v>
      </c>
    </row>
    <row r="1848" spans="1:12" x14ac:dyDescent="0.2">
      <c r="A1848" t="s">
        <v>215</v>
      </c>
      <c r="B1848" t="s">
        <v>200</v>
      </c>
      <c r="C1848" t="s">
        <v>13</v>
      </c>
      <c r="D1848" t="s">
        <v>83</v>
      </c>
      <c r="E1848" t="s">
        <v>84</v>
      </c>
      <c r="F1848" t="s">
        <v>83</v>
      </c>
      <c r="G1848" t="s">
        <v>693</v>
      </c>
      <c r="H1848" s="3" t="s">
        <v>703</v>
      </c>
      <c r="J1848" s="4">
        <v>0.99</v>
      </c>
      <c r="K1848" t="s">
        <v>349</v>
      </c>
      <c r="L1848" t="s">
        <v>350</v>
      </c>
    </row>
    <row r="1849" spans="1:12" x14ac:dyDescent="0.2">
      <c r="A1849" t="s">
        <v>215</v>
      </c>
      <c r="B1849" t="s">
        <v>222</v>
      </c>
      <c r="C1849" t="s">
        <v>13</v>
      </c>
      <c r="D1849" t="s">
        <v>83</v>
      </c>
      <c r="E1849" t="s">
        <v>84</v>
      </c>
      <c r="F1849" t="s">
        <v>83</v>
      </c>
      <c r="G1849" t="s">
        <v>693</v>
      </c>
      <c r="H1849" s="3" t="s">
        <v>713</v>
      </c>
      <c r="J1849" s="4">
        <v>0.99</v>
      </c>
      <c r="K1849" t="s">
        <v>224</v>
      </c>
      <c r="L1849" t="s">
        <v>225</v>
      </c>
    </row>
    <row r="1850" spans="1:12" x14ac:dyDescent="0.2">
      <c r="A1850" t="s">
        <v>18</v>
      </c>
      <c r="B1850" t="s">
        <v>324</v>
      </c>
      <c r="C1850" t="s">
        <v>13</v>
      </c>
      <c r="D1850" t="s">
        <v>87</v>
      </c>
      <c r="E1850" t="s">
        <v>84</v>
      </c>
      <c r="F1850" t="s">
        <v>87</v>
      </c>
      <c r="G1850" t="s">
        <v>693</v>
      </c>
      <c r="H1850" s="3" t="s">
        <v>714</v>
      </c>
      <c r="J1850" s="4">
        <v>3.45</v>
      </c>
      <c r="K1850" t="s">
        <v>152</v>
      </c>
      <c r="L1850" t="s">
        <v>153</v>
      </c>
    </row>
    <row r="1851" spans="1:12" x14ac:dyDescent="0.2">
      <c r="A1851" t="s">
        <v>18</v>
      </c>
      <c r="B1851" t="s">
        <v>125</v>
      </c>
      <c r="C1851" t="s">
        <v>13</v>
      </c>
      <c r="D1851" t="s">
        <v>85</v>
      </c>
      <c r="E1851" t="s">
        <v>84</v>
      </c>
      <c r="F1851" t="s">
        <v>83</v>
      </c>
      <c r="G1851" t="s">
        <v>693</v>
      </c>
      <c r="H1851" s="3" t="s">
        <v>711</v>
      </c>
      <c r="J1851" s="4">
        <v>3.45</v>
      </c>
      <c r="L1851" t="s">
        <v>154</v>
      </c>
    </row>
    <row r="1852" spans="1:12" x14ac:dyDescent="0.2">
      <c r="A1852" t="s">
        <v>18</v>
      </c>
      <c r="B1852" t="s">
        <v>200</v>
      </c>
      <c r="C1852" t="s">
        <v>13</v>
      </c>
      <c r="D1852" t="s">
        <v>85</v>
      </c>
      <c r="E1852" t="s">
        <v>84</v>
      </c>
      <c r="F1852" t="s">
        <v>83</v>
      </c>
      <c r="G1852" t="s">
        <v>693</v>
      </c>
      <c r="H1852" s="3" t="s">
        <v>715</v>
      </c>
      <c r="J1852" s="4">
        <v>3.45</v>
      </c>
      <c r="L1852" t="s">
        <v>199</v>
      </c>
    </row>
    <row r="1853" spans="1:12" x14ac:dyDescent="0.2">
      <c r="A1853" t="s">
        <v>18</v>
      </c>
      <c r="B1853" t="s">
        <v>125</v>
      </c>
      <c r="C1853" t="s">
        <v>13</v>
      </c>
      <c r="D1853" t="s">
        <v>85</v>
      </c>
      <c r="E1853" t="s">
        <v>84</v>
      </c>
      <c r="F1853" t="s">
        <v>85</v>
      </c>
      <c r="G1853" t="s">
        <v>693</v>
      </c>
      <c r="H1853" s="3" t="s">
        <v>710</v>
      </c>
      <c r="J1853" s="4">
        <v>3.45</v>
      </c>
      <c r="K1853" t="s">
        <v>123</v>
      </c>
      <c r="L1853" t="s">
        <v>124</v>
      </c>
    </row>
    <row r="1854" spans="1:12" x14ac:dyDescent="0.2">
      <c r="A1854" t="s">
        <v>215</v>
      </c>
      <c r="B1854" t="s">
        <v>200</v>
      </c>
      <c r="C1854" t="s">
        <v>13</v>
      </c>
      <c r="D1854" t="s">
        <v>86</v>
      </c>
      <c r="E1854" t="s">
        <v>84</v>
      </c>
      <c r="F1854" t="s">
        <v>86</v>
      </c>
      <c r="G1854" t="s">
        <v>693</v>
      </c>
      <c r="H1854" s="3" t="s">
        <v>703</v>
      </c>
      <c r="J1854" s="4">
        <v>0.99</v>
      </c>
      <c r="K1854" t="s">
        <v>353</v>
      </c>
      <c r="L1854" t="s">
        <v>354</v>
      </c>
    </row>
    <row r="1855" spans="1:12" x14ac:dyDescent="0.2">
      <c r="A1855" t="s">
        <v>18</v>
      </c>
      <c r="B1855" t="s">
        <v>95</v>
      </c>
      <c r="C1855" t="s">
        <v>13</v>
      </c>
      <c r="D1855" t="s">
        <v>88</v>
      </c>
      <c r="E1855" t="s">
        <v>84</v>
      </c>
      <c r="F1855" t="s">
        <v>88</v>
      </c>
      <c r="G1855" t="s">
        <v>693</v>
      </c>
      <c r="J1855" s="4">
        <v>3.45</v>
      </c>
      <c r="L1855" t="s">
        <v>193</v>
      </c>
    </row>
    <row r="1856" spans="1:12" x14ac:dyDescent="0.2">
      <c r="A1856" t="s">
        <v>27</v>
      </c>
      <c r="B1856" t="s">
        <v>95</v>
      </c>
      <c r="C1856" t="s">
        <v>13</v>
      </c>
      <c r="D1856" t="s">
        <v>89</v>
      </c>
      <c r="E1856" t="s">
        <v>84</v>
      </c>
      <c r="F1856" t="s">
        <v>89</v>
      </c>
      <c r="G1856" t="s">
        <v>693</v>
      </c>
      <c r="J1856" s="4">
        <v>168.5</v>
      </c>
    </row>
    <row r="1857" spans="1:12" x14ac:dyDescent="0.2">
      <c r="A1857" t="s">
        <v>215</v>
      </c>
      <c r="B1857" t="s">
        <v>200</v>
      </c>
      <c r="C1857" t="s">
        <v>13</v>
      </c>
      <c r="D1857" t="s">
        <v>91</v>
      </c>
      <c r="E1857" t="s">
        <v>84</v>
      </c>
      <c r="F1857" t="s">
        <v>91</v>
      </c>
      <c r="G1857" t="s">
        <v>693</v>
      </c>
      <c r="H1857" s="3" t="s">
        <v>716</v>
      </c>
      <c r="J1857" s="4">
        <v>0.99</v>
      </c>
      <c r="L1857" t="s">
        <v>355</v>
      </c>
    </row>
    <row r="1858" spans="1:12" x14ac:dyDescent="0.2">
      <c r="A1858" t="s">
        <v>34</v>
      </c>
      <c r="B1858" t="s">
        <v>95</v>
      </c>
      <c r="C1858" t="s">
        <v>13</v>
      </c>
      <c r="D1858" t="s">
        <v>356</v>
      </c>
      <c r="E1858" t="s">
        <v>84</v>
      </c>
      <c r="F1858" t="s">
        <v>356</v>
      </c>
      <c r="G1858" t="s">
        <v>693</v>
      </c>
      <c r="H1858" s="3" t="s">
        <v>707</v>
      </c>
      <c r="J1858" s="4">
        <v>20</v>
      </c>
    </row>
    <row r="1859" spans="1:12" x14ac:dyDescent="0.2">
      <c r="A1859" t="s">
        <v>18</v>
      </c>
      <c r="B1859" t="s">
        <v>95</v>
      </c>
      <c r="C1859" t="s">
        <v>13</v>
      </c>
      <c r="D1859" t="s">
        <v>93</v>
      </c>
      <c r="E1859" t="s">
        <v>84</v>
      </c>
      <c r="F1859" t="s">
        <v>93</v>
      </c>
      <c r="G1859" t="s">
        <v>693</v>
      </c>
      <c r="J1859" s="4">
        <v>3.45</v>
      </c>
      <c r="L1859" t="s">
        <v>207</v>
      </c>
    </row>
    <row r="1860" spans="1:12" x14ac:dyDescent="0.2">
      <c r="A1860" t="s">
        <v>18</v>
      </c>
      <c r="B1860" t="s">
        <v>95</v>
      </c>
      <c r="C1860" t="s">
        <v>13</v>
      </c>
      <c r="D1860" t="s">
        <v>93</v>
      </c>
      <c r="E1860" t="s">
        <v>84</v>
      </c>
      <c r="F1860" t="s">
        <v>93</v>
      </c>
      <c r="G1860" t="s">
        <v>693</v>
      </c>
      <c r="J1860" s="4">
        <v>3.45</v>
      </c>
      <c r="K1860" t="s">
        <v>204</v>
      </c>
      <c r="L1860" t="s">
        <v>205</v>
      </c>
    </row>
    <row r="1861" spans="1:12" x14ac:dyDescent="0.2">
      <c r="A1861" t="s">
        <v>748</v>
      </c>
      <c r="B1861" t="s">
        <v>95</v>
      </c>
      <c r="C1861" t="s">
        <v>13</v>
      </c>
      <c r="D1861" t="s">
        <v>93</v>
      </c>
      <c r="E1861" t="s">
        <v>84</v>
      </c>
      <c r="F1861" t="s">
        <v>93</v>
      </c>
      <c r="G1861" t="s">
        <v>693</v>
      </c>
      <c r="H1861" s="3" t="s">
        <v>694</v>
      </c>
      <c r="J1861" s="4">
        <v>75</v>
      </c>
    </row>
    <row r="1862" spans="1:12" x14ac:dyDescent="0.2">
      <c r="A1862" t="s">
        <v>27</v>
      </c>
      <c r="B1862" t="s">
        <v>95</v>
      </c>
      <c r="C1862" t="s">
        <v>13</v>
      </c>
      <c r="D1862" t="s">
        <v>359</v>
      </c>
      <c r="E1862" t="s">
        <v>84</v>
      </c>
      <c r="F1862" t="s">
        <v>359</v>
      </c>
      <c r="G1862" t="s">
        <v>693</v>
      </c>
      <c r="J1862" s="4">
        <v>9.8000000000000007</v>
      </c>
    </row>
    <row r="1863" spans="1:12" x14ac:dyDescent="0.2">
      <c r="A1863" t="s">
        <v>18</v>
      </c>
      <c r="B1863" t="s">
        <v>125</v>
      </c>
      <c r="C1863" t="s">
        <v>13</v>
      </c>
      <c r="D1863" t="s">
        <v>810</v>
      </c>
      <c r="E1863" t="s">
        <v>750</v>
      </c>
      <c r="F1863" t="s">
        <v>810</v>
      </c>
      <c r="G1863" t="s">
        <v>693</v>
      </c>
      <c r="H1863" s="3" t="s">
        <v>922</v>
      </c>
      <c r="J1863" s="4">
        <v>3.45</v>
      </c>
      <c r="K1863" t="s">
        <v>116</v>
      </c>
      <c r="L1863" t="s">
        <v>117</v>
      </c>
    </row>
    <row r="1864" spans="1:12" x14ac:dyDescent="0.2">
      <c r="A1864" t="s">
        <v>18</v>
      </c>
      <c r="B1864" t="s">
        <v>95</v>
      </c>
      <c r="C1864" t="s">
        <v>13</v>
      </c>
      <c r="D1864" t="s">
        <v>810</v>
      </c>
      <c r="E1864" t="s">
        <v>750</v>
      </c>
      <c r="F1864" t="s">
        <v>810</v>
      </c>
      <c r="G1864" t="s">
        <v>923</v>
      </c>
      <c r="J1864" s="4">
        <v>3.45</v>
      </c>
      <c r="L1864" t="s">
        <v>103</v>
      </c>
    </row>
    <row r="1865" spans="1:12" x14ac:dyDescent="0.2">
      <c r="A1865" t="s">
        <v>18</v>
      </c>
      <c r="B1865" t="s">
        <v>95</v>
      </c>
      <c r="C1865" t="s">
        <v>13</v>
      </c>
      <c r="D1865" t="s">
        <v>754</v>
      </c>
      <c r="E1865" t="s">
        <v>750</v>
      </c>
      <c r="F1865" t="s">
        <v>754</v>
      </c>
      <c r="G1865" t="s">
        <v>923</v>
      </c>
      <c r="J1865" s="4">
        <v>3.45</v>
      </c>
      <c r="L1865" t="s">
        <v>132</v>
      </c>
    </row>
    <row r="1866" spans="1:12" x14ac:dyDescent="0.2">
      <c r="A1866" t="s">
        <v>215</v>
      </c>
      <c r="B1866" t="s">
        <v>222</v>
      </c>
      <c r="C1866" t="s">
        <v>13</v>
      </c>
      <c r="D1866" t="s">
        <v>361</v>
      </c>
      <c r="E1866" t="s">
        <v>750</v>
      </c>
      <c r="F1866" t="s">
        <v>361</v>
      </c>
      <c r="G1866" t="s">
        <v>693</v>
      </c>
      <c r="H1866" s="3" t="s">
        <v>924</v>
      </c>
      <c r="J1866" s="4">
        <v>1.99</v>
      </c>
      <c r="K1866" t="s">
        <v>224</v>
      </c>
      <c r="L1866" t="s">
        <v>225</v>
      </c>
    </row>
    <row r="1867" spans="1:12" x14ac:dyDescent="0.2">
      <c r="A1867" t="s">
        <v>215</v>
      </c>
      <c r="B1867" t="s">
        <v>200</v>
      </c>
      <c r="C1867" t="s">
        <v>13</v>
      </c>
      <c r="D1867" t="s">
        <v>361</v>
      </c>
      <c r="E1867" t="s">
        <v>750</v>
      </c>
      <c r="F1867" t="s">
        <v>361</v>
      </c>
      <c r="G1867" t="s">
        <v>693</v>
      </c>
      <c r="H1867" s="3" t="s">
        <v>925</v>
      </c>
      <c r="J1867" s="4">
        <v>1.99</v>
      </c>
      <c r="L1867" t="s">
        <v>827</v>
      </c>
    </row>
    <row r="1868" spans="1:12" x14ac:dyDescent="0.2">
      <c r="A1868" t="s">
        <v>18</v>
      </c>
      <c r="B1868" t="s">
        <v>200</v>
      </c>
      <c r="C1868" t="s">
        <v>13</v>
      </c>
      <c r="D1868" t="s">
        <v>361</v>
      </c>
      <c r="E1868" t="s">
        <v>750</v>
      </c>
      <c r="F1868" t="s">
        <v>751</v>
      </c>
      <c r="G1868" t="s">
        <v>923</v>
      </c>
      <c r="J1868" s="4">
        <v>3.45</v>
      </c>
      <c r="L1868" t="s">
        <v>134</v>
      </c>
    </row>
    <row r="1869" spans="1:12" x14ac:dyDescent="0.2">
      <c r="A1869" t="s">
        <v>18</v>
      </c>
      <c r="B1869" t="s">
        <v>324</v>
      </c>
      <c r="C1869" t="s">
        <v>13</v>
      </c>
      <c r="D1869" t="s">
        <v>830</v>
      </c>
      <c r="E1869" t="s">
        <v>84</v>
      </c>
      <c r="F1869" t="s">
        <v>751</v>
      </c>
      <c r="G1869" t="s">
        <v>693</v>
      </c>
      <c r="H1869" s="3" t="s">
        <v>926</v>
      </c>
      <c r="J1869" s="4">
        <v>3.45</v>
      </c>
      <c r="K1869" t="s">
        <v>152</v>
      </c>
      <c r="L1869" t="s">
        <v>153</v>
      </c>
    </row>
    <row r="1870" spans="1:12" x14ac:dyDescent="0.2">
      <c r="A1870" t="s">
        <v>18</v>
      </c>
      <c r="B1870" t="s">
        <v>125</v>
      </c>
      <c r="C1870" t="s">
        <v>13</v>
      </c>
      <c r="D1870" t="s">
        <v>752</v>
      </c>
      <c r="E1870" t="s">
        <v>84</v>
      </c>
      <c r="F1870" t="s">
        <v>361</v>
      </c>
      <c r="G1870" t="s">
        <v>693</v>
      </c>
      <c r="H1870" s="3" t="s">
        <v>922</v>
      </c>
      <c r="J1870" s="4">
        <v>3.45</v>
      </c>
      <c r="L1870" t="s">
        <v>154</v>
      </c>
    </row>
    <row r="1871" spans="1:12" x14ac:dyDescent="0.2">
      <c r="A1871" t="s">
        <v>18</v>
      </c>
      <c r="B1871" t="s">
        <v>200</v>
      </c>
      <c r="C1871" t="s">
        <v>13</v>
      </c>
      <c r="D1871" t="s">
        <v>752</v>
      </c>
      <c r="E1871" t="s">
        <v>84</v>
      </c>
      <c r="F1871" t="s">
        <v>821</v>
      </c>
      <c r="G1871" t="s">
        <v>693</v>
      </c>
      <c r="H1871" s="3" t="s">
        <v>927</v>
      </c>
      <c r="J1871" s="4">
        <v>3.45</v>
      </c>
      <c r="L1871" t="s">
        <v>199</v>
      </c>
    </row>
    <row r="1872" spans="1:12" x14ac:dyDescent="0.2">
      <c r="A1872" t="s">
        <v>18</v>
      </c>
      <c r="B1872" t="s">
        <v>95</v>
      </c>
      <c r="C1872" t="s">
        <v>13</v>
      </c>
      <c r="D1872" t="s">
        <v>751</v>
      </c>
      <c r="E1872" t="s">
        <v>750</v>
      </c>
      <c r="F1872" t="s">
        <v>751</v>
      </c>
      <c r="G1872" t="s">
        <v>928</v>
      </c>
      <c r="H1872" s="3" t="s">
        <v>736</v>
      </c>
      <c r="J1872" s="4">
        <v>4.41</v>
      </c>
    </row>
    <row r="1873" spans="1:12" x14ac:dyDescent="0.2">
      <c r="A1873" t="s">
        <v>27</v>
      </c>
      <c r="B1873" t="s">
        <v>95</v>
      </c>
      <c r="C1873" t="s">
        <v>13</v>
      </c>
      <c r="D1873" t="s">
        <v>753</v>
      </c>
      <c r="E1873" t="s">
        <v>750</v>
      </c>
      <c r="F1873" t="s">
        <v>753</v>
      </c>
      <c r="G1873" t="s">
        <v>693</v>
      </c>
      <c r="H1873" s="3" t="s">
        <v>694</v>
      </c>
      <c r="J1873" s="4">
        <v>168.5</v>
      </c>
    </row>
    <row r="1874" spans="1:12" x14ac:dyDescent="0.2">
      <c r="A1874" t="s">
        <v>215</v>
      </c>
      <c r="B1874" t="s">
        <v>200</v>
      </c>
      <c r="C1874" t="s">
        <v>13</v>
      </c>
      <c r="D1874" t="s">
        <v>756</v>
      </c>
      <c r="E1874" t="s">
        <v>750</v>
      </c>
      <c r="F1874" t="s">
        <v>756</v>
      </c>
      <c r="G1874" t="s">
        <v>693</v>
      </c>
      <c r="H1874" s="3" t="s">
        <v>929</v>
      </c>
      <c r="J1874" s="4">
        <v>1.99</v>
      </c>
      <c r="L1874" t="s">
        <v>355</v>
      </c>
    </row>
    <row r="1875" spans="1:12" x14ac:dyDescent="0.2">
      <c r="A1875" t="s">
        <v>18</v>
      </c>
      <c r="B1875" t="s">
        <v>324</v>
      </c>
      <c r="C1875" t="s">
        <v>13</v>
      </c>
      <c r="D1875" t="s">
        <v>756</v>
      </c>
      <c r="E1875" t="s">
        <v>750</v>
      </c>
      <c r="F1875" t="s">
        <v>756</v>
      </c>
      <c r="G1875" t="s">
        <v>693</v>
      </c>
      <c r="J1875" s="4">
        <v>3.45</v>
      </c>
      <c r="K1875" t="s">
        <v>192</v>
      </c>
      <c r="L1875" t="s">
        <v>193</v>
      </c>
    </row>
    <row r="1876" spans="1:12" x14ac:dyDescent="0.2">
      <c r="A1876" t="s">
        <v>18</v>
      </c>
      <c r="B1876" t="s">
        <v>125</v>
      </c>
      <c r="C1876" t="s">
        <v>13</v>
      </c>
      <c r="D1876" t="s">
        <v>848</v>
      </c>
      <c r="E1876" t="s">
        <v>750</v>
      </c>
      <c r="F1876" t="s">
        <v>848</v>
      </c>
      <c r="G1876" t="s">
        <v>693</v>
      </c>
      <c r="J1876" s="4">
        <v>3.45</v>
      </c>
      <c r="L1876" t="s">
        <v>207</v>
      </c>
    </row>
    <row r="1877" spans="1:12" x14ac:dyDescent="0.2">
      <c r="A1877" t="s">
        <v>748</v>
      </c>
      <c r="B1877" t="s">
        <v>95</v>
      </c>
      <c r="C1877" t="s">
        <v>13</v>
      </c>
      <c r="D1877" t="s">
        <v>850</v>
      </c>
      <c r="E1877" t="s">
        <v>750</v>
      </c>
      <c r="F1877" t="s">
        <v>850</v>
      </c>
      <c r="G1877" t="s">
        <v>693</v>
      </c>
      <c r="H1877" s="3" t="s">
        <v>694</v>
      </c>
      <c r="J1877" s="4">
        <v>75</v>
      </c>
    </row>
    <row r="1878" spans="1:12" x14ac:dyDescent="0.2">
      <c r="A1878" t="s">
        <v>27</v>
      </c>
      <c r="B1878" t="s">
        <v>95</v>
      </c>
      <c r="C1878" t="s">
        <v>13</v>
      </c>
      <c r="D1878" t="s">
        <v>855</v>
      </c>
      <c r="E1878" t="s">
        <v>750</v>
      </c>
      <c r="F1878" t="s">
        <v>855</v>
      </c>
      <c r="G1878" t="s">
        <v>923</v>
      </c>
      <c r="J1878" s="4">
        <v>9.8000000000000007</v>
      </c>
    </row>
    <row r="1879" spans="1:12" x14ac:dyDescent="0.2">
      <c r="A1879" t="s">
        <v>748</v>
      </c>
      <c r="B1879" t="s">
        <v>95</v>
      </c>
      <c r="C1879" t="s">
        <v>13</v>
      </c>
      <c r="D1879" t="s">
        <v>91</v>
      </c>
      <c r="E1879" t="s">
        <v>84</v>
      </c>
      <c r="F1879" t="s">
        <v>91</v>
      </c>
      <c r="G1879" t="s">
        <v>719</v>
      </c>
      <c r="H1879" s="3" t="s">
        <v>728</v>
      </c>
      <c r="J1879" s="4">
        <v>60</v>
      </c>
    </row>
    <row r="1880" spans="1:12" x14ac:dyDescent="0.2">
      <c r="A1880" t="s">
        <v>748</v>
      </c>
      <c r="B1880" t="s">
        <v>95</v>
      </c>
      <c r="C1880" t="s">
        <v>13</v>
      </c>
      <c r="D1880" t="s">
        <v>91</v>
      </c>
      <c r="E1880" t="s">
        <v>84</v>
      </c>
      <c r="F1880" t="s">
        <v>91</v>
      </c>
      <c r="G1880" t="s">
        <v>719</v>
      </c>
      <c r="H1880" s="3" t="s">
        <v>729</v>
      </c>
      <c r="J1880" s="4">
        <v>26.5</v>
      </c>
    </row>
    <row r="1881" spans="1:12" x14ac:dyDescent="0.2">
      <c r="A1881" t="s">
        <v>748</v>
      </c>
      <c r="B1881" t="s">
        <v>95</v>
      </c>
      <c r="C1881" t="s">
        <v>13</v>
      </c>
      <c r="D1881" t="s">
        <v>358</v>
      </c>
      <c r="E1881" t="s">
        <v>84</v>
      </c>
      <c r="F1881" t="s">
        <v>358</v>
      </c>
      <c r="G1881" t="s">
        <v>719</v>
      </c>
      <c r="H1881" s="3" t="s">
        <v>729</v>
      </c>
      <c r="J1881" s="4">
        <v>13</v>
      </c>
    </row>
    <row r="1882" spans="1:12" x14ac:dyDescent="0.2">
      <c r="A1882" t="s">
        <v>18</v>
      </c>
      <c r="B1882" t="s">
        <v>95</v>
      </c>
      <c r="C1882" t="s">
        <v>13</v>
      </c>
      <c r="D1882" t="s">
        <v>834</v>
      </c>
      <c r="E1882" t="s">
        <v>750</v>
      </c>
      <c r="F1882" t="s">
        <v>834</v>
      </c>
      <c r="G1882" t="s">
        <v>719</v>
      </c>
      <c r="H1882" s="3" t="s">
        <v>930</v>
      </c>
      <c r="J1882" s="4">
        <v>100</v>
      </c>
    </row>
    <row r="1883" spans="1:12" x14ac:dyDescent="0.2">
      <c r="A1883" t="s">
        <v>748</v>
      </c>
      <c r="B1883" t="s">
        <v>95</v>
      </c>
      <c r="C1883" t="s">
        <v>13</v>
      </c>
      <c r="D1883" t="s">
        <v>839</v>
      </c>
      <c r="E1883" t="s">
        <v>750</v>
      </c>
      <c r="F1883" t="s">
        <v>839</v>
      </c>
      <c r="G1883" t="s">
        <v>719</v>
      </c>
      <c r="H1883" s="3" t="s">
        <v>931</v>
      </c>
      <c r="J1883" s="4">
        <v>1050</v>
      </c>
    </row>
    <row r="1884" spans="1:12" x14ac:dyDescent="0.2">
      <c r="A1884" t="s">
        <v>18</v>
      </c>
      <c r="B1884" t="s">
        <v>95</v>
      </c>
      <c r="C1884" t="s">
        <v>13</v>
      </c>
      <c r="D1884" t="s">
        <v>346</v>
      </c>
      <c r="E1884" t="s">
        <v>84</v>
      </c>
      <c r="F1884" t="s">
        <v>94</v>
      </c>
      <c r="G1884" t="s">
        <v>730</v>
      </c>
      <c r="H1884" s="3" t="s">
        <v>731</v>
      </c>
      <c r="J1884" s="4">
        <v>1000</v>
      </c>
    </row>
    <row r="1885" spans="1:12" x14ac:dyDescent="0.2">
      <c r="A1885" t="s">
        <v>748</v>
      </c>
      <c r="B1885" t="s">
        <v>95</v>
      </c>
      <c r="C1885" t="s">
        <v>13</v>
      </c>
      <c r="D1885" t="s">
        <v>755</v>
      </c>
      <c r="E1885" t="s">
        <v>750</v>
      </c>
      <c r="F1885" t="s">
        <v>755</v>
      </c>
      <c r="G1885" t="s">
        <v>730</v>
      </c>
      <c r="H1885" s="3" t="s">
        <v>932</v>
      </c>
      <c r="J1885" s="4">
        <v>330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" right="0" top="0" bottom="0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E946-9181-41B3-8EE1-85086BBCBDFC}">
  <dimension ref="B3:W2266"/>
  <sheetViews>
    <sheetView tabSelected="1" zoomScale="85" zoomScaleNormal="85" workbookViewId="0">
      <selection activeCell="B1" sqref="B1"/>
    </sheetView>
  </sheetViews>
  <sheetFormatPr defaultRowHeight="14.25" x14ac:dyDescent="0.2"/>
  <cols>
    <col min="2" max="2" width="33.25" bestFit="1" customWidth="1"/>
    <col min="3" max="3" width="12" customWidth="1"/>
    <col min="4" max="4" width="12.25" customWidth="1"/>
    <col min="5" max="5" width="14.875" style="8" customWidth="1"/>
    <col min="6" max="6" width="13.5" customWidth="1"/>
    <col min="7" max="7" width="12.75" style="8" customWidth="1"/>
    <col min="8" max="8" width="40.625" bestFit="1" customWidth="1"/>
    <col min="9" max="9" width="40.625" customWidth="1"/>
    <col min="10" max="10" width="57" customWidth="1"/>
    <col min="11" max="11" width="18.875" customWidth="1"/>
    <col min="12" max="12" width="17.25" customWidth="1"/>
    <col min="13" max="13" width="23.875" bestFit="1" customWidth="1"/>
    <col min="14" max="14" width="49.625" bestFit="1" customWidth="1"/>
    <col min="17" max="17" width="15.125" style="10" bestFit="1" customWidth="1"/>
    <col min="18" max="18" width="12.625" style="10" bestFit="1" customWidth="1"/>
    <col min="19" max="19" width="23.5" style="10" customWidth="1"/>
    <col min="20" max="20" width="40.625" style="10" bestFit="1" customWidth="1"/>
    <col min="21" max="21" width="9.25" style="10" bestFit="1" customWidth="1"/>
    <col min="22" max="22" width="10.625" style="10" bestFit="1" customWidth="1"/>
    <col min="23" max="23" width="14.625" style="10" customWidth="1"/>
  </cols>
  <sheetData>
    <row r="3" spans="2:23" ht="15" x14ac:dyDescent="0.25">
      <c r="B3" t="s">
        <v>934</v>
      </c>
      <c r="C3" t="s">
        <v>935</v>
      </c>
      <c r="D3" t="s">
        <v>936</v>
      </c>
      <c r="E3" s="8" t="s">
        <v>937</v>
      </c>
      <c r="F3" t="s">
        <v>938</v>
      </c>
      <c r="G3" s="8" t="s">
        <v>939</v>
      </c>
      <c r="H3" t="s">
        <v>940</v>
      </c>
      <c r="I3" t="s">
        <v>946</v>
      </c>
      <c r="J3" t="s">
        <v>941</v>
      </c>
      <c r="K3" t="s">
        <v>942</v>
      </c>
      <c r="L3" t="s">
        <v>943</v>
      </c>
      <c r="M3" t="s">
        <v>944</v>
      </c>
      <c r="N3" t="s">
        <v>945</v>
      </c>
      <c r="Q3" s="11" t="s">
        <v>947</v>
      </c>
      <c r="R3" s="11" t="s">
        <v>948</v>
      </c>
      <c r="S3" s="11" t="s">
        <v>949</v>
      </c>
      <c r="T3" s="11" t="s">
        <v>950</v>
      </c>
      <c r="U3" s="11" t="s">
        <v>951</v>
      </c>
      <c r="V3" s="11" t="s">
        <v>3</v>
      </c>
      <c r="W3" s="11" t="s">
        <v>952</v>
      </c>
    </row>
    <row r="4" spans="2:23" x14ac:dyDescent="0.2">
      <c r="B4" t="s">
        <v>18</v>
      </c>
      <c r="C4" t="s">
        <v>95</v>
      </c>
      <c r="D4" t="s">
        <v>13</v>
      </c>
      <c r="E4" s="8">
        <v>45937</v>
      </c>
      <c r="F4" t="s">
        <v>15</v>
      </c>
      <c r="G4" s="8" t="s">
        <v>21</v>
      </c>
      <c r="H4" t="s">
        <v>435</v>
      </c>
      <c r="I4" t="e">
        <f>VLOOKUP(Tabela2[[#This Row],[Coluna7]],[1]!Tabela1[#All],2,0)</f>
        <v>#REF!</v>
      </c>
      <c r="J4" t="s">
        <v>736</v>
      </c>
      <c r="L4">
        <v>34.99</v>
      </c>
      <c r="Q4" s="10" t="str">
        <f>Tabela2[[#This Row],[Coluna5]]</f>
        <v>10/2025</v>
      </c>
      <c r="R4" s="10" t="str">
        <f>IF(Tabela2[[#This Row],[Coluna9]]&gt;0,"Entrada","Saída")</f>
        <v>Saída</v>
      </c>
      <c r="S4" s="10" t="str">
        <f>Tabela2[[#This Row],[Coluna8]]</f>
        <v>CARTÃO INTER</v>
      </c>
      <c r="T4" s="10" t="e">
        <f>Tabela2[[#This Row],[Coluna72]]</f>
        <v>#REF!</v>
      </c>
      <c r="U4" s="10">
        <f>SUM(Tabela2[[#This Row],[Coluna9]],Tabela2[[#This Row],[Coluna10]])</f>
        <v>34.99</v>
      </c>
      <c r="V4" s="2">
        <f>Tabela2[[#This Row],[Coluna4]]</f>
        <v>45937</v>
      </c>
      <c r="W4" s="2" t="str">
        <f>Tabela2[[#This Row],[Coluna6]]</f>
        <v>06/10/2025</v>
      </c>
    </row>
    <row r="5" spans="2:23" x14ac:dyDescent="0.2">
      <c r="B5" t="s">
        <v>18</v>
      </c>
      <c r="C5" t="s">
        <v>95</v>
      </c>
      <c r="D5" t="s">
        <v>13</v>
      </c>
      <c r="E5" s="8">
        <v>45937</v>
      </c>
      <c r="F5" t="s">
        <v>15</v>
      </c>
      <c r="G5" s="8" t="s">
        <v>21</v>
      </c>
      <c r="H5" t="s">
        <v>435</v>
      </c>
      <c r="I5" t="e">
        <f>VLOOKUP(Tabela2[[#This Row],[Coluna7]],[1]!Tabela1[#All],2,0)</f>
        <v>#REF!</v>
      </c>
      <c r="J5" t="s">
        <v>736</v>
      </c>
      <c r="L5">
        <v>112.87</v>
      </c>
      <c r="Q5" s="10" t="str">
        <f>Tabela2[[#This Row],[Coluna5]]</f>
        <v>10/2025</v>
      </c>
      <c r="R5" s="10" t="str">
        <f>IF(Tabela2[[#This Row],[Coluna9]]&gt;0,"Entrada","Saída")</f>
        <v>Saída</v>
      </c>
      <c r="S5" s="10" t="str">
        <f>Tabela2[[#This Row],[Coluna8]]</f>
        <v>CARTÃO INTER</v>
      </c>
      <c r="T5" s="10" t="e">
        <f>Tabela2[[#This Row],[Coluna72]]</f>
        <v>#REF!</v>
      </c>
      <c r="U5" s="10">
        <f>SUM(Tabela2[[#This Row],[Coluna9]],Tabela2[[#This Row],[Coluna10]])</f>
        <v>112.87</v>
      </c>
      <c r="V5" s="2">
        <f>Tabela2[[#This Row],[Coluna4]]</f>
        <v>45937</v>
      </c>
      <c r="W5" s="2" t="str">
        <f>Tabela2[[#This Row],[Coluna6]]</f>
        <v>06/10/2025</v>
      </c>
    </row>
    <row r="6" spans="2:23" x14ac:dyDescent="0.2">
      <c r="B6" t="s">
        <v>18</v>
      </c>
      <c r="C6" t="s">
        <v>95</v>
      </c>
      <c r="D6" t="s">
        <v>13</v>
      </c>
      <c r="E6" s="8">
        <v>45937</v>
      </c>
      <c r="F6" t="s">
        <v>15</v>
      </c>
      <c r="G6" s="8" t="s">
        <v>21</v>
      </c>
      <c r="H6" t="s">
        <v>435</v>
      </c>
      <c r="I6" t="e">
        <f>VLOOKUP(Tabela2[[#This Row],[Coluna7]],[1]!Tabela1[#All],2,0)</f>
        <v>#REF!</v>
      </c>
      <c r="J6" t="s">
        <v>736</v>
      </c>
      <c r="L6">
        <v>149.9</v>
      </c>
      <c r="Q6" s="10" t="str">
        <f>Tabela2[[#This Row],[Coluna5]]</f>
        <v>10/2025</v>
      </c>
      <c r="R6" s="10" t="str">
        <f>IF(Tabela2[[#This Row],[Coluna9]]&gt;0,"Entrada","Saída")</f>
        <v>Saída</v>
      </c>
      <c r="S6" s="10" t="str">
        <f>Tabela2[[#This Row],[Coluna8]]</f>
        <v>CARTÃO INTER</v>
      </c>
      <c r="T6" s="10" t="e">
        <f>Tabela2[[#This Row],[Coluna72]]</f>
        <v>#REF!</v>
      </c>
      <c r="U6" s="10">
        <f>SUM(Tabela2[[#This Row],[Coluna9]],Tabela2[[#This Row],[Coluna10]])</f>
        <v>149.9</v>
      </c>
      <c r="V6" s="2">
        <f>Tabela2[[#This Row],[Coluna4]]</f>
        <v>45937</v>
      </c>
      <c r="W6" s="2" t="str">
        <f>Tabela2[[#This Row],[Coluna6]]</f>
        <v>06/10/2025</v>
      </c>
    </row>
    <row r="7" spans="2:23" x14ac:dyDescent="0.2">
      <c r="B7" t="s">
        <v>18</v>
      </c>
      <c r="C7" t="s">
        <v>95</v>
      </c>
      <c r="D7" t="s">
        <v>13</v>
      </c>
      <c r="E7" s="8">
        <v>45937</v>
      </c>
      <c r="F7" t="s">
        <v>15</v>
      </c>
      <c r="G7" s="8" t="s">
        <v>21</v>
      </c>
      <c r="H7" t="s">
        <v>469</v>
      </c>
      <c r="I7" t="e">
        <f>VLOOKUP(Tabela2[[#This Row],[Coluna7]],[1]!Tabela1[#All],2,0)</f>
        <v>#REF!</v>
      </c>
      <c r="J7" t="s">
        <v>736</v>
      </c>
      <c r="L7">
        <v>43.12</v>
      </c>
      <c r="Q7" s="10" t="str">
        <f>Tabela2[[#This Row],[Coluna5]]</f>
        <v>10/2025</v>
      </c>
      <c r="R7" s="10" t="str">
        <f>IF(Tabela2[[#This Row],[Coluna9]]&gt;0,"Entrada","Saída")</f>
        <v>Saída</v>
      </c>
      <c r="S7" s="10" t="str">
        <f>Tabela2[[#This Row],[Coluna8]]</f>
        <v>CARTÃO INTER</v>
      </c>
      <c r="T7" s="10" t="e">
        <f>Tabela2[[#This Row],[Coluna72]]</f>
        <v>#REF!</v>
      </c>
      <c r="U7" s="10">
        <f>SUM(Tabela2[[#This Row],[Coluna9]],Tabela2[[#This Row],[Coluna10]])</f>
        <v>43.12</v>
      </c>
      <c r="V7" s="2">
        <f>Tabela2[[#This Row],[Coluna4]]</f>
        <v>45937</v>
      </c>
      <c r="W7" s="2" t="str">
        <f>Tabela2[[#This Row],[Coluna6]]</f>
        <v>06/10/2025</v>
      </c>
    </row>
    <row r="8" spans="2:23" x14ac:dyDescent="0.2">
      <c r="B8" t="s">
        <v>18</v>
      </c>
      <c r="C8" t="s">
        <v>95</v>
      </c>
      <c r="D8" t="s">
        <v>13</v>
      </c>
      <c r="E8" s="8">
        <v>45938</v>
      </c>
      <c r="F8" t="s">
        <v>15</v>
      </c>
      <c r="G8" s="8">
        <v>45938</v>
      </c>
      <c r="H8" t="s">
        <v>458</v>
      </c>
      <c r="I8" t="e">
        <f>VLOOKUP(Tabela2[[#This Row],[Coluna7]],[1]!Tabela1[#All],2,0)</f>
        <v>#REF!</v>
      </c>
      <c r="J8" t="s">
        <v>737</v>
      </c>
      <c r="L8">
        <v>110</v>
      </c>
      <c r="Q8" s="10" t="str">
        <f>Tabela2[[#This Row],[Coluna5]]</f>
        <v>10/2025</v>
      </c>
      <c r="R8" s="10" t="str">
        <f>IF(Tabela2[[#This Row],[Coluna9]]&gt;0,"Entrada","Saída")</f>
        <v>Saída</v>
      </c>
      <c r="S8" s="10" t="str">
        <f>Tabela2[[#This Row],[Coluna8]]</f>
        <v>CARTÃO SANTANDER</v>
      </c>
      <c r="T8" s="10" t="e">
        <f>Tabela2[[#This Row],[Coluna72]]</f>
        <v>#REF!</v>
      </c>
      <c r="U8" s="10">
        <f>SUM(Tabela2[[#This Row],[Coluna9]],Tabela2[[#This Row],[Coluna10]])</f>
        <v>110</v>
      </c>
      <c r="V8" s="2">
        <f>Tabela2[[#This Row],[Coluna4]]</f>
        <v>45938</v>
      </c>
      <c r="W8" s="2">
        <f>Tabela2[[#This Row],[Coluna6]]</f>
        <v>45938</v>
      </c>
    </row>
    <row r="9" spans="2:23" x14ac:dyDescent="0.2">
      <c r="B9" t="s">
        <v>18</v>
      </c>
      <c r="C9" t="s">
        <v>95</v>
      </c>
      <c r="D9" t="s">
        <v>13</v>
      </c>
      <c r="E9" s="8">
        <v>45938</v>
      </c>
      <c r="F9" t="s">
        <v>15</v>
      </c>
      <c r="G9" s="8">
        <v>45938</v>
      </c>
      <c r="H9" t="s">
        <v>538</v>
      </c>
      <c r="I9" t="e">
        <f>VLOOKUP(Tabela2[[#This Row],[Coluna7]],[1]!Tabela1[#All],2,0)</f>
        <v>#REF!</v>
      </c>
      <c r="J9" t="s">
        <v>737</v>
      </c>
      <c r="L9">
        <v>34.97</v>
      </c>
      <c r="Q9" s="10" t="str">
        <f>Tabela2[[#This Row],[Coluna5]]</f>
        <v>10/2025</v>
      </c>
      <c r="R9" s="10" t="str">
        <f>IF(Tabela2[[#This Row],[Coluna9]]&gt;0,"Entrada","Saída")</f>
        <v>Saída</v>
      </c>
      <c r="S9" s="10" t="str">
        <f>Tabela2[[#This Row],[Coluna8]]</f>
        <v>CARTÃO SANTANDER</v>
      </c>
      <c r="T9" s="10" t="e">
        <f>Tabela2[[#This Row],[Coluna72]]</f>
        <v>#REF!</v>
      </c>
      <c r="U9" s="10">
        <f>SUM(Tabela2[[#This Row],[Coluna9]],Tabela2[[#This Row],[Coluna10]])</f>
        <v>34.97</v>
      </c>
      <c r="V9" s="2">
        <f>Tabela2[[#This Row],[Coluna4]]</f>
        <v>45938</v>
      </c>
      <c r="W9" s="2">
        <f>Tabela2[[#This Row],[Coluna6]]</f>
        <v>45938</v>
      </c>
    </row>
    <row r="10" spans="2:23" x14ac:dyDescent="0.2">
      <c r="B10" t="s">
        <v>18</v>
      </c>
      <c r="C10" t="s">
        <v>95</v>
      </c>
      <c r="D10" t="s">
        <v>13</v>
      </c>
      <c r="E10" s="8">
        <v>45938</v>
      </c>
      <c r="F10" t="s">
        <v>15</v>
      </c>
      <c r="G10" s="8">
        <v>45938</v>
      </c>
      <c r="H10" t="s">
        <v>488</v>
      </c>
      <c r="I10" t="e">
        <f>VLOOKUP(Tabela2[[#This Row],[Coluna7]],[1]!Tabela1[#All],2,0)</f>
        <v>#REF!</v>
      </c>
      <c r="J10" t="s">
        <v>737</v>
      </c>
      <c r="L10">
        <v>87.83</v>
      </c>
      <c r="Q10" s="10" t="str">
        <f>Tabela2[[#This Row],[Coluna5]]</f>
        <v>10/2025</v>
      </c>
      <c r="R10" s="10" t="str">
        <f>IF(Tabela2[[#This Row],[Coluna9]]&gt;0,"Entrada","Saída")</f>
        <v>Saída</v>
      </c>
      <c r="S10" s="10" t="str">
        <f>Tabela2[[#This Row],[Coluna8]]</f>
        <v>CARTÃO SANTANDER</v>
      </c>
      <c r="T10" s="10" t="e">
        <f>Tabela2[[#This Row],[Coluna72]]</f>
        <v>#REF!</v>
      </c>
      <c r="U10" s="10">
        <f>SUM(Tabela2[[#This Row],[Coluna9]],Tabela2[[#This Row],[Coluna10]])</f>
        <v>87.83</v>
      </c>
      <c r="V10" s="2">
        <f>Tabela2[[#This Row],[Coluna4]]</f>
        <v>45938</v>
      </c>
      <c r="W10" s="2">
        <f>Tabela2[[#This Row],[Coluna6]]</f>
        <v>45938</v>
      </c>
    </row>
    <row r="11" spans="2:23" x14ac:dyDescent="0.2">
      <c r="B11" t="s">
        <v>18</v>
      </c>
      <c r="C11" t="s">
        <v>95</v>
      </c>
      <c r="D11" t="s">
        <v>13</v>
      </c>
      <c r="E11" s="8">
        <v>45938</v>
      </c>
      <c r="F11" t="s">
        <v>15</v>
      </c>
      <c r="G11" s="8">
        <v>45938</v>
      </c>
      <c r="H11" t="s">
        <v>528</v>
      </c>
      <c r="I11" t="e">
        <f>VLOOKUP(Tabela2[[#This Row],[Coluna7]],[1]!Tabela1[#All],2,0)</f>
        <v>#REF!</v>
      </c>
      <c r="J11" t="s">
        <v>737</v>
      </c>
      <c r="L11">
        <v>80.91</v>
      </c>
      <c r="Q11" s="10" t="str">
        <f>Tabela2[[#This Row],[Coluna5]]</f>
        <v>10/2025</v>
      </c>
      <c r="R11" s="10" t="str">
        <f>IF(Tabela2[[#This Row],[Coluna9]]&gt;0,"Entrada","Saída")</f>
        <v>Saída</v>
      </c>
      <c r="S11" s="10" t="str">
        <f>Tabela2[[#This Row],[Coluna8]]</f>
        <v>CARTÃO SANTANDER</v>
      </c>
      <c r="T11" s="10" t="e">
        <f>Tabela2[[#This Row],[Coluna72]]</f>
        <v>#REF!</v>
      </c>
      <c r="U11" s="10">
        <f>SUM(Tabela2[[#This Row],[Coluna9]],Tabela2[[#This Row],[Coluna10]])</f>
        <v>80.91</v>
      </c>
      <c r="V11" s="2">
        <f>Tabela2[[#This Row],[Coluna4]]</f>
        <v>45938</v>
      </c>
      <c r="W11" s="2">
        <f>Tabela2[[#This Row],[Coluna6]]</f>
        <v>45938</v>
      </c>
    </row>
    <row r="12" spans="2:23" x14ac:dyDescent="0.2">
      <c r="B12" t="s">
        <v>18</v>
      </c>
      <c r="C12" t="s">
        <v>95</v>
      </c>
      <c r="D12" t="s">
        <v>13</v>
      </c>
      <c r="E12" s="8">
        <v>45938</v>
      </c>
      <c r="F12" t="s">
        <v>15</v>
      </c>
      <c r="G12" s="8">
        <v>45938</v>
      </c>
      <c r="H12" t="s">
        <v>458</v>
      </c>
      <c r="I12" t="e">
        <f>VLOOKUP(Tabela2[[#This Row],[Coluna7]],[1]!Tabela1[#All],2,0)</f>
        <v>#REF!</v>
      </c>
      <c r="J12" t="s">
        <v>737</v>
      </c>
      <c r="L12">
        <v>263.01</v>
      </c>
      <c r="Q12" s="10" t="str">
        <f>Tabela2[[#This Row],[Coluna5]]</f>
        <v>10/2025</v>
      </c>
      <c r="R12" s="10" t="str">
        <f>IF(Tabela2[[#This Row],[Coluna9]]&gt;0,"Entrada","Saída")</f>
        <v>Saída</v>
      </c>
      <c r="S12" s="10" t="str">
        <f>Tabela2[[#This Row],[Coluna8]]</f>
        <v>CARTÃO SANTANDER</v>
      </c>
      <c r="T12" s="10" t="e">
        <f>Tabela2[[#This Row],[Coluna72]]</f>
        <v>#REF!</v>
      </c>
      <c r="U12" s="10">
        <f>SUM(Tabela2[[#This Row],[Coluna9]],Tabela2[[#This Row],[Coluna10]])</f>
        <v>263.01</v>
      </c>
      <c r="V12" s="2">
        <f>Tabela2[[#This Row],[Coluna4]]</f>
        <v>45938</v>
      </c>
      <c r="W12" s="2">
        <f>Tabela2[[#This Row],[Coluna6]]</f>
        <v>45938</v>
      </c>
    </row>
    <row r="13" spans="2:23" x14ac:dyDescent="0.2">
      <c r="B13" t="s">
        <v>18</v>
      </c>
      <c r="C13" t="s">
        <v>95</v>
      </c>
      <c r="D13" t="s">
        <v>13</v>
      </c>
      <c r="E13" s="8">
        <v>45938</v>
      </c>
      <c r="F13" t="s">
        <v>15</v>
      </c>
      <c r="G13" s="8">
        <v>45938</v>
      </c>
      <c r="H13" t="s">
        <v>528</v>
      </c>
      <c r="I13" t="e">
        <f>VLOOKUP(Tabela2[[#This Row],[Coluna7]],[1]!Tabela1[#All],2,0)</f>
        <v>#REF!</v>
      </c>
      <c r="J13" t="s">
        <v>737</v>
      </c>
      <c r="L13">
        <v>125</v>
      </c>
      <c r="Q13" s="10" t="str">
        <f>Tabela2[[#This Row],[Coluna5]]</f>
        <v>10/2025</v>
      </c>
      <c r="R13" s="10" t="str">
        <f>IF(Tabela2[[#This Row],[Coluna9]]&gt;0,"Entrada","Saída")</f>
        <v>Saída</v>
      </c>
      <c r="S13" s="10" t="str">
        <f>Tabela2[[#This Row],[Coluna8]]</f>
        <v>CARTÃO SANTANDER</v>
      </c>
      <c r="T13" s="10" t="e">
        <f>Tabela2[[#This Row],[Coluna72]]</f>
        <v>#REF!</v>
      </c>
      <c r="U13" s="10">
        <f>SUM(Tabela2[[#This Row],[Coluna9]],Tabela2[[#This Row],[Coluna10]])</f>
        <v>125</v>
      </c>
      <c r="V13" s="2">
        <f>Tabela2[[#This Row],[Coluna4]]</f>
        <v>45938</v>
      </c>
      <c r="W13" s="2">
        <f>Tabela2[[#This Row],[Coluna6]]</f>
        <v>45938</v>
      </c>
    </row>
    <row r="14" spans="2:23" x14ac:dyDescent="0.2">
      <c r="B14" t="s">
        <v>18</v>
      </c>
      <c r="C14" t="s">
        <v>95</v>
      </c>
      <c r="D14" t="s">
        <v>13</v>
      </c>
      <c r="E14" s="8">
        <v>45938</v>
      </c>
      <c r="F14" t="s">
        <v>15</v>
      </c>
      <c r="G14" s="8">
        <v>45938</v>
      </c>
      <c r="H14" t="s">
        <v>570</v>
      </c>
      <c r="I14" t="e">
        <f>VLOOKUP(Tabela2[[#This Row],[Coluna7]],[1]!Tabela1[#All],2,0)</f>
        <v>#REF!</v>
      </c>
      <c r="J14" t="s">
        <v>737</v>
      </c>
      <c r="L14">
        <v>54.31</v>
      </c>
      <c r="Q14" s="10" t="str">
        <f>Tabela2[[#This Row],[Coluna5]]</f>
        <v>10/2025</v>
      </c>
      <c r="R14" s="10" t="str">
        <f>IF(Tabela2[[#This Row],[Coluna9]]&gt;0,"Entrada","Saída")</f>
        <v>Saída</v>
      </c>
      <c r="S14" s="10" t="str">
        <f>Tabela2[[#This Row],[Coluna8]]</f>
        <v>CARTÃO SANTANDER</v>
      </c>
      <c r="T14" s="10" t="e">
        <f>Tabela2[[#This Row],[Coluna72]]</f>
        <v>#REF!</v>
      </c>
      <c r="U14" s="10">
        <f>SUM(Tabela2[[#This Row],[Coluna9]],Tabela2[[#This Row],[Coluna10]])</f>
        <v>54.31</v>
      </c>
      <c r="V14" s="2">
        <f>Tabela2[[#This Row],[Coluna4]]</f>
        <v>45938</v>
      </c>
      <c r="W14" s="2">
        <f>Tabela2[[#This Row],[Coluna6]]</f>
        <v>45938</v>
      </c>
    </row>
    <row r="15" spans="2:23" x14ac:dyDescent="0.2">
      <c r="B15" t="s">
        <v>18</v>
      </c>
      <c r="C15" t="s">
        <v>95</v>
      </c>
      <c r="D15" t="s">
        <v>13</v>
      </c>
      <c r="E15" s="8">
        <v>45938</v>
      </c>
      <c r="F15" t="s">
        <v>15</v>
      </c>
      <c r="G15" s="8">
        <v>45938</v>
      </c>
      <c r="H15" t="s">
        <v>458</v>
      </c>
      <c r="I15" t="e">
        <f>VLOOKUP(Tabela2[[#This Row],[Coluna7]],[1]!Tabela1[#All],2,0)</f>
        <v>#REF!</v>
      </c>
      <c r="J15" t="s">
        <v>737</v>
      </c>
      <c r="L15">
        <v>329.06</v>
      </c>
      <c r="Q15" s="10" t="str">
        <f>Tabela2[[#This Row],[Coluna5]]</f>
        <v>10/2025</v>
      </c>
      <c r="R15" s="10" t="str">
        <f>IF(Tabela2[[#This Row],[Coluna9]]&gt;0,"Entrada","Saída")</f>
        <v>Saída</v>
      </c>
      <c r="S15" s="10" t="str">
        <f>Tabela2[[#This Row],[Coluna8]]</f>
        <v>CARTÃO SANTANDER</v>
      </c>
      <c r="T15" s="10" t="e">
        <f>Tabela2[[#This Row],[Coluna72]]</f>
        <v>#REF!</v>
      </c>
      <c r="U15" s="10">
        <f>SUM(Tabela2[[#This Row],[Coluna9]],Tabela2[[#This Row],[Coluna10]])</f>
        <v>329.06</v>
      </c>
      <c r="V15" s="2">
        <f>Tabela2[[#This Row],[Coluna4]]</f>
        <v>45938</v>
      </c>
      <c r="W15" s="2">
        <f>Tabela2[[#This Row],[Coluna6]]</f>
        <v>45938</v>
      </c>
    </row>
    <row r="16" spans="2:23" x14ac:dyDescent="0.2">
      <c r="B16" t="s">
        <v>18</v>
      </c>
      <c r="C16" t="s">
        <v>95</v>
      </c>
      <c r="D16" t="s">
        <v>13</v>
      </c>
      <c r="E16" s="8">
        <v>45938</v>
      </c>
      <c r="F16" t="s">
        <v>15</v>
      </c>
      <c r="G16" s="8">
        <v>45938</v>
      </c>
      <c r="H16" t="s">
        <v>469</v>
      </c>
      <c r="I16" t="e">
        <f>VLOOKUP(Tabela2[[#This Row],[Coluna7]],[1]!Tabela1[#All],2,0)</f>
        <v>#REF!</v>
      </c>
      <c r="J16" t="s">
        <v>737</v>
      </c>
      <c r="L16">
        <v>66.400000000000006</v>
      </c>
      <c r="Q16" s="10" t="str">
        <f>Tabela2[[#This Row],[Coluna5]]</f>
        <v>10/2025</v>
      </c>
      <c r="R16" s="10" t="str">
        <f>IF(Tabela2[[#This Row],[Coluna9]]&gt;0,"Entrada","Saída")</f>
        <v>Saída</v>
      </c>
      <c r="S16" s="10" t="str">
        <f>Tabela2[[#This Row],[Coluna8]]</f>
        <v>CARTÃO SANTANDER</v>
      </c>
      <c r="T16" s="10" t="e">
        <f>Tabela2[[#This Row],[Coluna72]]</f>
        <v>#REF!</v>
      </c>
      <c r="U16" s="10">
        <f>SUM(Tabela2[[#This Row],[Coluna9]],Tabela2[[#This Row],[Coluna10]])</f>
        <v>66.400000000000006</v>
      </c>
      <c r="V16" s="2">
        <f>Tabela2[[#This Row],[Coluna4]]</f>
        <v>45938</v>
      </c>
      <c r="W16" s="2">
        <f>Tabela2[[#This Row],[Coluna6]]</f>
        <v>45938</v>
      </c>
    </row>
    <row r="17" spans="2:23" x14ac:dyDescent="0.2">
      <c r="B17" t="s">
        <v>18</v>
      </c>
      <c r="C17" t="s">
        <v>95</v>
      </c>
      <c r="D17" t="s">
        <v>13</v>
      </c>
      <c r="E17" s="8">
        <v>45938</v>
      </c>
      <c r="F17" t="s">
        <v>15</v>
      </c>
      <c r="G17" s="8">
        <v>45938</v>
      </c>
      <c r="H17" t="s">
        <v>458</v>
      </c>
      <c r="I17" t="e">
        <f>VLOOKUP(Tabela2[[#This Row],[Coluna7]],[1]!Tabela1[#All],2,0)</f>
        <v>#REF!</v>
      </c>
      <c r="J17" t="s">
        <v>737</v>
      </c>
      <c r="L17">
        <v>738.7</v>
      </c>
      <c r="Q17" s="10" t="str">
        <f>Tabela2[[#This Row],[Coluna5]]</f>
        <v>10/2025</v>
      </c>
      <c r="R17" s="10" t="str">
        <f>IF(Tabela2[[#This Row],[Coluna9]]&gt;0,"Entrada","Saída")</f>
        <v>Saída</v>
      </c>
      <c r="S17" s="10" t="str">
        <f>Tabela2[[#This Row],[Coluna8]]</f>
        <v>CARTÃO SANTANDER</v>
      </c>
      <c r="T17" s="10" t="e">
        <f>Tabela2[[#This Row],[Coluna72]]</f>
        <v>#REF!</v>
      </c>
      <c r="U17" s="10">
        <f>SUM(Tabela2[[#This Row],[Coluna9]],Tabela2[[#This Row],[Coluna10]])</f>
        <v>738.7</v>
      </c>
      <c r="V17" s="2">
        <f>Tabela2[[#This Row],[Coluna4]]</f>
        <v>45938</v>
      </c>
      <c r="W17" s="2">
        <f>Tabela2[[#This Row],[Coluna6]]</f>
        <v>45938</v>
      </c>
    </row>
    <row r="18" spans="2:23" x14ac:dyDescent="0.2">
      <c r="B18" t="s">
        <v>18</v>
      </c>
      <c r="C18" t="s">
        <v>95</v>
      </c>
      <c r="D18" t="s">
        <v>13</v>
      </c>
      <c r="E18" s="8">
        <v>45938</v>
      </c>
      <c r="F18" t="s">
        <v>15</v>
      </c>
      <c r="G18" s="8">
        <v>45938</v>
      </c>
      <c r="H18" t="s">
        <v>458</v>
      </c>
      <c r="I18" t="e">
        <f>VLOOKUP(Tabela2[[#This Row],[Coluna7]],[1]!Tabela1[#All],2,0)</f>
        <v>#REF!</v>
      </c>
      <c r="J18" t="s">
        <v>737</v>
      </c>
      <c r="L18">
        <v>107.75</v>
      </c>
      <c r="Q18" s="10" t="str">
        <f>Tabela2[[#This Row],[Coluna5]]</f>
        <v>10/2025</v>
      </c>
      <c r="R18" s="10" t="str">
        <f>IF(Tabela2[[#This Row],[Coluna9]]&gt;0,"Entrada","Saída")</f>
        <v>Saída</v>
      </c>
      <c r="S18" s="10" t="str">
        <f>Tabela2[[#This Row],[Coluna8]]</f>
        <v>CARTÃO SANTANDER</v>
      </c>
      <c r="T18" s="10" t="e">
        <f>Tabela2[[#This Row],[Coluna72]]</f>
        <v>#REF!</v>
      </c>
      <c r="U18" s="10">
        <f>SUM(Tabela2[[#This Row],[Coluna9]],Tabela2[[#This Row],[Coluna10]])</f>
        <v>107.75</v>
      </c>
      <c r="V18" s="2">
        <f>Tabela2[[#This Row],[Coluna4]]</f>
        <v>45938</v>
      </c>
      <c r="W18" s="2">
        <f>Tabela2[[#This Row],[Coluna6]]</f>
        <v>45938</v>
      </c>
    </row>
    <row r="19" spans="2:23" x14ac:dyDescent="0.2">
      <c r="B19" t="s">
        <v>18</v>
      </c>
      <c r="C19" t="s">
        <v>95</v>
      </c>
      <c r="D19" t="s">
        <v>13</v>
      </c>
      <c r="E19" s="8">
        <v>45938</v>
      </c>
      <c r="F19" t="s">
        <v>15</v>
      </c>
      <c r="G19" s="8">
        <v>45938</v>
      </c>
      <c r="H19" t="s">
        <v>538</v>
      </c>
      <c r="I19" t="e">
        <f>VLOOKUP(Tabela2[[#This Row],[Coluna7]],[1]!Tabela1[#All],2,0)</f>
        <v>#REF!</v>
      </c>
      <c r="J19" t="s">
        <v>737</v>
      </c>
      <c r="L19">
        <v>27.35</v>
      </c>
      <c r="Q19" s="10" t="str">
        <f>Tabela2[[#This Row],[Coluna5]]</f>
        <v>10/2025</v>
      </c>
      <c r="R19" s="10" t="str">
        <f>IF(Tabela2[[#This Row],[Coluna9]]&gt;0,"Entrada","Saída")</f>
        <v>Saída</v>
      </c>
      <c r="S19" s="10" t="str">
        <f>Tabela2[[#This Row],[Coluna8]]</f>
        <v>CARTÃO SANTANDER</v>
      </c>
      <c r="T19" s="10" t="e">
        <f>Tabela2[[#This Row],[Coluna72]]</f>
        <v>#REF!</v>
      </c>
      <c r="U19" s="10">
        <f>SUM(Tabela2[[#This Row],[Coluna9]],Tabela2[[#This Row],[Coluna10]])</f>
        <v>27.35</v>
      </c>
      <c r="V19" s="2">
        <f>Tabela2[[#This Row],[Coluna4]]</f>
        <v>45938</v>
      </c>
      <c r="W19" s="2">
        <f>Tabela2[[#This Row],[Coluna6]]</f>
        <v>45938</v>
      </c>
    </row>
    <row r="20" spans="2:23" x14ac:dyDescent="0.2">
      <c r="B20" t="s">
        <v>18</v>
      </c>
      <c r="C20" t="s">
        <v>95</v>
      </c>
      <c r="D20" t="s">
        <v>13</v>
      </c>
      <c r="E20" s="8">
        <v>45938</v>
      </c>
      <c r="F20" t="s">
        <v>15</v>
      </c>
      <c r="G20" s="8">
        <v>45938</v>
      </c>
      <c r="H20" t="s">
        <v>538</v>
      </c>
      <c r="I20" t="e">
        <f>VLOOKUP(Tabela2[[#This Row],[Coluna7]],[1]!Tabela1[#All],2,0)</f>
        <v>#REF!</v>
      </c>
      <c r="J20" t="s">
        <v>737</v>
      </c>
      <c r="L20">
        <v>36.159999999999997</v>
      </c>
      <c r="Q20" s="10" t="str">
        <f>Tabela2[[#This Row],[Coluna5]]</f>
        <v>10/2025</v>
      </c>
      <c r="R20" s="10" t="str">
        <f>IF(Tabela2[[#This Row],[Coluna9]]&gt;0,"Entrada","Saída")</f>
        <v>Saída</v>
      </c>
      <c r="S20" s="10" t="str">
        <f>Tabela2[[#This Row],[Coluna8]]</f>
        <v>CARTÃO SANTANDER</v>
      </c>
      <c r="T20" s="10" t="e">
        <f>Tabela2[[#This Row],[Coluna72]]</f>
        <v>#REF!</v>
      </c>
      <c r="U20" s="10">
        <f>SUM(Tabela2[[#This Row],[Coluna9]],Tabela2[[#This Row],[Coluna10]])</f>
        <v>36.159999999999997</v>
      </c>
      <c r="V20" s="2">
        <f>Tabela2[[#This Row],[Coluna4]]</f>
        <v>45938</v>
      </c>
      <c r="W20" s="2">
        <f>Tabela2[[#This Row],[Coluna6]]</f>
        <v>45938</v>
      </c>
    </row>
    <row r="21" spans="2:23" x14ac:dyDescent="0.2">
      <c r="B21" t="s">
        <v>18</v>
      </c>
      <c r="C21" t="s">
        <v>95</v>
      </c>
      <c r="D21" t="s">
        <v>13</v>
      </c>
      <c r="E21" s="8">
        <v>45938</v>
      </c>
      <c r="F21" t="s">
        <v>15</v>
      </c>
      <c r="G21" s="8">
        <v>45938</v>
      </c>
      <c r="H21" t="s">
        <v>488</v>
      </c>
      <c r="I21" t="e">
        <f>VLOOKUP(Tabela2[[#This Row],[Coluna7]],[1]!Tabela1[#All],2,0)</f>
        <v>#REF!</v>
      </c>
      <c r="J21" t="s">
        <v>737</v>
      </c>
      <c r="L21">
        <v>159.69</v>
      </c>
      <c r="Q21" s="10" t="str">
        <f>Tabela2[[#This Row],[Coluna5]]</f>
        <v>10/2025</v>
      </c>
      <c r="R21" s="10" t="str">
        <f>IF(Tabela2[[#This Row],[Coluna9]]&gt;0,"Entrada","Saída")</f>
        <v>Saída</v>
      </c>
      <c r="S21" s="10" t="str">
        <f>Tabela2[[#This Row],[Coluna8]]</f>
        <v>CARTÃO SANTANDER</v>
      </c>
      <c r="T21" s="10" t="e">
        <f>Tabela2[[#This Row],[Coluna72]]</f>
        <v>#REF!</v>
      </c>
      <c r="U21" s="10">
        <f>SUM(Tabela2[[#This Row],[Coluna9]],Tabela2[[#This Row],[Coluna10]])</f>
        <v>159.69</v>
      </c>
      <c r="V21" s="2">
        <f>Tabela2[[#This Row],[Coluna4]]</f>
        <v>45938</v>
      </c>
      <c r="W21" s="2">
        <f>Tabela2[[#This Row],[Coluna6]]</f>
        <v>45938</v>
      </c>
    </row>
    <row r="22" spans="2:23" x14ac:dyDescent="0.2">
      <c r="B22" t="s">
        <v>18</v>
      </c>
      <c r="C22" t="s">
        <v>95</v>
      </c>
      <c r="D22" t="s">
        <v>13</v>
      </c>
      <c r="E22" s="8">
        <v>45938</v>
      </c>
      <c r="F22" t="s">
        <v>15</v>
      </c>
      <c r="G22" s="8">
        <v>45938</v>
      </c>
      <c r="H22" t="s">
        <v>538</v>
      </c>
      <c r="I22" t="e">
        <f>VLOOKUP(Tabela2[[#This Row],[Coluna7]],[1]!Tabela1[#All],2,0)</f>
        <v>#REF!</v>
      </c>
      <c r="J22" t="s">
        <v>737</v>
      </c>
      <c r="L22">
        <v>24.34</v>
      </c>
      <c r="Q22" s="10" t="str">
        <f>Tabela2[[#This Row],[Coluna5]]</f>
        <v>10/2025</v>
      </c>
      <c r="R22" s="10" t="str">
        <f>IF(Tabela2[[#This Row],[Coluna9]]&gt;0,"Entrada","Saída")</f>
        <v>Saída</v>
      </c>
      <c r="S22" s="10" t="str">
        <f>Tabela2[[#This Row],[Coluna8]]</f>
        <v>CARTÃO SANTANDER</v>
      </c>
      <c r="T22" s="10" t="e">
        <f>Tabela2[[#This Row],[Coluna72]]</f>
        <v>#REF!</v>
      </c>
      <c r="U22" s="10">
        <f>SUM(Tabela2[[#This Row],[Coluna9]],Tabela2[[#This Row],[Coluna10]])</f>
        <v>24.34</v>
      </c>
      <c r="V22" s="2">
        <f>Tabela2[[#This Row],[Coluna4]]</f>
        <v>45938</v>
      </c>
      <c r="W22" s="2">
        <f>Tabela2[[#This Row],[Coluna6]]</f>
        <v>45938</v>
      </c>
    </row>
    <row r="23" spans="2:23" x14ac:dyDescent="0.2">
      <c r="B23" t="s">
        <v>18</v>
      </c>
      <c r="C23" t="s">
        <v>95</v>
      </c>
      <c r="D23" t="s">
        <v>13</v>
      </c>
      <c r="E23" s="8">
        <v>45938</v>
      </c>
      <c r="F23" t="s">
        <v>15</v>
      </c>
      <c r="G23" s="8">
        <v>45938</v>
      </c>
      <c r="H23" t="s">
        <v>435</v>
      </c>
      <c r="I23" t="e">
        <f>VLOOKUP(Tabela2[[#This Row],[Coluna7]],[1]!Tabela1[#All],2,0)</f>
        <v>#REF!</v>
      </c>
      <c r="J23" t="s">
        <v>737</v>
      </c>
      <c r="L23">
        <v>39.99</v>
      </c>
      <c r="Q23" s="10" t="str">
        <f>Tabela2[[#This Row],[Coluna5]]</f>
        <v>10/2025</v>
      </c>
      <c r="R23" s="10" t="str">
        <f>IF(Tabela2[[#This Row],[Coluna9]]&gt;0,"Entrada","Saída")</f>
        <v>Saída</v>
      </c>
      <c r="S23" s="10" t="str">
        <f>Tabela2[[#This Row],[Coluna8]]</f>
        <v>CARTÃO SANTANDER</v>
      </c>
      <c r="T23" s="10" t="e">
        <f>Tabela2[[#This Row],[Coluna72]]</f>
        <v>#REF!</v>
      </c>
      <c r="U23" s="10">
        <f>SUM(Tabela2[[#This Row],[Coluna9]],Tabela2[[#This Row],[Coluna10]])</f>
        <v>39.99</v>
      </c>
      <c r="V23" s="2">
        <f>Tabela2[[#This Row],[Coluna4]]</f>
        <v>45938</v>
      </c>
      <c r="W23" s="2">
        <f>Tabela2[[#This Row],[Coluna6]]</f>
        <v>45938</v>
      </c>
    </row>
    <row r="24" spans="2:23" x14ac:dyDescent="0.2">
      <c r="B24" t="s">
        <v>18</v>
      </c>
      <c r="C24" t="s">
        <v>95</v>
      </c>
      <c r="D24" t="s">
        <v>13</v>
      </c>
      <c r="E24" s="8">
        <v>45938</v>
      </c>
      <c r="F24" t="s">
        <v>15</v>
      </c>
      <c r="G24" s="8">
        <v>45938</v>
      </c>
      <c r="H24" t="s">
        <v>458</v>
      </c>
      <c r="I24" t="e">
        <f>VLOOKUP(Tabela2[[#This Row],[Coluna7]],[1]!Tabela1[#All],2,0)</f>
        <v>#REF!</v>
      </c>
      <c r="J24" t="s">
        <v>737</v>
      </c>
      <c r="L24">
        <v>295.74</v>
      </c>
      <c r="Q24" s="10" t="str">
        <f>Tabela2[[#This Row],[Coluna5]]</f>
        <v>10/2025</v>
      </c>
      <c r="R24" s="10" t="str">
        <f>IF(Tabela2[[#This Row],[Coluna9]]&gt;0,"Entrada","Saída")</f>
        <v>Saída</v>
      </c>
      <c r="S24" s="10" t="str">
        <f>Tabela2[[#This Row],[Coluna8]]</f>
        <v>CARTÃO SANTANDER</v>
      </c>
      <c r="T24" s="10" t="e">
        <f>Tabela2[[#This Row],[Coluna72]]</f>
        <v>#REF!</v>
      </c>
      <c r="U24" s="10">
        <f>SUM(Tabela2[[#This Row],[Coluna9]],Tabela2[[#This Row],[Coluna10]])</f>
        <v>295.74</v>
      </c>
      <c r="V24" s="2">
        <f>Tabela2[[#This Row],[Coluna4]]</f>
        <v>45938</v>
      </c>
      <c r="W24" s="2">
        <f>Tabela2[[#This Row],[Coluna6]]</f>
        <v>45938</v>
      </c>
    </row>
    <row r="25" spans="2:23" x14ac:dyDescent="0.2">
      <c r="B25" t="s">
        <v>18</v>
      </c>
      <c r="C25" t="s">
        <v>95</v>
      </c>
      <c r="D25" t="s">
        <v>13</v>
      </c>
      <c r="E25" s="8">
        <v>45938</v>
      </c>
      <c r="F25" t="s">
        <v>15</v>
      </c>
      <c r="G25" s="8">
        <v>45938</v>
      </c>
      <c r="H25" t="s">
        <v>538</v>
      </c>
      <c r="I25" t="e">
        <f>VLOOKUP(Tabela2[[#This Row],[Coluna7]],[1]!Tabela1[#All],2,0)</f>
        <v>#REF!</v>
      </c>
      <c r="J25" t="s">
        <v>737</v>
      </c>
      <c r="L25">
        <v>64.78</v>
      </c>
      <c r="Q25" s="10" t="str">
        <f>Tabela2[[#This Row],[Coluna5]]</f>
        <v>10/2025</v>
      </c>
      <c r="R25" s="10" t="str">
        <f>IF(Tabela2[[#This Row],[Coluna9]]&gt;0,"Entrada","Saída")</f>
        <v>Saída</v>
      </c>
      <c r="S25" s="10" t="str">
        <f>Tabela2[[#This Row],[Coluna8]]</f>
        <v>CARTÃO SANTANDER</v>
      </c>
      <c r="T25" s="10" t="e">
        <f>Tabela2[[#This Row],[Coluna72]]</f>
        <v>#REF!</v>
      </c>
      <c r="U25" s="10">
        <f>SUM(Tabela2[[#This Row],[Coluna9]],Tabela2[[#This Row],[Coluna10]])</f>
        <v>64.78</v>
      </c>
      <c r="V25" s="2">
        <f>Tabela2[[#This Row],[Coluna4]]</f>
        <v>45938</v>
      </c>
      <c r="W25" s="2">
        <f>Tabela2[[#This Row],[Coluna6]]</f>
        <v>45938</v>
      </c>
    </row>
    <row r="26" spans="2:23" x14ac:dyDescent="0.2">
      <c r="B26" t="s">
        <v>18</v>
      </c>
      <c r="C26" t="s">
        <v>95</v>
      </c>
      <c r="D26" t="s">
        <v>13</v>
      </c>
      <c r="E26" s="8">
        <v>45938</v>
      </c>
      <c r="F26" t="s">
        <v>15</v>
      </c>
      <c r="G26" s="8">
        <v>45938</v>
      </c>
      <c r="H26" t="s">
        <v>435</v>
      </c>
      <c r="I26" t="e">
        <f>VLOOKUP(Tabela2[[#This Row],[Coluna7]],[1]!Tabela1[#All],2,0)</f>
        <v>#REF!</v>
      </c>
      <c r="J26" t="s">
        <v>737</v>
      </c>
      <c r="L26">
        <v>40.28</v>
      </c>
      <c r="Q26" s="10" t="str">
        <f>Tabela2[[#This Row],[Coluna5]]</f>
        <v>10/2025</v>
      </c>
      <c r="R26" s="10" t="str">
        <f>IF(Tabela2[[#This Row],[Coluna9]]&gt;0,"Entrada","Saída")</f>
        <v>Saída</v>
      </c>
      <c r="S26" s="10" t="str">
        <f>Tabela2[[#This Row],[Coluna8]]</f>
        <v>CARTÃO SANTANDER</v>
      </c>
      <c r="T26" s="10" t="e">
        <f>Tabela2[[#This Row],[Coluna72]]</f>
        <v>#REF!</v>
      </c>
      <c r="U26" s="10">
        <f>SUM(Tabela2[[#This Row],[Coluna9]],Tabela2[[#This Row],[Coluna10]])</f>
        <v>40.28</v>
      </c>
      <c r="V26" s="2">
        <f>Tabela2[[#This Row],[Coluna4]]</f>
        <v>45938</v>
      </c>
      <c r="W26" s="2">
        <f>Tabela2[[#This Row],[Coluna6]]</f>
        <v>45938</v>
      </c>
    </row>
    <row r="27" spans="2:23" x14ac:dyDescent="0.2">
      <c r="B27" t="s">
        <v>18</v>
      </c>
      <c r="C27" t="s">
        <v>95</v>
      </c>
      <c r="D27" t="s">
        <v>13</v>
      </c>
      <c r="E27" s="8">
        <v>45938</v>
      </c>
      <c r="F27" t="s">
        <v>15</v>
      </c>
      <c r="G27" s="8">
        <v>45938</v>
      </c>
      <c r="H27" t="s">
        <v>458</v>
      </c>
      <c r="I27" t="e">
        <f>VLOOKUP(Tabela2[[#This Row],[Coluna7]],[1]!Tabela1[#All],2,0)</f>
        <v>#REF!</v>
      </c>
      <c r="J27" t="s">
        <v>737</v>
      </c>
      <c r="L27">
        <v>200</v>
      </c>
      <c r="Q27" s="10" t="str">
        <f>Tabela2[[#This Row],[Coluna5]]</f>
        <v>10/2025</v>
      </c>
      <c r="R27" s="10" t="str">
        <f>IF(Tabela2[[#This Row],[Coluna9]]&gt;0,"Entrada","Saída")</f>
        <v>Saída</v>
      </c>
      <c r="S27" s="10" t="str">
        <f>Tabela2[[#This Row],[Coluna8]]</f>
        <v>CARTÃO SANTANDER</v>
      </c>
      <c r="T27" s="10" t="e">
        <f>Tabela2[[#This Row],[Coluna72]]</f>
        <v>#REF!</v>
      </c>
      <c r="U27" s="10">
        <f>SUM(Tabela2[[#This Row],[Coluna9]],Tabela2[[#This Row],[Coluna10]])</f>
        <v>200</v>
      </c>
      <c r="V27" s="2">
        <f>Tabela2[[#This Row],[Coluna4]]</f>
        <v>45938</v>
      </c>
      <c r="W27" s="2">
        <f>Tabela2[[#This Row],[Coluna6]]</f>
        <v>45938</v>
      </c>
    </row>
    <row r="28" spans="2:23" x14ac:dyDescent="0.2">
      <c r="B28" t="s">
        <v>18</v>
      </c>
      <c r="C28" t="s">
        <v>95</v>
      </c>
      <c r="D28" t="s">
        <v>13</v>
      </c>
      <c r="E28" s="8">
        <v>45938</v>
      </c>
      <c r="F28" t="s">
        <v>15</v>
      </c>
      <c r="G28" s="8">
        <v>45938</v>
      </c>
      <c r="H28" t="s">
        <v>528</v>
      </c>
      <c r="I28" t="e">
        <f>VLOOKUP(Tabela2[[#This Row],[Coluna7]],[1]!Tabela1[#All],2,0)</f>
        <v>#REF!</v>
      </c>
      <c r="J28" t="s">
        <v>737</v>
      </c>
      <c r="L28">
        <v>114.4</v>
      </c>
      <c r="Q28" s="10" t="str">
        <f>Tabela2[[#This Row],[Coluna5]]</f>
        <v>10/2025</v>
      </c>
      <c r="R28" s="10" t="str">
        <f>IF(Tabela2[[#This Row],[Coluna9]]&gt;0,"Entrada","Saída")</f>
        <v>Saída</v>
      </c>
      <c r="S28" s="10" t="str">
        <f>Tabela2[[#This Row],[Coluna8]]</f>
        <v>CARTÃO SANTANDER</v>
      </c>
      <c r="T28" s="10" t="e">
        <f>Tabela2[[#This Row],[Coluna72]]</f>
        <v>#REF!</v>
      </c>
      <c r="U28" s="10">
        <f>SUM(Tabela2[[#This Row],[Coluna9]],Tabela2[[#This Row],[Coluna10]])</f>
        <v>114.4</v>
      </c>
      <c r="V28" s="2">
        <f>Tabela2[[#This Row],[Coluna4]]</f>
        <v>45938</v>
      </c>
      <c r="W28" s="2">
        <f>Tabela2[[#This Row],[Coluna6]]</f>
        <v>45938</v>
      </c>
    </row>
    <row r="29" spans="2:23" x14ac:dyDescent="0.2">
      <c r="B29" t="s">
        <v>18</v>
      </c>
      <c r="C29" t="s">
        <v>95</v>
      </c>
      <c r="D29" t="s">
        <v>13</v>
      </c>
      <c r="E29" s="8">
        <v>45938</v>
      </c>
      <c r="F29" t="s">
        <v>15</v>
      </c>
      <c r="G29" s="8">
        <v>45938</v>
      </c>
      <c r="H29" t="s">
        <v>693</v>
      </c>
      <c r="I29" t="e">
        <f>VLOOKUP(Tabela2[[#This Row],[Coluna7]],[1]!Tabela1[#All],2,0)</f>
        <v>#REF!</v>
      </c>
      <c r="J29" t="s">
        <v>737</v>
      </c>
      <c r="L29">
        <v>39</v>
      </c>
      <c r="Q29" s="10" t="str">
        <f>Tabela2[[#This Row],[Coluna5]]</f>
        <v>10/2025</v>
      </c>
      <c r="R29" s="10" t="str">
        <f>IF(Tabela2[[#This Row],[Coluna9]]&gt;0,"Entrada","Saída")</f>
        <v>Saída</v>
      </c>
      <c r="S29" s="10" t="str">
        <f>Tabela2[[#This Row],[Coluna8]]</f>
        <v>CARTÃO SANTANDER</v>
      </c>
      <c r="T29" s="10" t="e">
        <f>Tabela2[[#This Row],[Coluna72]]</f>
        <v>#REF!</v>
      </c>
      <c r="U29" s="10">
        <f>SUM(Tabela2[[#This Row],[Coluna9]],Tabela2[[#This Row],[Coluna10]])</f>
        <v>39</v>
      </c>
      <c r="V29" s="2">
        <f>Tabela2[[#This Row],[Coluna4]]</f>
        <v>45938</v>
      </c>
      <c r="W29" s="2">
        <f>Tabela2[[#This Row],[Coluna6]]</f>
        <v>45938</v>
      </c>
    </row>
    <row r="30" spans="2:23" x14ac:dyDescent="0.2">
      <c r="B30" t="s">
        <v>18</v>
      </c>
      <c r="C30" t="s">
        <v>95</v>
      </c>
      <c r="D30" t="s">
        <v>13</v>
      </c>
      <c r="E30" s="8">
        <v>45938</v>
      </c>
      <c r="F30" t="s">
        <v>15</v>
      </c>
      <c r="G30" s="8">
        <v>45938</v>
      </c>
      <c r="H30" t="s">
        <v>538</v>
      </c>
      <c r="I30" t="e">
        <f>VLOOKUP(Tabela2[[#This Row],[Coluna7]],[1]!Tabela1[#All],2,0)</f>
        <v>#REF!</v>
      </c>
      <c r="J30" t="s">
        <v>737</v>
      </c>
      <c r="L30">
        <v>54.24</v>
      </c>
      <c r="Q30" s="10" t="str">
        <f>Tabela2[[#This Row],[Coluna5]]</f>
        <v>10/2025</v>
      </c>
      <c r="R30" s="10" t="str">
        <f>IF(Tabela2[[#This Row],[Coluna9]]&gt;0,"Entrada","Saída")</f>
        <v>Saída</v>
      </c>
      <c r="S30" s="10" t="str">
        <f>Tabela2[[#This Row],[Coluna8]]</f>
        <v>CARTÃO SANTANDER</v>
      </c>
      <c r="T30" s="10" t="e">
        <f>Tabela2[[#This Row],[Coluna72]]</f>
        <v>#REF!</v>
      </c>
      <c r="U30" s="10">
        <f>SUM(Tabela2[[#This Row],[Coluna9]],Tabela2[[#This Row],[Coluna10]])</f>
        <v>54.24</v>
      </c>
      <c r="V30" s="2">
        <f>Tabela2[[#This Row],[Coluna4]]</f>
        <v>45938</v>
      </c>
      <c r="W30" s="2">
        <f>Tabela2[[#This Row],[Coluna6]]</f>
        <v>45938</v>
      </c>
    </row>
    <row r="31" spans="2:23" x14ac:dyDescent="0.2">
      <c r="B31" t="s">
        <v>18</v>
      </c>
      <c r="C31" t="s">
        <v>95</v>
      </c>
      <c r="D31" t="s">
        <v>13</v>
      </c>
      <c r="E31" s="8">
        <v>45938</v>
      </c>
      <c r="F31" t="s">
        <v>15</v>
      </c>
      <c r="G31" s="8">
        <v>45938</v>
      </c>
      <c r="H31" t="s">
        <v>435</v>
      </c>
      <c r="I31" t="e">
        <f>VLOOKUP(Tabela2[[#This Row],[Coluna7]],[1]!Tabela1[#All],2,0)</f>
        <v>#REF!</v>
      </c>
      <c r="J31" t="s">
        <v>737</v>
      </c>
      <c r="L31">
        <v>33.65</v>
      </c>
      <c r="Q31" s="10" t="str">
        <f>Tabela2[[#This Row],[Coluna5]]</f>
        <v>10/2025</v>
      </c>
      <c r="R31" s="10" t="str">
        <f>IF(Tabela2[[#This Row],[Coluna9]]&gt;0,"Entrada","Saída")</f>
        <v>Saída</v>
      </c>
      <c r="S31" s="10" t="str">
        <f>Tabela2[[#This Row],[Coluna8]]</f>
        <v>CARTÃO SANTANDER</v>
      </c>
      <c r="T31" s="10" t="e">
        <f>Tabela2[[#This Row],[Coluna72]]</f>
        <v>#REF!</v>
      </c>
      <c r="U31" s="10">
        <f>SUM(Tabela2[[#This Row],[Coluna9]],Tabela2[[#This Row],[Coluna10]])</f>
        <v>33.65</v>
      </c>
      <c r="V31" s="2">
        <f>Tabela2[[#This Row],[Coluna4]]</f>
        <v>45938</v>
      </c>
      <c r="W31" s="2">
        <f>Tabela2[[#This Row],[Coluna6]]</f>
        <v>45938</v>
      </c>
    </row>
    <row r="32" spans="2:23" x14ac:dyDescent="0.2">
      <c r="B32" t="s">
        <v>18</v>
      </c>
      <c r="C32" t="s">
        <v>95</v>
      </c>
      <c r="D32" t="s">
        <v>13</v>
      </c>
      <c r="E32" s="8">
        <v>45938</v>
      </c>
      <c r="F32" t="s">
        <v>15</v>
      </c>
      <c r="G32" s="8">
        <v>45938</v>
      </c>
      <c r="H32" t="s">
        <v>469</v>
      </c>
      <c r="I32" t="e">
        <f>VLOOKUP(Tabela2[[#This Row],[Coluna7]],[1]!Tabela1[#All],2,0)</f>
        <v>#REF!</v>
      </c>
      <c r="J32" t="s">
        <v>737</v>
      </c>
      <c r="L32">
        <v>53.7</v>
      </c>
      <c r="Q32" s="10" t="str">
        <f>Tabela2[[#This Row],[Coluna5]]</f>
        <v>10/2025</v>
      </c>
      <c r="R32" s="10" t="str">
        <f>IF(Tabela2[[#This Row],[Coluna9]]&gt;0,"Entrada","Saída")</f>
        <v>Saída</v>
      </c>
      <c r="S32" s="10" t="str">
        <f>Tabela2[[#This Row],[Coluna8]]</f>
        <v>CARTÃO SANTANDER</v>
      </c>
      <c r="T32" s="10" t="e">
        <f>Tabela2[[#This Row],[Coluna72]]</f>
        <v>#REF!</v>
      </c>
      <c r="U32" s="10">
        <f>SUM(Tabela2[[#This Row],[Coluna9]],Tabela2[[#This Row],[Coluna10]])</f>
        <v>53.7</v>
      </c>
      <c r="V32" s="2">
        <f>Tabela2[[#This Row],[Coluna4]]</f>
        <v>45938</v>
      </c>
      <c r="W32" s="2">
        <f>Tabela2[[#This Row],[Coluna6]]</f>
        <v>45938</v>
      </c>
    </row>
    <row r="33" spans="2:23" x14ac:dyDescent="0.2">
      <c r="B33" t="s">
        <v>18</v>
      </c>
      <c r="C33" t="s">
        <v>95</v>
      </c>
      <c r="D33" t="s">
        <v>13</v>
      </c>
      <c r="E33" s="8">
        <v>45938</v>
      </c>
      <c r="F33" t="s">
        <v>15</v>
      </c>
      <c r="G33" s="8">
        <v>45938</v>
      </c>
      <c r="H33" t="s">
        <v>538</v>
      </c>
      <c r="I33" t="e">
        <f>VLOOKUP(Tabela2[[#This Row],[Coluna7]],[1]!Tabela1[#All],2,0)</f>
        <v>#REF!</v>
      </c>
      <c r="J33" t="s">
        <v>737</v>
      </c>
      <c r="L33">
        <v>24.5</v>
      </c>
      <c r="Q33" s="10" t="str">
        <f>Tabela2[[#This Row],[Coluna5]]</f>
        <v>10/2025</v>
      </c>
      <c r="R33" s="10" t="str">
        <f>IF(Tabela2[[#This Row],[Coluna9]]&gt;0,"Entrada","Saída")</f>
        <v>Saída</v>
      </c>
      <c r="S33" s="10" t="str">
        <f>Tabela2[[#This Row],[Coluna8]]</f>
        <v>CARTÃO SANTANDER</v>
      </c>
      <c r="T33" s="10" t="e">
        <f>Tabela2[[#This Row],[Coluna72]]</f>
        <v>#REF!</v>
      </c>
      <c r="U33" s="10">
        <f>SUM(Tabela2[[#This Row],[Coluna9]],Tabela2[[#This Row],[Coluna10]])</f>
        <v>24.5</v>
      </c>
      <c r="V33" s="2">
        <f>Tabela2[[#This Row],[Coluna4]]</f>
        <v>45938</v>
      </c>
      <c r="W33" s="2">
        <f>Tabela2[[#This Row],[Coluna6]]</f>
        <v>45938</v>
      </c>
    </row>
    <row r="34" spans="2:23" x14ac:dyDescent="0.2">
      <c r="B34" t="s">
        <v>18</v>
      </c>
      <c r="C34" t="s">
        <v>95</v>
      </c>
      <c r="D34" t="s">
        <v>13</v>
      </c>
      <c r="E34" s="8">
        <v>45938</v>
      </c>
      <c r="F34" t="s">
        <v>15</v>
      </c>
      <c r="G34" s="8">
        <v>45938</v>
      </c>
      <c r="H34" t="s">
        <v>538</v>
      </c>
      <c r="I34" t="e">
        <f>VLOOKUP(Tabela2[[#This Row],[Coluna7]],[1]!Tabela1[#All],2,0)</f>
        <v>#REF!</v>
      </c>
      <c r="J34" t="s">
        <v>737</v>
      </c>
      <c r="L34">
        <v>178.58</v>
      </c>
      <c r="Q34" s="10" t="str">
        <f>Tabela2[[#This Row],[Coluna5]]</f>
        <v>10/2025</v>
      </c>
      <c r="R34" s="10" t="str">
        <f>IF(Tabela2[[#This Row],[Coluna9]]&gt;0,"Entrada","Saída")</f>
        <v>Saída</v>
      </c>
      <c r="S34" s="10" t="str">
        <f>Tabela2[[#This Row],[Coluna8]]</f>
        <v>CARTÃO SANTANDER</v>
      </c>
      <c r="T34" s="10" t="e">
        <f>Tabela2[[#This Row],[Coluna72]]</f>
        <v>#REF!</v>
      </c>
      <c r="U34" s="10">
        <f>SUM(Tabela2[[#This Row],[Coluna9]],Tabela2[[#This Row],[Coluna10]])</f>
        <v>178.58</v>
      </c>
      <c r="V34" s="2">
        <f>Tabela2[[#This Row],[Coluna4]]</f>
        <v>45938</v>
      </c>
      <c r="W34" s="2">
        <f>Tabela2[[#This Row],[Coluna6]]</f>
        <v>45938</v>
      </c>
    </row>
    <row r="35" spans="2:23" x14ac:dyDescent="0.2">
      <c r="B35" t="s">
        <v>18</v>
      </c>
      <c r="C35" t="s">
        <v>95</v>
      </c>
      <c r="D35" t="s">
        <v>13</v>
      </c>
      <c r="E35" s="8">
        <v>45938</v>
      </c>
      <c r="F35" t="s">
        <v>15</v>
      </c>
      <c r="G35" s="8">
        <v>45938</v>
      </c>
      <c r="H35" t="s">
        <v>739</v>
      </c>
      <c r="I35" t="e">
        <f>VLOOKUP(Tabela2[[#This Row],[Coluna7]],[1]!Tabela1[#All],2,0)</f>
        <v>#REF!</v>
      </c>
      <c r="J35" t="s">
        <v>737</v>
      </c>
      <c r="L35">
        <v>4</v>
      </c>
      <c r="Q35" s="10" t="str">
        <f>Tabela2[[#This Row],[Coluna5]]</f>
        <v>10/2025</v>
      </c>
      <c r="R35" s="10" t="str">
        <f>IF(Tabela2[[#This Row],[Coluna9]]&gt;0,"Entrada","Saída")</f>
        <v>Saída</v>
      </c>
      <c r="S35" s="10" t="str">
        <f>Tabela2[[#This Row],[Coluna8]]</f>
        <v>CARTÃO SANTANDER</v>
      </c>
      <c r="T35" s="10" t="e">
        <f>Tabela2[[#This Row],[Coluna72]]</f>
        <v>#REF!</v>
      </c>
      <c r="U35" s="10">
        <f>SUM(Tabela2[[#This Row],[Coluna9]],Tabela2[[#This Row],[Coluna10]])</f>
        <v>4</v>
      </c>
      <c r="V35" s="2">
        <f>Tabela2[[#This Row],[Coluna4]]</f>
        <v>45938</v>
      </c>
      <c r="W35" s="2">
        <f>Tabela2[[#This Row],[Coluna6]]</f>
        <v>45938</v>
      </c>
    </row>
    <row r="36" spans="2:23" x14ac:dyDescent="0.2">
      <c r="B36" t="s">
        <v>18</v>
      </c>
      <c r="C36" t="s">
        <v>95</v>
      </c>
      <c r="D36" t="s">
        <v>13</v>
      </c>
      <c r="E36" s="8">
        <v>45938</v>
      </c>
      <c r="F36" t="s">
        <v>15</v>
      </c>
      <c r="G36" s="8">
        <v>45938</v>
      </c>
      <c r="H36" t="s">
        <v>438</v>
      </c>
      <c r="I36" t="e">
        <f>VLOOKUP(Tabela2[[#This Row],[Coluna7]],[1]!Tabela1[#All],2,0)</f>
        <v>#REF!</v>
      </c>
      <c r="J36" t="s">
        <v>737</v>
      </c>
      <c r="L36">
        <v>68.09</v>
      </c>
      <c r="Q36" s="10" t="str">
        <f>Tabela2[[#This Row],[Coluna5]]</f>
        <v>10/2025</v>
      </c>
      <c r="R36" s="10" t="str">
        <f>IF(Tabela2[[#This Row],[Coluna9]]&gt;0,"Entrada","Saída")</f>
        <v>Saída</v>
      </c>
      <c r="S36" s="10" t="str">
        <f>Tabela2[[#This Row],[Coluna8]]</f>
        <v>CARTÃO SANTANDER</v>
      </c>
      <c r="T36" s="10" t="e">
        <f>Tabela2[[#This Row],[Coluna72]]</f>
        <v>#REF!</v>
      </c>
      <c r="U36" s="10">
        <f>SUM(Tabela2[[#This Row],[Coluna9]],Tabela2[[#This Row],[Coluna10]])</f>
        <v>68.09</v>
      </c>
      <c r="V36" s="2">
        <f>Tabela2[[#This Row],[Coluna4]]</f>
        <v>45938</v>
      </c>
      <c r="W36" s="2">
        <f>Tabela2[[#This Row],[Coluna6]]</f>
        <v>45938</v>
      </c>
    </row>
    <row r="37" spans="2:23" x14ac:dyDescent="0.2">
      <c r="B37" t="s">
        <v>18</v>
      </c>
      <c r="C37" t="s">
        <v>95</v>
      </c>
      <c r="D37" t="s">
        <v>13</v>
      </c>
      <c r="E37" s="8">
        <v>45938</v>
      </c>
      <c r="F37" t="s">
        <v>15</v>
      </c>
      <c r="G37" s="8">
        <v>45938</v>
      </c>
      <c r="H37" t="s">
        <v>469</v>
      </c>
      <c r="I37" t="e">
        <f>VLOOKUP(Tabela2[[#This Row],[Coluna7]],[1]!Tabela1[#All],2,0)</f>
        <v>#REF!</v>
      </c>
      <c r="J37" t="s">
        <v>737</v>
      </c>
      <c r="L37">
        <v>91.67</v>
      </c>
      <c r="Q37" s="10" t="str">
        <f>Tabela2[[#This Row],[Coluna5]]</f>
        <v>10/2025</v>
      </c>
      <c r="R37" s="10" t="str">
        <f>IF(Tabela2[[#This Row],[Coluna9]]&gt;0,"Entrada","Saída")</f>
        <v>Saída</v>
      </c>
      <c r="S37" s="10" t="str">
        <f>Tabela2[[#This Row],[Coluna8]]</f>
        <v>CARTÃO SANTANDER</v>
      </c>
      <c r="T37" s="10" t="e">
        <f>Tabela2[[#This Row],[Coluna72]]</f>
        <v>#REF!</v>
      </c>
      <c r="U37" s="10">
        <f>SUM(Tabela2[[#This Row],[Coluna9]],Tabela2[[#This Row],[Coluna10]])</f>
        <v>91.67</v>
      </c>
      <c r="V37" s="2">
        <f>Tabela2[[#This Row],[Coluna4]]</f>
        <v>45938</v>
      </c>
      <c r="W37" s="2">
        <f>Tabela2[[#This Row],[Coluna6]]</f>
        <v>45938</v>
      </c>
    </row>
    <row r="38" spans="2:23" x14ac:dyDescent="0.2">
      <c r="B38" t="s">
        <v>18</v>
      </c>
      <c r="C38" t="s">
        <v>95</v>
      </c>
      <c r="D38" t="s">
        <v>13</v>
      </c>
      <c r="E38" s="8">
        <v>45938</v>
      </c>
      <c r="F38" t="s">
        <v>15</v>
      </c>
      <c r="G38" s="8">
        <v>45938</v>
      </c>
      <c r="H38" t="s">
        <v>570</v>
      </c>
      <c r="I38" t="e">
        <f>VLOOKUP(Tabela2[[#This Row],[Coluna7]],[1]!Tabela1[#All],2,0)</f>
        <v>#REF!</v>
      </c>
      <c r="J38" t="s">
        <v>737</v>
      </c>
      <c r="L38">
        <v>94.9</v>
      </c>
      <c r="Q38" s="10" t="str">
        <f>Tabela2[[#This Row],[Coluna5]]</f>
        <v>10/2025</v>
      </c>
      <c r="R38" s="10" t="str">
        <f>IF(Tabela2[[#This Row],[Coluna9]]&gt;0,"Entrada","Saída")</f>
        <v>Saída</v>
      </c>
      <c r="S38" s="10" t="str">
        <f>Tabela2[[#This Row],[Coluna8]]</f>
        <v>CARTÃO SANTANDER</v>
      </c>
      <c r="T38" s="10" t="e">
        <f>Tabela2[[#This Row],[Coluna72]]</f>
        <v>#REF!</v>
      </c>
      <c r="U38" s="10">
        <f>SUM(Tabela2[[#This Row],[Coluna9]],Tabela2[[#This Row],[Coluna10]])</f>
        <v>94.9</v>
      </c>
      <c r="V38" s="2">
        <f>Tabela2[[#This Row],[Coluna4]]</f>
        <v>45938</v>
      </c>
      <c r="W38" s="2">
        <f>Tabela2[[#This Row],[Coluna6]]</f>
        <v>45938</v>
      </c>
    </row>
    <row r="39" spans="2:23" x14ac:dyDescent="0.2">
      <c r="B39" t="s">
        <v>18</v>
      </c>
      <c r="C39" t="s">
        <v>95</v>
      </c>
      <c r="D39" t="s">
        <v>13</v>
      </c>
      <c r="E39" s="8">
        <v>45938</v>
      </c>
      <c r="F39" t="s">
        <v>15</v>
      </c>
      <c r="G39" s="8">
        <v>45938</v>
      </c>
      <c r="H39" t="s">
        <v>570</v>
      </c>
      <c r="I39" t="e">
        <f>VLOOKUP(Tabela2[[#This Row],[Coluna7]],[1]!Tabela1[#All],2,0)</f>
        <v>#REF!</v>
      </c>
      <c r="J39" t="s">
        <v>737</v>
      </c>
      <c r="L39">
        <v>127.85</v>
      </c>
      <c r="Q39" s="10" t="str">
        <f>Tabela2[[#This Row],[Coluna5]]</f>
        <v>10/2025</v>
      </c>
      <c r="R39" s="10" t="str">
        <f>IF(Tabela2[[#This Row],[Coluna9]]&gt;0,"Entrada","Saída")</f>
        <v>Saída</v>
      </c>
      <c r="S39" s="10" t="str">
        <f>Tabela2[[#This Row],[Coluna8]]</f>
        <v>CARTÃO SANTANDER</v>
      </c>
      <c r="T39" s="10" t="e">
        <f>Tabela2[[#This Row],[Coluna72]]</f>
        <v>#REF!</v>
      </c>
      <c r="U39" s="10">
        <f>SUM(Tabela2[[#This Row],[Coluna9]],Tabela2[[#This Row],[Coluna10]])</f>
        <v>127.85</v>
      </c>
      <c r="V39" s="2">
        <f>Tabela2[[#This Row],[Coluna4]]</f>
        <v>45938</v>
      </c>
      <c r="W39" s="2">
        <f>Tabela2[[#This Row],[Coluna6]]</f>
        <v>45938</v>
      </c>
    </row>
    <row r="40" spans="2:23" x14ac:dyDescent="0.2">
      <c r="B40" t="s">
        <v>18</v>
      </c>
      <c r="C40" t="s">
        <v>95</v>
      </c>
      <c r="D40" t="s">
        <v>13</v>
      </c>
      <c r="E40" s="8">
        <v>45938</v>
      </c>
      <c r="F40" t="s">
        <v>15</v>
      </c>
      <c r="G40" s="8">
        <v>45938</v>
      </c>
      <c r="H40" t="s">
        <v>443</v>
      </c>
      <c r="I40" t="e">
        <f>VLOOKUP(Tabela2[[#This Row],[Coluna7]],[1]!Tabela1[#All],2,0)</f>
        <v>#REF!</v>
      </c>
      <c r="J40" t="s">
        <v>741</v>
      </c>
      <c r="L40">
        <v>78.349999999999994</v>
      </c>
      <c r="Q40" s="10" t="str">
        <f>Tabela2[[#This Row],[Coluna5]]</f>
        <v>10/2025</v>
      </c>
      <c r="R40" s="10" t="str">
        <f>IF(Tabela2[[#This Row],[Coluna9]]&gt;0,"Entrada","Saída")</f>
        <v>Saída</v>
      </c>
      <c r="S40" s="10" t="str">
        <f>Tabela2[[#This Row],[Coluna8]]</f>
        <v>CARTÃO NUBANK</v>
      </c>
      <c r="T40" s="10" t="e">
        <f>Tabela2[[#This Row],[Coluna72]]</f>
        <v>#REF!</v>
      </c>
      <c r="U40" s="10">
        <f>SUM(Tabela2[[#This Row],[Coluna9]],Tabela2[[#This Row],[Coluna10]])</f>
        <v>78.349999999999994</v>
      </c>
      <c r="V40" s="2">
        <f>Tabela2[[#This Row],[Coluna4]]</f>
        <v>45938</v>
      </c>
      <c r="W40" s="2">
        <f>Tabela2[[#This Row],[Coluna6]]</f>
        <v>45938</v>
      </c>
    </row>
    <row r="41" spans="2:23" x14ac:dyDescent="0.2">
      <c r="B41" t="s">
        <v>18</v>
      </c>
      <c r="C41" t="s">
        <v>95</v>
      </c>
      <c r="D41" t="s">
        <v>13</v>
      </c>
      <c r="E41" s="8">
        <v>45938</v>
      </c>
      <c r="F41" t="s">
        <v>15</v>
      </c>
      <c r="G41" s="8">
        <v>45938</v>
      </c>
      <c r="H41" t="s">
        <v>538</v>
      </c>
      <c r="I41" t="e">
        <f>VLOOKUP(Tabela2[[#This Row],[Coluna7]],[1]!Tabela1[#All],2,0)</f>
        <v>#REF!</v>
      </c>
      <c r="J41" t="s">
        <v>741</v>
      </c>
      <c r="L41">
        <v>1431.65</v>
      </c>
      <c r="Q41" s="10" t="str">
        <f>Tabela2[[#This Row],[Coluna5]]</f>
        <v>10/2025</v>
      </c>
      <c r="R41" s="10" t="str">
        <f>IF(Tabela2[[#This Row],[Coluna9]]&gt;0,"Entrada","Saída")</f>
        <v>Saída</v>
      </c>
      <c r="S41" s="10" t="str">
        <f>Tabela2[[#This Row],[Coluna8]]</f>
        <v>CARTÃO NUBANK</v>
      </c>
      <c r="T41" s="10" t="e">
        <f>Tabela2[[#This Row],[Coluna72]]</f>
        <v>#REF!</v>
      </c>
      <c r="U41" s="10">
        <f>SUM(Tabela2[[#This Row],[Coluna9]],Tabela2[[#This Row],[Coluna10]])</f>
        <v>1431.65</v>
      </c>
      <c r="V41" s="2">
        <f>Tabela2[[#This Row],[Coluna4]]</f>
        <v>45938</v>
      </c>
      <c r="W41" s="2">
        <f>Tabela2[[#This Row],[Coluna6]]</f>
        <v>45938</v>
      </c>
    </row>
    <row r="42" spans="2:23" x14ac:dyDescent="0.2">
      <c r="B42" t="s">
        <v>27</v>
      </c>
      <c r="C42" t="s">
        <v>95</v>
      </c>
      <c r="D42" t="s">
        <v>13</v>
      </c>
      <c r="E42" s="8">
        <v>45939</v>
      </c>
      <c r="F42" t="s">
        <v>15</v>
      </c>
      <c r="G42" s="8">
        <v>45939</v>
      </c>
      <c r="H42" t="s">
        <v>538</v>
      </c>
      <c r="I42" t="e">
        <f>VLOOKUP(Tabela2[[#This Row],[Coluna7]],[1]!Tabela1[#All],2,0)</f>
        <v>#REF!</v>
      </c>
      <c r="J42" t="s">
        <v>742</v>
      </c>
      <c r="L42">
        <v>15.86</v>
      </c>
      <c r="Q42" s="10" t="str">
        <f>Tabela2[[#This Row],[Coluna5]]</f>
        <v>10/2025</v>
      </c>
      <c r="R42" s="10" t="str">
        <f>IF(Tabela2[[#This Row],[Coluna9]]&gt;0,"Entrada","Saída")</f>
        <v>Saída</v>
      </c>
      <c r="S42" s="10" t="str">
        <f>Tabela2[[#This Row],[Coluna8]]</f>
        <v>CARTÃO HIPERCARD</v>
      </c>
      <c r="T42" s="10" t="e">
        <f>Tabela2[[#This Row],[Coluna72]]</f>
        <v>#REF!</v>
      </c>
      <c r="U42" s="10">
        <f>SUM(Tabela2[[#This Row],[Coluna9]],Tabela2[[#This Row],[Coluna10]])</f>
        <v>15.86</v>
      </c>
      <c r="V42" s="2">
        <f>Tabela2[[#This Row],[Coluna4]]</f>
        <v>45939</v>
      </c>
      <c r="W42" s="2">
        <f>Tabela2[[#This Row],[Coluna6]]</f>
        <v>45939</v>
      </c>
    </row>
    <row r="43" spans="2:23" x14ac:dyDescent="0.2">
      <c r="B43" t="s">
        <v>27</v>
      </c>
      <c r="C43" t="s">
        <v>95</v>
      </c>
      <c r="D43" t="s">
        <v>13</v>
      </c>
      <c r="E43" s="8">
        <v>45939</v>
      </c>
      <c r="F43" t="s">
        <v>15</v>
      </c>
      <c r="G43" s="8">
        <v>45939</v>
      </c>
      <c r="H43" t="s">
        <v>693</v>
      </c>
      <c r="I43" t="e">
        <f>VLOOKUP(Tabela2[[#This Row],[Coluna7]],[1]!Tabela1[#All],2,0)</f>
        <v>#REF!</v>
      </c>
      <c r="J43" t="s">
        <v>743</v>
      </c>
      <c r="L43">
        <v>16.989999999999998</v>
      </c>
      <c r="Q43" s="10" t="str">
        <f>Tabela2[[#This Row],[Coluna5]]</f>
        <v>10/2025</v>
      </c>
      <c r="R43" s="10" t="str">
        <f>IF(Tabela2[[#This Row],[Coluna9]]&gt;0,"Entrada","Saída")</f>
        <v>Saída</v>
      </c>
      <c r="S43" s="10" t="str">
        <f>Tabela2[[#This Row],[Coluna8]]</f>
        <v>CARTÃO CARREFOUR</v>
      </c>
      <c r="T43" s="10" t="e">
        <f>Tabela2[[#This Row],[Coluna72]]</f>
        <v>#REF!</v>
      </c>
      <c r="U43" s="10">
        <f>SUM(Tabela2[[#This Row],[Coluna9]],Tabela2[[#This Row],[Coluna10]])</f>
        <v>16.989999999999998</v>
      </c>
      <c r="V43" s="2">
        <f>Tabela2[[#This Row],[Coluna4]]</f>
        <v>45939</v>
      </c>
      <c r="W43" s="2">
        <f>Tabela2[[#This Row],[Coluna6]]</f>
        <v>45939</v>
      </c>
    </row>
    <row r="44" spans="2:23" x14ac:dyDescent="0.2">
      <c r="B44" t="s">
        <v>27</v>
      </c>
      <c r="C44" t="s">
        <v>95</v>
      </c>
      <c r="D44" t="s">
        <v>13</v>
      </c>
      <c r="E44" s="8">
        <v>45939</v>
      </c>
      <c r="F44" t="s">
        <v>15</v>
      </c>
      <c r="G44" s="8">
        <v>45939</v>
      </c>
      <c r="H44" t="s">
        <v>445</v>
      </c>
      <c r="I44" t="e">
        <f>VLOOKUP(Tabela2[[#This Row],[Coluna7]],[1]!Tabela1[#All],2,0)</f>
        <v>#REF!</v>
      </c>
      <c r="J44" t="s">
        <v>743</v>
      </c>
      <c r="L44">
        <v>58</v>
      </c>
      <c r="Q44" s="10" t="str">
        <f>Tabela2[[#This Row],[Coluna5]]</f>
        <v>10/2025</v>
      </c>
      <c r="R44" s="10" t="str">
        <f>IF(Tabela2[[#This Row],[Coluna9]]&gt;0,"Entrada","Saída")</f>
        <v>Saída</v>
      </c>
      <c r="S44" s="10" t="str">
        <f>Tabela2[[#This Row],[Coluna8]]</f>
        <v>CARTÃO CARREFOUR</v>
      </c>
      <c r="T44" s="10" t="e">
        <f>Tabela2[[#This Row],[Coluna72]]</f>
        <v>#REF!</v>
      </c>
      <c r="U44" s="10">
        <f>SUM(Tabela2[[#This Row],[Coluna9]],Tabela2[[#This Row],[Coluna10]])</f>
        <v>58</v>
      </c>
      <c r="V44" s="2">
        <f>Tabela2[[#This Row],[Coluna4]]</f>
        <v>45939</v>
      </c>
      <c r="W44" s="2">
        <f>Tabela2[[#This Row],[Coluna6]]</f>
        <v>45939</v>
      </c>
    </row>
    <row r="45" spans="2:23" x14ac:dyDescent="0.2">
      <c r="B45" t="s">
        <v>27</v>
      </c>
      <c r="C45" t="s">
        <v>95</v>
      </c>
      <c r="D45" t="s">
        <v>13</v>
      </c>
      <c r="E45" s="8">
        <v>45939</v>
      </c>
      <c r="F45" t="s">
        <v>15</v>
      </c>
      <c r="G45" s="8">
        <v>45939</v>
      </c>
      <c r="H45" t="s">
        <v>435</v>
      </c>
      <c r="I45" t="e">
        <f>VLOOKUP(Tabela2[[#This Row],[Coluna7]],[1]!Tabela1[#All],2,0)</f>
        <v>#REF!</v>
      </c>
      <c r="J45" t="s">
        <v>743</v>
      </c>
      <c r="L45">
        <v>221.08</v>
      </c>
      <c r="Q45" s="10" t="str">
        <f>Tabela2[[#This Row],[Coluna5]]</f>
        <v>10/2025</v>
      </c>
      <c r="R45" s="10" t="str">
        <f>IF(Tabela2[[#This Row],[Coluna9]]&gt;0,"Entrada","Saída")</f>
        <v>Saída</v>
      </c>
      <c r="S45" s="10" t="str">
        <f>Tabela2[[#This Row],[Coluna8]]</f>
        <v>CARTÃO CARREFOUR</v>
      </c>
      <c r="T45" s="10" t="e">
        <f>Tabela2[[#This Row],[Coluna72]]</f>
        <v>#REF!</v>
      </c>
      <c r="U45" s="10">
        <f>SUM(Tabela2[[#This Row],[Coluna9]],Tabela2[[#This Row],[Coluna10]])</f>
        <v>221.08</v>
      </c>
      <c r="V45" s="2">
        <f>Tabela2[[#This Row],[Coluna4]]</f>
        <v>45939</v>
      </c>
      <c r="W45" s="2">
        <f>Tabela2[[#This Row],[Coluna6]]</f>
        <v>45939</v>
      </c>
    </row>
    <row r="46" spans="2:23" x14ac:dyDescent="0.2">
      <c r="B46" t="s">
        <v>27</v>
      </c>
      <c r="C46" t="s">
        <v>95</v>
      </c>
      <c r="D46" t="s">
        <v>13</v>
      </c>
      <c r="E46" s="8">
        <v>45939</v>
      </c>
      <c r="F46" t="s">
        <v>15</v>
      </c>
      <c r="G46" s="8">
        <v>45939</v>
      </c>
      <c r="H46" t="s">
        <v>538</v>
      </c>
      <c r="I46" t="e">
        <f>VLOOKUP(Tabela2[[#This Row],[Coluna7]],[1]!Tabela1[#All],2,0)</f>
        <v>#REF!</v>
      </c>
      <c r="J46" t="s">
        <v>743</v>
      </c>
      <c r="L46">
        <v>153.08000000000001</v>
      </c>
      <c r="Q46" s="10" t="str">
        <f>Tabela2[[#This Row],[Coluna5]]</f>
        <v>10/2025</v>
      </c>
      <c r="R46" s="10" t="str">
        <f>IF(Tabela2[[#This Row],[Coluna9]]&gt;0,"Entrada","Saída")</f>
        <v>Saída</v>
      </c>
      <c r="S46" s="10" t="str">
        <f>Tabela2[[#This Row],[Coluna8]]</f>
        <v>CARTÃO CARREFOUR</v>
      </c>
      <c r="T46" s="10" t="e">
        <f>Tabela2[[#This Row],[Coluna72]]</f>
        <v>#REF!</v>
      </c>
      <c r="U46" s="10">
        <f>SUM(Tabela2[[#This Row],[Coluna9]],Tabela2[[#This Row],[Coluna10]])</f>
        <v>153.08000000000001</v>
      </c>
      <c r="V46" s="2">
        <f>Tabela2[[#This Row],[Coluna4]]</f>
        <v>45939</v>
      </c>
      <c r="W46" s="2">
        <f>Tabela2[[#This Row],[Coluna6]]</f>
        <v>45939</v>
      </c>
    </row>
    <row r="47" spans="2:23" x14ac:dyDescent="0.2">
      <c r="B47" t="s">
        <v>27</v>
      </c>
      <c r="C47" t="s">
        <v>95</v>
      </c>
      <c r="D47" t="s">
        <v>13</v>
      </c>
      <c r="E47" s="8">
        <v>45939</v>
      </c>
      <c r="F47" t="s">
        <v>15</v>
      </c>
      <c r="G47" s="8">
        <v>45939</v>
      </c>
      <c r="H47" t="s">
        <v>538</v>
      </c>
      <c r="I47" t="e">
        <f>VLOOKUP(Tabela2[[#This Row],[Coluna7]],[1]!Tabela1[#All],2,0)</f>
        <v>#REF!</v>
      </c>
      <c r="J47" t="s">
        <v>743</v>
      </c>
      <c r="L47">
        <v>248.6</v>
      </c>
      <c r="Q47" s="10" t="str">
        <f>Tabela2[[#This Row],[Coluna5]]</f>
        <v>10/2025</v>
      </c>
      <c r="R47" s="10" t="str">
        <f>IF(Tabela2[[#This Row],[Coluna9]]&gt;0,"Entrada","Saída")</f>
        <v>Saída</v>
      </c>
      <c r="S47" s="10" t="str">
        <f>Tabela2[[#This Row],[Coluna8]]</f>
        <v>CARTÃO CARREFOUR</v>
      </c>
      <c r="T47" s="10" t="e">
        <f>Tabela2[[#This Row],[Coluna72]]</f>
        <v>#REF!</v>
      </c>
      <c r="U47" s="10">
        <f>SUM(Tabela2[[#This Row],[Coluna9]],Tabela2[[#This Row],[Coluna10]])</f>
        <v>248.6</v>
      </c>
      <c r="V47" s="2">
        <f>Tabela2[[#This Row],[Coluna4]]</f>
        <v>45939</v>
      </c>
      <c r="W47" s="2">
        <f>Tabela2[[#This Row],[Coluna6]]</f>
        <v>45939</v>
      </c>
    </row>
    <row r="48" spans="2:23" x14ac:dyDescent="0.2">
      <c r="B48" t="s">
        <v>18</v>
      </c>
      <c r="C48" t="s">
        <v>95</v>
      </c>
      <c r="D48" t="s">
        <v>13</v>
      </c>
      <c r="E48" s="8">
        <v>45964</v>
      </c>
      <c r="F48" t="s">
        <v>42</v>
      </c>
      <c r="G48" s="8">
        <v>45964</v>
      </c>
      <c r="H48" t="s">
        <v>445</v>
      </c>
      <c r="I48" t="e">
        <f>VLOOKUP(Tabela2[[#This Row],[Coluna7]],[1]!Tabela1[#All],2,0)</f>
        <v>#REF!</v>
      </c>
      <c r="J48" t="s">
        <v>744</v>
      </c>
      <c r="L48">
        <v>587.4</v>
      </c>
      <c r="Q48" s="10" t="str">
        <f>Tabela2[[#This Row],[Coluna5]]</f>
        <v>11/2025</v>
      </c>
      <c r="R48" s="10" t="str">
        <f>IF(Tabela2[[#This Row],[Coluna9]]&gt;0,"Entrada","Saída")</f>
        <v>Saída</v>
      </c>
      <c r="S48" s="10" t="str">
        <f>Tabela2[[#This Row],[Coluna8]]</f>
        <v xml:space="preserve">CARTÃO EFÍ </v>
      </c>
      <c r="T48" s="10" t="e">
        <f>Tabela2[[#This Row],[Coluna72]]</f>
        <v>#REF!</v>
      </c>
      <c r="U48" s="10">
        <f>SUM(Tabela2[[#This Row],[Coluna9]],Tabela2[[#This Row],[Coluna10]])</f>
        <v>587.4</v>
      </c>
      <c r="V48" s="2">
        <f>Tabela2[[#This Row],[Coluna4]]</f>
        <v>45964</v>
      </c>
      <c r="W48" s="2">
        <f>Tabela2[[#This Row],[Coluna6]]</f>
        <v>45964</v>
      </c>
    </row>
    <row r="49" spans="2:23" x14ac:dyDescent="0.2">
      <c r="B49" t="s">
        <v>18</v>
      </c>
      <c r="C49" t="s">
        <v>95</v>
      </c>
      <c r="D49" t="s">
        <v>13</v>
      </c>
      <c r="E49" s="8">
        <v>45964</v>
      </c>
      <c r="F49" t="s">
        <v>42</v>
      </c>
      <c r="G49" s="8">
        <v>45964</v>
      </c>
      <c r="H49" t="s">
        <v>443</v>
      </c>
      <c r="I49" t="e">
        <f>VLOOKUP(Tabela2[[#This Row],[Coluna7]],[1]!Tabela1[#All],2,0)</f>
        <v>#REF!</v>
      </c>
      <c r="J49" t="s">
        <v>744</v>
      </c>
      <c r="L49">
        <v>82.15</v>
      </c>
      <c r="Q49" s="10" t="str">
        <f>Tabela2[[#This Row],[Coluna5]]</f>
        <v>11/2025</v>
      </c>
      <c r="R49" s="10" t="str">
        <f>IF(Tabela2[[#This Row],[Coluna9]]&gt;0,"Entrada","Saída")</f>
        <v>Saída</v>
      </c>
      <c r="S49" s="10" t="str">
        <f>Tabela2[[#This Row],[Coluna8]]</f>
        <v xml:space="preserve">CARTÃO EFÍ </v>
      </c>
      <c r="T49" s="10" t="e">
        <f>Tabela2[[#This Row],[Coluna72]]</f>
        <v>#REF!</v>
      </c>
      <c r="U49" s="10">
        <f>SUM(Tabela2[[#This Row],[Coluna9]],Tabela2[[#This Row],[Coluna10]])</f>
        <v>82.15</v>
      </c>
      <c r="V49" s="2">
        <f>Tabela2[[#This Row],[Coluna4]]</f>
        <v>45964</v>
      </c>
      <c r="W49" s="2">
        <f>Tabela2[[#This Row],[Coluna6]]</f>
        <v>45964</v>
      </c>
    </row>
    <row r="50" spans="2:23" x14ac:dyDescent="0.2">
      <c r="B50" t="s">
        <v>18</v>
      </c>
      <c r="C50" t="s">
        <v>95</v>
      </c>
      <c r="D50" t="s">
        <v>13</v>
      </c>
      <c r="E50" s="8">
        <v>45964</v>
      </c>
      <c r="F50" t="s">
        <v>42</v>
      </c>
      <c r="G50" s="8">
        <v>45964</v>
      </c>
      <c r="H50" t="s">
        <v>443</v>
      </c>
      <c r="I50" t="e">
        <f>VLOOKUP(Tabela2[[#This Row],[Coluna7]],[1]!Tabela1[#All],2,0)</f>
        <v>#REF!</v>
      </c>
      <c r="J50" t="s">
        <v>744</v>
      </c>
      <c r="L50">
        <v>57.98</v>
      </c>
      <c r="Q50" s="10" t="str">
        <f>Tabela2[[#This Row],[Coluna5]]</f>
        <v>11/2025</v>
      </c>
      <c r="R50" s="10" t="str">
        <f>IF(Tabela2[[#This Row],[Coluna9]]&gt;0,"Entrada","Saída")</f>
        <v>Saída</v>
      </c>
      <c r="S50" s="10" t="str">
        <f>Tabela2[[#This Row],[Coluna8]]</f>
        <v xml:space="preserve">CARTÃO EFÍ </v>
      </c>
      <c r="T50" s="10" t="e">
        <f>Tabela2[[#This Row],[Coluna72]]</f>
        <v>#REF!</v>
      </c>
      <c r="U50" s="10">
        <f>SUM(Tabela2[[#This Row],[Coluna9]],Tabela2[[#This Row],[Coluna10]])</f>
        <v>57.98</v>
      </c>
      <c r="V50" s="2">
        <f>Tabela2[[#This Row],[Coluna4]]</f>
        <v>45964</v>
      </c>
      <c r="W50" s="2">
        <f>Tabela2[[#This Row],[Coluna6]]</f>
        <v>45964</v>
      </c>
    </row>
    <row r="51" spans="2:23" x14ac:dyDescent="0.2">
      <c r="B51" t="s">
        <v>18</v>
      </c>
      <c r="C51" t="s">
        <v>95</v>
      </c>
      <c r="D51" t="s">
        <v>13</v>
      </c>
      <c r="E51" s="8">
        <v>45964</v>
      </c>
      <c r="F51" t="s">
        <v>42</v>
      </c>
      <c r="G51" s="8">
        <v>45964</v>
      </c>
      <c r="H51" t="s">
        <v>443</v>
      </c>
      <c r="I51" t="e">
        <f>VLOOKUP(Tabela2[[#This Row],[Coluna7]],[1]!Tabela1[#All],2,0)</f>
        <v>#REF!</v>
      </c>
      <c r="J51" t="s">
        <v>744</v>
      </c>
      <c r="L51">
        <v>123.46</v>
      </c>
      <c r="Q51" s="10" t="str">
        <f>Tabela2[[#This Row],[Coluna5]]</f>
        <v>11/2025</v>
      </c>
      <c r="R51" s="10" t="str">
        <f>IF(Tabela2[[#This Row],[Coluna9]]&gt;0,"Entrada","Saída")</f>
        <v>Saída</v>
      </c>
      <c r="S51" s="10" t="str">
        <f>Tabela2[[#This Row],[Coluna8]]</f>
        <v xml:space="preserve">CARTÃO EFÍ </v>
      </c>
      <c r="T51" s="10" t="e">
        <f>Tabela2[[#This Row],[Coluna72]]</f>
        <v>#REF!</v>
      </c>
      <c r="U51" s="10">
        <f>SUM(Tabela2[[#This Row],[Coluna9]],Tabela2[[#This Row],[Coluna10]])</f>
        <v>123.46</v>
      </c>
      <c r="V51" s="2">
        <f>Tabela2[[#This Row],[Coluna4]]</f>
        <v>45964</v>
      </c>
      <c r="W51" s="2">
        <f>Tabela2[[#This Row],[Coluna6]]</f>
        <v>45964</v>
      </c>
    </row>
    <row r="52" spans="2:23" x14ac:dyDescent="0.2">
      <c r="B52" t="s">
        <v>18</v>
      </c>
      <c r="C52" t="s">
        <v>95</v>
      </c>
      <c r="D52" t="s">
        <v>13</v>
      </c>
      <c r="E52" s="8">
        <v>45964</v>
      </c>
      <c r="F52" t="s">
        <v>42</v>
      </c>
      <c r="G52" s="8">
        <v>45964</v>
      </c>
      <c r="H52" t="s">
        <v>570</v>
      </c>
      <c r="I52" t="e">
        <f>VLOOKUP(Tabela2[[#This Row],[Coluna7]],[1]!Tabela1[#All],2,0)</f>
        <v>#REF!</v>
      </c>
      <c r="J52" t="s">
        <v>744</v>
      </c>
      <c r="L52">
        <v>8.15</v>
      </c>
      <c r="Q52" s="10" t="str">
        <f>Tabela2[[#This Row],[Coluna5]]</f>
        <v>11/2025</v>
      </c>
      <c r="R52" s="10" t="str">
        <f>IF(Tabela2[[#This Row],[Coluna9]]&gt;0,"Entrada","Saída")</f>
        <v>Saída</v>
      </c>
      <c r="S52" s="10" t="str">
        <f>Tabela2[[#This Row],[Coluna8]]</f>
        <v xml:space="preserve">CARTÃO EFÍ </v>
      </c>
      <c r="T52" s="10" t="e">
        <f>Tabela2[[#This Row],[Coluna72]]</f>
        <v>#REF!</v>
      </c>
      <c r="U52" s="10">
        <f>SUM(Tabela2[[#This Row],[Coluna9]],Tabela2[[#This Row],[Coluna10]])</f>
        <v>8.15</v>
      </c>
      <c r="V52" s="2">
        <f>Tabela2[[#This Row],[Coluna4]]</f>
        <v>45964</v>
      </c>
      <c r="W52" s="2">
        <f>Tabela2[[#This Row],[Coluna6]]</f>
        <v>45964</v>
      </c>
    </row>
    <row r="53" spans="2:23" x14ac:dyDescent="0.2">
      <c r="B53" t="s">
        <v>18</v>
      </c>
      <c r="C53" t="s">
        <v>95</v>
      </c>
      <c r="D53" t="s">
        <v>13</v>
      </c>
      <c r="E53" s="8">
        <v>45964</v>
      </c>
      <c r="F53" t="s">
        <v>42</v>
      </c>
      <c r="G53" s="8">
        <v>45964</v>
      </c>
      <c r="H53" t="s">
        <v>570</v>
      </c>
      <c r="I53" t="e">
        <f>VLOOKUP(Tabela2[[#This Row],[Coluna7]],[1]!Tabela1[#All],2,0)</f>
        <v>#REF!</v>
      </c>
      <c r="J53" t="s">
        <v>744</v>
      </c>
      <c r="L53">
        <v>64</v>
      </c>
      <c r="Q53" s="10" t="str">
        <f>Tabela2[[#This Row],[Coluna5]]</f>
        <v>11/2025</v>
      </c>
      <c r="R53" s="10" t="str">
        <f>IF(Tabela2[[#This Row],[Coluna9]]&gt;0,"Entrada","Saída")</f>
        <v>Saída</v>
      </c>
      <c r="S53" s="10" t="str">
        <f>Tabela2[[#This Row],[Coluna8]]</f>
        <v xml:space="preserve">CARTÃO EFÍ </v>
      </c>
      <c r="T53" s="10" t="e">
        <f>Tabela2[[#This Row],[Coluna72]]</f>
        <v>#REF!</v>
      </c>
      <c r="U53" s="10">
        <f>SUM(Tabela2[[#This Row],[Coluna9]],Tabela2[[#This Row],[Coluna10]])</f>
        <v>64</v>
      </c>
      <c r="V53" s="2">
        <f>Tabela2[[#This Row],[Coluna4]]</f>
        <v>45964</v>
      </c>
      <c r="W53" s="2">
        <f>Tabela2[[#This Row],[Coluna6]]</f>
        <v>45964</v>
      </c>
    </row>
    <row r="54" spans="2:23" x14ac:dyDescent="0.2">
      <c r="B54" t="s">
        <v>18</v>
      </c>
      <c r="C54" t="s">
        <v>95</v>
      </c>
      <c r="D54" t="s">
        <v>13</v>
      </c>
      <c r="E54" s="8">
        <v>45964</v>
      </c>
      <c r="F54" t="s">
        <v>42</v>
      </c>
      <c r="G54" s="8">
        <v>45964</v>
      </c>
      <c r="H54" t="s">
        <v>443</v>
      </c>
      <c r="I54" t="e">
        <f>VLOOKUP(Tabela2[[#This Row],[Coluna7]],[1]!Tabela1[#All],2,0)</f>
        <v>#REF!</v>
      </c>
      <c r="J54" t="s">
        <v>744</v>
      </c>
      <c r="L54">
        <v>19.46</v>
      </c>
      <c r="Q54" s="10" t="str">
        <f>Tabela2[[#This Row],[Coluna5]]</f>
        <v>11/2025</v>
      </c>
      <c r="R54" s="10" t="str">
        <f>IF(Tabela2[[#This Row],[Coluna9]]&gt;0,"Entrada","Saída")</f>
        <v>Saída</v>
      </c>
      <c r="S54" s="10" t="str">
        <f>Tabela2[[#This Row],[Coluna8]]</f>
        <v xml:space="preserve">CARTÃO EFÍ </v>
      </c>
      <c r="T54" s="10" t="e">
        <f>Tabela2[[#This Row],[Coluna72]]</f>
        <v>#REF!</v>
      </c>
      <c r="U54" s="10">
        <f>SUM(Tabela2[[#This Row],[Coluna9]],Tabela2[[#This Row],[Coluna10]])</f>
        <v>19.46</v>
      </c>
      <c r="V54" s="2">
        <f>Tabela2[[#This Row],[Coluna4]]</f>
        <v>45964</v>
      </c>
      <c r="W54" s="2">
        <f>Tabela2[[#This Row],[Coluna6]]</f>
        <v>45964</v>
      </c>
    </row>
    <row r="55" spans="2:23" x14ac:dyDescent="0.2">
      <c r="B55" t="s">
        <v>18</v>
      </c>
      <c r="C55" t="s">
        <v>95</v>
      </c>
      <c r="D55" t="s">
        <v>13</v>
      </c>
      <c r="E55" s="8">
        <v>45964</v>
      </c>
      <c r="F55" t="s">
        <v>42</v>
      </c>
      <c r="G55" s="8">
        <v>45964</v>
      </c>
      <c r="H55" t="s">
        <v>570</v>
      </c>
      <c r="I55" t="e">
        <f>VLOOKUP(Tabela2[[#This Row],[Coluna7]],[1]!Tabela1[#All],2,0)</f>
        <v>#REF!</v>
      </c>
      <c r="J55" t="s">
        <v>744</v>
      </c>
      <c r="L55">
        <v>55</v>
      </c>
      <c r="Q55" s="10" t="str">
        <f>Tabela2[[#This Row],[Coluna5]]</f>
        <v>11/2025</v>
      </c>
      <c r="R55" s="10" t="str">
        <f>IF(Tabela2[[#This Row],[Coluna9]]&gt;0,"Entrada","Saída")</f>
        <v>Saída</v>
      </c>
      <c r="S55" s="10" t="str">
        <f>Tabela2[[#This Row],[Coluna8]]</f>
        <v xml:space="preserve">CARTÃO EFÍ </v>
      </c>
      <c r="T55" s="10" t="e">
        <f>Tabela2[[#This Row],[Coluna72]]</f>
        <v>#REF!</v>
      </c>
      <c r="U55" s="10">
        <f>SUM(Tabela2[[#This Row],[Coluna9]],Tabela2[[#This Row],[Coluna10]])</f>
        <v>55</v>
      </c>
      <c r="V55" s="2">
        <f>Tabela2[[#This Row],[Coluna4]]</f>
        <v>45964</v>
      </c>
      <c r="W55" s="2">
        <f>Tabela2[[#This Row],[Coluna6]]</f>
        <v>45964</v>
      </c>
    </row>
    <row r="56" spans="2:23" x14ac:dyDescent="0.2">
      <c r="B56" t="s">
        <v>18</v>
      </c>
      <c r="C56" t="s">
        <v>95</v>
      </c>
      <c r="D56" t="s">
        <v>13</v>
      </c>
      <c r="E56" s="8">
        <v>45964</v>
      </c>
      <c r="F56" t="s">
        <v>42</v>
      </c>
      <c r="G56" s="8">
        <v>45964</v>
      </c>
      <c r="H56" t="s">
        <v>570</v>
      </c>
      <c r="I56" t="e">
        <f>VLOOKUP(Tabela2[[#This Row],[Coluna7]],[1]!Tabela1[#All],2,0)</f>
        <v>#REF!</v>
      </c>
      <c r="J56" t="s">
        <v>744</v>
      </c>
      <c r="L56">
        <v>37</v>
      </c>
      <c r="Q56" s="10" t="str">
        <f>Tabela2[[#This Row],[Coluna5]]</f>
        <v>11/2025</v>
      </c>
      <c r="R56" s="10" t="str">
        <f>IF(Tabela2[[#This Row],[Coluna9]]&gt;0,"Entrada","Saída")</f>
        <v>Saída</v>
      </c>
      <c r="S56" s="10" t="str">
        <f>Tabela2[[#This Row],[Coluna8]]</f>
        <v xml:space="preserve">CARTÃO EFÍ </v>
      </c>
      <c r="T56" s="10" t="e">
        <f>Tabela2[[#This Row],[Coluna72]]</f>
        <v>#REF!</v>
      </c>
      <c r="U56" s="10">
        <f>SUM(Tabela2[[#This Row],[Coluna9]],Tabela2[[#This Row],[Coluna10]])</f>
        <v>37</v>
      </c>
      <c r="V56" s="2">
        <f>Tabela2[[#This Row],[Coluna4]]</f>
        <v>45964</v>
      </c>
      <c r="W56" s="2">
        <f>Tabela2[[#This Row],[Coluna6]]</f>
        <v>45964</v>
      </c>
    </row>
    <row r="57" spans="2:23" x14ac:dyDescent="0.2">
      <c r="B57" t="s">
        <v>18</v>
      </c>
      <c r="C57" t="s">
        <v>95</v>
      </c>
      <c r="D57" t="s">
        <v>13</v>
      </c>
      <c r="E57" s="8">
        <v>45964</v>
      </c>
      <c r="F57" t="s">
        <v>42</v>
      </c>
      <c r="G57" s="8">
        <v>45964</v>
      </c>
      <c r="H57" t="s">
        <v>443</v>
      </c>
      <c r="I57" t="e">
        <f>VLOOKUP(Tabela2[[#This Row],[Coluna7]],[1]!Tabela1[#All],2,0)</f>
        <v>#REF!</v>
      </c>
      <c r="J57" t="s">
        <v>744</v>
      </c>
      <c r="L57">
        <v>35.229999999999997</v>
      </c>
      <c r="Q57" s="10" t="str">
        <f>Tabela2[[#This Row],[Coluna5]]</f>
        <v>11/2025</v>
      </c>
      <c r="R57" s="10" t="str">
        <f>IF(Tabela2[[#This Row],[Coluna9]]&gt;0,"Entrada","Saída")</f>
        <v>Saída</v>
      </c>
      <c r="S57" s="10" t="str">
        <f>Tabela2[[#This Row],[Coluna8]]</f>
        <v xml:space="preserve">CARTÃO EFÍ </v>
      </c>
      <c r="T57" s="10" t="e">
        <f>Tabela2[[#This Row],[Coluna72]]</f>
        <v>#REF!</v>
      </c>
      <c r="U57" s="10">
        <f>SUM(Tabela2[[#This Row],[Coluna9]],Tabela2[[#This Row],[Coluna10]])</f>
        <v>35.229999999999997</v>
      </c>
      <c r="V57" s="2">
        <f>Tabela2[[#This Row],[Coluna4]]</f>
        <v>45964</v>
      </c>
      <c r="W57" s="2">
        <f>Tabela2[[#This Row],[Coluna6]]</f>
        <v>45964</v>
      </c>
    </row>
    <row r="58" spans="2:23" x14ac:dyDescent="0.2">
      <c r="B58" t="s">
        <v>18</v>
      </c>
      <c r="C58" t="s">
        <v>95</v>
      </c>
      <c r="D58" t="s">
        <v>13</v>
      </c>
      <c r="E58" s="8">
        <v>45964</v>
      </c>
      <c r="F58" t="s">
        <v>42</v>
      </c>
      <c r="G58" s="8">
        <v>45964</v>
      </c>
      <c r="H58" t="s">
        <v>443</v>
      </c>
      <c r="I58" t="e">
        <f>VLOOKUP(Tabela2[[#This Row],[Coluna7]],[1]!Tabela1[#All],2,0)</f>
        <v>#REF!</v>
      </c>
      <c r="J58" t="s">
        <v>744</v>
      </c>
      <c r="L58">
        <v>45.22</v>
      </c>
      <c r="Q58" s="10" t="str">
        <f>Tabela2[[#This Row],[Coluna5]]</f>
        <v>11/2025</v>
      </c>
      <c r="R58" s="10" t="str">
        <f>IF(Tabela2[[#This Row],[Coluna9]]&gt;0,"Entrada","Saída")</f>
        <v>Saída</v>
      </c>
      <c r="S58" s="10" t="str">
        <f>Tabela2[[#This Row],[Coluna8]]</f>
        <v xml:space="preserve">CARTÃO EFÍ </v>
      </c>
      <c r="T58" s="10" t="e">
        <f>Tabela2[[#This Row],[Coluna72]]</f>
        <v>#REF!</v>
      </c>
      <c r="U58" s="10">
        <f>SUM(Tabela2[[#This Row],[Coluna9]],Tabela2[[#This Row],[Coluna10]])</f>
        <v>45.22</v>
      </c>
      <c r="V58" s="2">
        <f>Tabela2[[#This Row],[Coluna4]]</f>
        <v>45964</v>
      </c>
      <c r="W58" s="2">
        <f>Tabela2[[#This Row],[Coluna6]]</f>
        <v>45964</v>
      </c>
    </row>
    <row r="59" spans="2:23" x14ac:dyDescent="0.2">
      <c r="B59" t="s">
        <v>18</v>
      </c>
      <c r="C59" t="s">
        <v>95</v>
      </c>
      <c r="D59" t="s">
        <v>13</v>
      </c>
      <c r="E59" s="8">
        <v>45964</v>
      </c>
      <c r="F59" t="s">
        <v>42</v>
      </c>
      <c r="G59" s="8">
        <v>45964</v>
      </c>
      <c r="H59" t="s">
        <v>443</v>
      </c>
      <c r="I59" t="e">
        <f>VLOOKUP(Tabela2[[#This Row],[Coluna7]],[1]!Tabela1[#All],2,0)</f>
        <v>#REF!</v>
      </c>
      <c r="J59" t="s">
        <v>744</v>
      </c>
      <c r="L59">
        <v>51.96</v>
      </c>
      <c r="Q59" s="10" t="str">
        <f>Tabela2[[#This Row],[Coluna5]]</f>
        <v>11/2025</v>
      </c>
      <c r="R59" s="10" t="str">
        <f>IF(Tabela2[[#This Row],[Coluna9]]&gt;0,"Entrada","Saída")</f>
        <v>Saída</v>
      </c>
      <c r="S59" s="10" t="str">
        <f>Tabela2[[#This Row],[Coluna8]]</f>
        <v xml:space="preserve">CARTÃO EFÍ </v>
      </c>
      <c r="T59" s="10" t="e">
        <f>Tabela2[[#This Row],[Coluna72]]</f>
        <v>#REF!</v>
      </c>
      <c r="U59" s="10">
        <f>SUM(Tabela2[[#This Row],[Coluna9]],Tabela2[[#This Row],[Coluna10]])</f>
        <v>51.96</v>
      </c>
      <c r="V59" s="2">
        <f>Tabela2[[#This Row],[Coluna4]]</f>
        <v>45964</v>
      </c>
      <c r="W59" s="2">
        <f>Tabela2[[#This Row],[Coluna6]]</f>
        <v>45964</v>
      </c>
    </row>
    <row r="60" spans="2:23" x14ac:dyDescent="0.2">
      <c r="B60" t="s">
        <v>18</v>
      </c>
      <c r="C60" t="s">
        <v>95</v>
      </c>
      <c r="D60" t="s">
        <v>13</v>
      </c>
      <c r="E60" s="8">
        <v>45964</v>
      </c>
      <c r="F60" t="s">
        <v>42</v>
      </c>
      <c r="G60" s="8">
        <v>45964</v>
      </c>
      <c r="H60" t="s">
        <v>538</v>
      </c>
      <c r="I60" t="e">
        <f>VLOOKUP(Tabela2[[#This Row],[Coluna7]],[1]!Tabela1[#All],2,0)</f>
        <v>#REF!</v>
      </c>
      <c r="J60" t="s">
        <v>744</v>
      </c>
      <c r="L60">
        <v>19.440000000000001</v>
      </c>
      <c r="Q60" s="10" t="str">
        <f>Tabela2[[#This Row],[Coluna5]]</f>
        <v>11/2025</v>
      </c>
      <c r="R60" s="10" t="str">
        <f>IF(Tabela2[[#This Row],[Coluna9]]&gt;0,"Entrada","Saída")</f>
        <v>Saída</v>
      </c>
      <c r="S60" s="10" t="str">
        <f>Tabela2[[#This Row],[Coluna8]]</f>
        <v xml:space="preserve">CARTÃO EFÍ </v>
      </c>
      <c r="T60" s="10" t="e">
        <f>Tabela2[[#This Row],[Coluna72]]</f>
        <v>#REF!</v>
      </c>
      <c r="U60" s="10">
        <f>SUM(Tabela2[[#This Row],[Coluna9]],Tabela2[[#This Row],[Coluna10]])</f>
        <v>19.440000000000001</v>
      </c>
      <c r="V60" s="2">
        <f>Tabela2[[#This Row],[Coluna4]]</f>
        <v>45964</v>
      </c>
      <c r="W60" s="2">
        <f>Tabela2[[#This Row],[Coluna6]]</f>
        <v>45964</v>
      </c>
    </row>
    <row r="61" spans="2:23" x14ac:dyDescent="0.2">
      <c r="B61" t="s">
        <v>18</v>
      </c>
      <c r="C61" t="s">
        <v>95</v>
      </c>
      <c r="D61" t="s">
        <v>13</v>
      </c>
      <c r="E61" s="8">
        <v>45964</v>
      </c>
      <c r="F61" t="s">
        <v>42</v>
      </c>
      <c r="G61" s="8">
        <v>45964</v>
      </c>
      <c r="H61" t="s">
        <v>443</v>
      </c>
      <c r="I61" t="e">
        <f>VLOOKUP(Tabela2[[#This Row],[Coluna7]],[1]!Tabela1[#All],2,0)</f>
        <v>#REF!</v>
      </c>
      <c r="J61" t="s">
        <v>744</v>
      </c>
      <c r="L61">
        <v>47.91</v>
      </c>
      <c r="Q61" s="10" t="str">
        <f>Tabela2[[#This Row],[Coluna5]]</f>
        <v>11/2025</v>
      </c>
      <c r="R61" s="10" t="str">
        <f>IF(Tabela2[[#This Row],[Coluna9]]&gt;0,"Entrada","Saída")</f>
        <v>Saída</v>
      </c>
      <c r="S61" s="10" t="str">
        <f>Tabela2[[#This Row],[Coluna8]]</f>
        <v xml:space="preserve">CARTÃO EFÍ </v>
      </c>
      <c r="T61" s="10" t="e">
        <f>Tabela2[[#This Row],[Coluna72]]</f>
        <v>#REF!</v>
      </c>
      <c r="U61" s="10">
        <f>SUM(Tabela2[[#This Row],[Coluna9]],Tabela2[[#This Row],[Coluna10]])</f>
        <v>47.91</v>
      </c>
      <c r="V61" s="2">
        <f>Tabela2[[#This Row],[Coluna4]]</f>
        <v>45964</v>
      </c>
      <c r="W61" s="2">
        <f>Tabela2[[#This Row],[Coluna6]]</f>
        <v>45964</v>
      </c>
    </row>
    <row r="62" spans="2:23" x14ac:dyDescent="0.2">
      <c r="B62" t="s">
        <v>18</v>
      </c>
      <c r="C62" t="s">
        <v>95</v>
      </c>
      <c r="D62" t="s">
        <v>13</v>
      </c>
      <c r="E62" s="8">
        <v>45964</v>
      </c>
      <c r="F62" t="s">
        <v>42</v>
      </c>
      <c r="G62" s="8">
        <v>45964</v>
      </c>
      <c r="H62" t="s">
        <v>443</v>
      </c>
      <c r="I62" t="e">
        <f>VLOOKUP(Tabela2[[#This Row],[Coluna7]],[1]!Tabela1[#All],2,0)</f>
        <v>#REF!</v>
      </c>
      <c r="J62" t="s">
        <v>744</v>
      </c>
      <c r="L62">
        <v>17.96</v>
      </c>
      <c r="Q62" s="10" t="str">
        <f>Tabela2[[#This Row],[Coluna5]]</f>
        <v>11/2025</v>
      </c>
      <c r="R62" s="10" t="str">
        <f>IF(Tabela2[[#This Row],[Coluna9]]&gt;0,"Entrada","Saída")</f>
        <v>Saída</v>
      </c>
      <c r="S62" s="10" t="str">
        <f>Tabela2[[#This Row],[Coluna8]]</f>
        <v xml:space="preserve">CARTÃO EFÍ </v>
      </c>
      <c r="T62" s="10" t="e">
        <f>Tabela2[[#This Row],[Coluna72]]</f>
        <v>#REF!</v>
      </c>
      <c r="U62" s="10">
        <f>SUM(Tabela2[[#This Row],[Coluna9]],Tabela2[[#This Row],[Coluna10]])</f>
        <v>17.96</v>
      </c>
      <c r="V62" s="2">
        <f>Tabela2[[#This Row],[Coluna4]]</f>
        <v>45964</v>
      </c>
      <c r="W62" s="2">
        <f>Tabela2[[#This Row],[Coluna6]]</f>
        <v>45964</v>
      </c>
    </row>
    <row r="63" spans="2:23" x14ac:dyDescent="0.2">
      <c r="B63" t="s">
        <v>18</v>
      </c>
      <c r="C63" t="s">
        <v>95</v>
      </c>
      <c r="D63" t="s">
        <v>13</v>
      </c>
      <c r="E63" s="8">
        <v>45964</v>
      </c>
      <c r="F63" t="s">
        <v>42</v>
      </c>
      <c r="G63" s="8">
        <v>45964</v>
      </c>
      <c r="H63" t="s">
        <v>443</v>
      </c>
      <c r="I63" t="e">
        <f>VLOOKUP(Tabela2[[#This Row],[Coluna7]],[1]!Tabela1[#All],2,0)</f>
        <v>#REF!</v>
      </c>
      <c r="J63" t="s">
        <v>744</v>
      </c>
      <c r="L63">
        <v>16.12</v>
      </c>
      <c r="Q63" s="10" t="str">
        <f>Tabela2[[#This Row],[Coluna5]]</f>
        <v>11/2025</v>
      </c>
      <c r="R63" s="10" t="str">
        <f>IF(Tabela2[[#This Row],[Coluna9]]&gt;0,"Entrada","Saída")</f>
        <v>Saída</v>
      </c>
      <c r="S63" s="10" t="str">
        <f>Tabela2[[#This Row],[Coluna8]]</f>
        <v xml:space="preserve">CARTÃO EFÍ </v>
      </c>
      <c r="T63" s="10" t="e">
        <f>Tabela2[[#This Row],[Coluna72]]</f>
        <v>#REF!</v>
      </c>
      <c r="U63" s="10">
        <f>SUM(Tabela2[[#This Row],[Coluna9]],Tabela2[[#This Row],[Coluna10]])</f>
        <v>16.12</v>
      </c>
      <c r="V63" s="2">
        <f>Tabela2[[#This Row],[Coluna4]]</f>
        <v>45964</v>
      </c>
      <c r="W63" s="2">
        <f>Tabela2[[#This Row],[Coluna6]]</f>
        <v>45964</v>
      </c>
    </row>
    <row r="64" spans="2:23" x14ac:dyDescent="0.2">
      <c r="B64" t="s">
        <v>18</v>
      </c>
      <c r="C64" t="s">
        <v>95</v>
      </c>
      <c r="D64" t="s">
        <v>13</v>
      </c>
      <c r="E64" s="8">
        <v>45964</v>
      </c>
      <c r="F64" t="s">
        <v>42</v>
      </c>
      <c r="G64" s="8">
        <v>45964</v>
      </c>
      <c r="H64" t="s">
        <v>443</v>
      </c>
      <c r="I64" t="e">
        <f>VLOOKUP(Tabela2[[#This Row],[Coluna7]],[1]!Tabela1[#All],2,0)</f>
        <v>#REF!</v>
      </c>
      <c r="J64" t="s">
        <v>744</v>
      </c>
      <c r="L64">
        <v>16.489999999999998</v>
      </c>
      <c r="Q64" s="10" t="str">
        <f>Tabela2[[#This Row],[Coluna5]]</f>
        <v>11/2025</v>
      </c>
      <c r="R64" s="10" t="str">
        <f>IF(Tabela2[[#This Row],[Coluna9]]&gt;0,"Entrada","Saída")</f>
        <v>Saída</v>
      </c>
      <c r="S64" s="10" t="str">
        <f>Tabela2[[#This Row],[Coluna8]]</f>
        <v xml:space="preserve">CARTÃO EFÍ </v>
      </c>
      <c r="T64" s="10" t="e">
        <f>Tabela2[[#This Row],[Coluna72]]</f>
        <v>#REF!</v>
      </c>
      <c r="U64" s="10">
        <f>SUM(Tabela2[[#This Row],[Coluna9]],Tabela2[[#This Row],[Coluna10]])</f>
        <v>16.489999999999998</v>
      </c>
      <c r="V64" s="2">
        <f>Tabela2[[#This Row],[Coluna4]]</f>
        <v>45964</v>
      </c>
      <c r="W64" s="2">
        <f>Tabela2[[#This Row],[Coluna6]]</f>
        <v>45964</v>
      </c>
    </row>
    <row r="65" spans="2:23" x14ac:dyDescent="0.2">
      <c r="B65" t="s">
        <v>18</v>
      </c>
      <c r="C65" t="s">
        <v>95</v>
      </c>
      <c r="D65" t="s">
        <v>13</v>
      </c>
      <c r="E65" s="8">
        <v>45964</v>
      </c>
      <c r="F65" t="s">
        <v>42</v>
      </c>
      <c r="G65" s="8">
        <v>45964</v>
      </c>
      <c r="H65" t="s">
        <v>570</v>
      </c>
      <c r="I65" t="e">
        <f>VLOOKUP(Tabela2[[#This Row],[Coluna7]],[1]!Tabela1[#All],2,0)</f>
        <v>#REF!</v>
      </c>
      <c r="J65" t="s">
        <v>744</v>
      </c>
      <c r="L65">
        <v>82.5</v>
      </c>
      <c r="Q65" s="10" t="str">
        <f>Tabela2[[#This Row],[Coluna5]]</f>
        <v>11/2025</v>
      </c>
      <c r="R65" s="10" t="str">
        <f>IF(Tabela2[[#This Row],[Coluna9]]&gt;0,"Entrada","Saída")</f>
        <v>Saída</v>
      </c>
      <c r="S65" s="10" t="str">
        <f>Tabela2[[#This Row],[Coluna8]]</f>
        <v xml:space="preserve">CARTÃO EFÍ </v>
      </c>
      <c r="T65" s="10" t="e">
        <f>Tabela2[[#This Row],[Coluna72]]</f>
        <v>#REF!</v>
      </c>
      <c r="U65" s="10">
        <f>SUM(Tabela2[[#This Row],[Coluna9]],Tabela2[[#This Row],[Coluna10]])</f>
        <v>82.5</v>
      </c>
      <c r="V65" s="2">
        <f>Tabela2[[#This Row],[Coluna4]]</f>
        <v>45964</v>
      </c>
      <c r="W65" s="2">
        <f>Tabela2[[#This Row],[Coluna6]]</f>
        <v>45964</v>
      </c>
    </row>
    <row r="66" spans="2:23" x14ac:dyDescent="0.2">
      <c r="B66" t="s">
        <v>18</v>
      </c>
      <c r="C66" t="s">
        <v>95</v>
      </c>
      <c r="D66" t="s">
        <v>13</v>
      </c>
      <c r="E66" s="8">
        <v>45964</v>
      </c>
      <c r="F66" t="s">
        <v>42</v>
      </c>
      <c r="G66" s="8">
        <v>45964</v>
      </c>
      <c r="H66" t="s">
        <v>443</v>
      </c>
      <c r="I66" t="e">
        <f>VLOOKUP(Tabela2[[#This Row],[Coluna7]],[1]!Tabela1[#All],2,0)</f>
        <v>#REF!</v>
      </c>
      <c r="J66" t="s">
        <v>744</v>
      </c>
      <c r="L66">
        <v>23.27</v>
      </c>
      <c r="Q66" s="10" t="str">
        <f>Tabela2[[#This Row],[Coluna5]]</f>
        <v>11/2025</v>
      </c>
      <c r="R66" s="10" t="str">
        <f>IF(Tabela2[[#This Row],[Coluna9]]&gt;0,"Entrada","Saída")</f>
        <v>Saída</v>
      </c>
      <c r="S66" s="10" t="str">
        <f>Tabela2[[#This Row],[Coluna8]]</f>
        <v xml:space="preserve">CARTÃO EFÍ </v>
      </c>
      <c r="T66" s="10" t="e">
        <f>Tabela2[[#This Row],[Coluna72]]</f>
        <v>#REF!</v>
      </c>
      <c r="U66" s="10">
        <f>SUM(Tabela2[[#This Row],[Coluna9]],Tabela2[[#This Row],[Coluna10]])</f>
        <v>23.27</v>
      </c>
      <c r="V66" s="2">
        <f>Tabela2[[#This Row],[Coluna4]]</f>
        <v>45964</v>
      </c>
      <c r="W66" s="2">
        <f>Tabela2[[#This Row],[Coluna6]]</f>
        <v>45964</v>
      </c>
    </row>
    <row r="67" spans="2:23" x14ac:dyDescent="0.2">
      <c r="B67" t="s">
        <v>18</v>
      </c>
      <c r="C67" t="s">
        <v>95</v>
      </c>
      <c r="D67" t="s">
        <v>13</v>
      </c>
      <c r="E67" s="8">
        <v>45964</v>
      </c>
      <c r="F67" t="s">
        <v>42</v>
      </c>
      <c r="G67" s="8">
        <v>45964</v>
      </c>
      <c r="H67" t="s">
        <v>443</v>
      </c>
      <c r="I67" t="e">
        <f>VLOOKUP(Tabela2[[#This Row],[Coluna7]],[1]!Tabela1[#All],2,0)</f>
        <v>#REF!</v>
      </c>
      <c r="J67" t="s">
        <v>744</v>
      </c>
      <c r="L67">
        <v>64.709999999999994</v>
      </c>
      <c r="Q67" s="10" t="str">
        <f>Tabela2[[#This Row],[Coluna5]]</f>
        <v>11/2025</v>
      </c>
      <c r="R67" s="10" t="str">
        <f>IF(Tabela2[[#This Row],[Coluna9]]&gt;0,"Entrada","Saída")</f>
        <v>Saída</v>
      </c>
      <c r="S67" s="10" t="str">
        <f>Tabela2[[#This Row],[Coluna8]]</f>
        <v xml:space="preserve">CARTÃO EFÍ </v>
      </c>
      <c r="T67" s="10" t="e">
        <f>Tabela2[[#This Row],[Coluna72]]</f>
        <v>#REF!</v>
      </c>
      <c r="U67" s="10">
        <f>SUM(Tabela2[[#This Row],[Coluna9]],Tabela2[[#This Row],[Coluna10]])</f>
        <v>64.709999999999994</v>
      </c>
      <c r="V67" s="2">
        <f>Tabela2[[#This Row],[Coluna4]]</f>
        <v>45964</v>
      </c>
      <c r="W67" s="2">
        <f>Tabela2[[#This Row],[Coluna6]]</f>
        <v>45964</v>
      </c>
    </row>
    <row r="68" spans="2:23" x14ac:dyDescent="0.2">
      <c r="B68" t="s">
        <v>18</v>
      </c>
      <c r="C68" t="s">
        <v>95</v>
      </c>
      <c r="D68" t="s">
        <v>13</v>
      </c>
      <c r="E68" s="8">
        <v>45964</v>
      </c>
      <c r="F68" t="s">
        <v>42</v>
      </c>
      <c r="G68" s="8">
        <v>45964</v>
      </c>
      <c r="H68" t="s">
        <v>443</v>
      </c>
      <c r="I68" t="e">
        <f>VLOOKUP(Tabela2[[#This Row],[Coluna7]],[1]!Tabela1[#All],2,0)</f>
        <v>#REF!</v>
      </c>
      <c r="J68" t="s">
        <v>744</v>
      </c>
      <c r="L68">
        <v>17.98</v>
      </c>
      <c r="Q68" s="10" t="str">
        <f>Tabela2[[#This Row],[Coluna5]]</f>
        <v>11/2025</v>
      </c>
      <c r="R68" s="10" t="str">
        <f>IF(Tabela2[[#This Row],[Coluna9]]&gt;0,"Entrada","Saída")</f>
        <v>Saída</v>
      </c>
      <c r="S68" s="10" t="str">
        <f>Tabela2[[#This Row],[Coluna8]]</f>
        <v xml:space="preserve">CARTÃO EFÍ </v>
      </c>
      <c r="T68" s="10" t="e">
        <f>Tabela2[[#This Row],[Coluna72]]</f>
        <v>#REF!</v>
      </c>
      <c r="U68" s="10">
        <f>SUM(Tabela2[[#This Row],[Coluna9]],Tabela2[[#This Row],[Coluna10]])</f>
        <v>17.98</v>
      </c>
      <c r="V68" s="2">
        <f>Tabela2[[#This Row],[Coluna4]]</f>
        <v>45964</v>
      </c>
      <c r="W68" s="2">
        <f>Tabela2[[#This Row],[Coluna6]]</f>
        <v>45964</v>
      </c>
    </row>
    <row r="69" spans="2:23" x14ac:dyDescent="0.2">
      <c r="B69" t="s">
        <v>18</v>
      </c>
      <c r="C69" t="s">
        <v>95</v>
      </c>
      <c r="D69" t="s">
        <v>13</v>
      </c>
      <c r="E69" s="8">
        <v>45964</v>
      </c>
      <c r="F69" t="s">
        <v>42</v>
      </c>
      <c r="G69" s="8">
        <v>45964</v>
      </c>
      <c r="H69" t="s">
        <v>469</v>
      </c>
      <c r="I69" t="e">
        <f>VLOOKUP(Tabela2[[#This Row],[Coluna7]],[1]!Tabela1[#All],2,0)</f>
        <v>#REF!</v>
      </c>
      <c r="J69" t="s">
        <v>745</v>
      </c>
      <c r="L69">
        <v>43.12</v>
      </c>
      <c r="Q69" s="10" t="str">
        <f>Tabela2[[#This Row],[Coluna5]]</f>
        <v>11/2025</v>
      </c>
      <c r="R69" s="10" t="str">
        <f>IF(Tabela2[[#This Row],[Coluna9]]&gt;0,"Entrada","Saída")</f>
        <v>Saída</v>
      </c>
      <c r="S69" s="10" t="str">
        <f>Tabela2[[#This Row],[Coluna8]]</f>
        <v xml:space="preserve">CARTÃO INTER </v>
      </c>
      <c r="T69" s="10" t="e">
        <f>Tabela2[[#This Row],[Coluna72]]</f>
        <v>#REF!</v>
      </c>
      <c r="U69" s="10">
        <f>SUM(Tabela2[[#This Row],[Coluna9]],Tabela2[[#This Row],[Coluna10]])</f>
        <v>43.12</v>
      </c>
      <c r="V69" s="2">
        <f>Tabela2[[#This Row],[Coluna4]]</f>
        <v>45964</v>
      </c>
      <c r="W69" s="2">
        <f>Tabela2[[#This Row],[Coluna6]]</f>
        <v>45964</v>
      </c>
    </row>
    <row r="70" spans="2:23" x14ac:dyDescent="0.2">
      <c r="B70" t="s">
        <v>18</v>
      </c>
      <c r="C70" t="s">
        <v>95</v>
      </c>
      <c r="D70" t="s">
        <v>13</v>
      </c>
      <c r="E70" s="8">
        <v>45964</v>
      </c>
      <c r="F70" t="s">
        <v>42</v>
      </c>
      <c r="G70" s="8">
        <v>45964</v>
      </c>
      <c r="H70" t="s">
        <v>435</v>
      </c>
      <c r="I70" t="e">
        <f>VLOOKUP(Tabela2[[#This Row],[Coluna7]],[1]!Tabela1[#All],2,0)</f>
        <v>#REF!</v>
      </c>
      <c r="J70" t="s">
        <v>745</v>
      </c>
      <c r="L70">
        <v>34.99</v>
      </c>
      <c r="Q70" s="10" t="str">
        <f>Tabela2[[#This Row],[Coluna5]]</f>
        <v>11/2025</v>
      </c>
      <c r="R70" s="10" t="str">
        <f>IF(Tabela2[[#This Row],[Coluna9]]&gt;0,"Entrada","Saída")</f>
        <v>Saída</v>
      </c>
      <c r="S70" s="10" t="str">
        <f>Tabela2[[#This Row],[Coluna8]]</f>
        <v xml:space="preserve">CARTÃO INTER </v>
      </c>
      <c r="T70" s="10" t="e">
        <f>Tabela2[[#This Row],[Coluna72]]</f>
        <v>#REF!</v>
      </c>
      <c r="U70" s="10">
        <f>SUM(Tabela2[[#This Row],[Coluna9]],Tabela2[[#This Row],[Coluna10]])</f>
        <v>34.99</v>
      </c>
      <c r="V70" s="2">
        <f>Tabela2[[#This Row],[Coluna4]]</f>
        <v>45964</v>
      </c>
      <c r="W70" s="2">
        <f>Tabela2[[#This Row],[Coluna6]]</f>
        <v>45964</v>
      </c>
    </row>
    <row r="71" spans="2:23" x14ac:dyDescent="0.2">
      <c r="B71" t="s">
        <v>18</v>
      </c>
      <c r="C71" t="s">
        <v>95</v>
      </c>
      <c r="D71" t="s">
        <v>13</v>
      </c>
      <c r="E71" s="8">
        <v>45964</v>
      </c>
      <c r="F71" t="s">
        <v>42</v>
      </c>
      <c r="G71" s="8">
        <v>45964</v>
      </c>
      <c r="H71" t="s">
        <v>435</v>
      </c>
      <c r="I71" t="e">
        <f>VLOOKUP(Tabela2[[#This Row],[Coluna7]],[1]!Tabela1[#All],2,0)</f>
        <v>#REF!</v>
      </c>
      <c r="J71" t="s">
        <v>745</v>
      </c>
      <c r="L71">
        <v>112.87</v>
      </c>
      <c r="Q71" s="10" t="str">
        <f>Tabela2[[#This Row],[Coluna5]]</f>
        <v>11/2025</v>
      </c>
      <c r="R71" s="10" t="str">
        <f>IF(Tabela2[[#This Row],[Coluna9]]&gt;0,"Entrada","Saída")</f>
        <v>Saída</v>
      </c>
      <c r="S71" s="10" t="str">
        <f>Tabela2[[#This Row],[Coluna8]]</f>
        <v xml:space="preserve">CARTÃO INTER </v>
      </c>
      <c r="T71" s="10" t="e">
        <f>Tabela2[[#This Row],[Coluna72]]</f>
        <v>#REF!</v>
      </c>
      <c r="U71" s="10">
        <f>SUM(Tabela2[[#This Row],[Coluna9]],Tabela2[[#This Row],[Coluna10]])</f>
        <v>112.87</v>
      </c>
      <c r="V71" s="2">
        <f>Tabela2[[#This Row],[Coluna4]]</f>
        <v>45964</v>
      </c>
      <c r="W71" s="2">
        <f>Tabela2[[#This Row],[Coluna6]]</f>
        <v>45964</v>
      </c>
    </row>
    <row r="72" spans="2:23" x14ac:dyDescent="0.2">
      <c r="B72" t="s">
        <v>18</v>
      </c>
      <c r="C72" t="s">
        <v>95</v>
      </c>
      <c r="D72" t="s">
        <v>13</v>
      </c>
      <c r="E72" s="8">
        <v>45964</v>
      </c>
      <c r="F72" t="s">
        <v>42</v>
      </c>
      <c r="G72" s="8">
        <v>45964</v>
      </c>
      <c r="H72" t="s">
        <v>538</v>
      </c>
      <c r="I72" t="e">
        <f>VLOOKUP(Tabela2[[#This Row],[Coluna7]],[1]!Tabela1[#All],2,0)</f>
        <v>#REF!</v>
      </c>
      <c r="J72" t="s">
        <v>745</v>
      </c>
      <c r="L72">
        <v>10</v>
      </c>
      <c r="Q72" s="10" t="str">
        <f>Tabela2[[#This Row],[Coluna5]]</f>
        <v>11/2025</v>
      </c>
      <c r="R72" s="10" t="str">
        <f>IF(Tabela2[[#This Row],[Coluna9]]&gt;0,"Entrada","Saída")</f>
        <v>Saída</v>
      </c>
      <c r="S72" s="10" t="str">
        <f>Tabela2[[#This Row],[Coluna8]]</f>
        <v xml:space="preserve">CARTÃO INTER </v>
      </c>
      <c r="T72" s="10" t="e">
        <f>Tabela2[[#This Row],[Coluna72]]</f>
        <v>#REF!</v>
      </c>
      <c r="U72" s="10">
        <f>SUM(Tabela2[[#This Row],[Coluna9]],Tabela2[[#This Row],[Coluna10]])</f>
        <v>10</v>
      </c>
      <c r="V72" s="2">
        <f>Tabela2[[#This Row],[Coluna4]]</f>
        <v>45964</v>
      </c>
      <c r="W72" s="2">
        <f>Tabela2[[#This Row],[Coluna6]]</f>
        <v>45964</v>
      </c>
    </row>
    <row r="73" spans="2:23" x14ac:dyDescent="0.2">
      <c r="B73" t="s">
        <v>18</v>
      </c>
      <c r="C73" t="s">
        <v>95</v>
      </c>
      <c r="D73" t="s">
        <v>13</v>
      </c>
      <c r="E73" s="8">
        <v>45964</v>
      </c>
      <c r="F73" t="s">
        <v>42</v>
      </c>
      <c r="G73" s="8">
        <v>45964</v>
      </c>
      <c r="H73" t="s">
        <v>435</v>
      </c>
      <c r="I73" t="e">
        <f>VLOOKUP(Tabela2[[#This Row],[Coluna7]],[1]!Tabela1[#All],2,0)</f>
        <v>#REF!</v>
      </c>
      <c r="J73" t="s">
        <v>745</v>
      </c>
      <c r="L73">
        <v>149.9</v>
      </c>
      <c r="Q73" s="10" t="str">
        <f>Tabela2[[#This Row],[Coluna5]]</f>
        <v>11/2025</v>
      </c>
      <c r="R73" s="10" t="str">
        <f>IF(Tabela2[[#This Row],[Coluna9]]&gt;0,"Entrada","Saída")</f>
        <v>Saída</v>
      </c>
      <c r="S73" s="10" t="str">
        <f>Tabela2[[#This Row],[Coluna8]]</f>
        <v xml:space="preserve">CARTÃO INTER </v>
      </c>
      <c r="T73" s="10" t="e">
        <f>Tabela2[[#This Row],[Coluna72]]</f>
        <v>#REF!</v>
      </c>
      <c r="U73" s="10">
        <f>SUM(Tabela2[[#This Row],[Coluna9]],Tabela2[[#This Row],[Coluna10]])</f>
        <v>149.9</v>
      </c>
      <c r="V73" s="2">
        <f>Tabela2[[#This Row],[Coluna4]]</f>
        <v>45964</v>
      </c>
      <c r="W73" s="2">
        <f>Tabela2[[#This Row],[Coluna6]]</f>
        <v>45964</v>
      </c>
    </row>
    <row r="74" spans="2:23" x14ac:dyDescent="0.2">
      <c r="B74" t="s">
        <v>12</v>
      </c>
      <c r="C74" t="s">
        <v>95</v>
      </c>
      <c r="D74" t="s">
        <v>13</v>
      </c>
      <c r="E74" s="8">
        <v>45971</v>
      </c>
      <c r="F74" t="s">
        <v>42</v>
      </c>
      <c r="G74" s="8">
        <v>45971</v>
      </c>
      <c r="H74" t="s">
        <v>693</v>
      </c>
      <c r="I74" t="e">
        <f>VLOOKUP(Tabela2[[#This Row],[Coluna7]],[1]!Tabela1[#All],2,0)</f>
        <v>#REF!</v>
      </c>
      <c r="J74" t="s">
        <v>737</v>
      </c>
      <c r="L74">
        <v>39</v>
      </c>
      <c r="Q74" s="10" t="str">
        <f>Tabela2[[#This Row],[Coluna5]]</f>
        <v>11/2025</v>
      </c>
      <c r="R74" s="10" t="str">
        <f>IF(Tabela2[[#This Row],[Coluna9]]&gt;0,"Entrada","Saída")</f>
        <v>Saída</v>
      </c>
      <c r="S74" s="10" t="str">
        <f>Tabela2[[#This Row],[Coluna8]]</f>
        <v>CARTÃO SANTANDER</v>
      </c>
      <c r="T74" s="10" t="e">
        <f>Tabela2[[#This Row],[Coluna72]]</f>
        <v>#REF!</v>
      </c>
      <c r="U74" s="10">
        <f>SUM(Tabela2[[#This Row],[Coluna9]],Tabela2[[#This Row],[Coluna10]])</f>
        <v>39</v>
      </c>
      <c r="V74" s="2">
        <f>Tabela2[[#This Row],[Coluna4]]</f>
        <v>45971</v>
      </c>
      <c r="W74" s="2">
        <f>Tabela2[[#This Row],[Coluna6]]</f>
        <v>45971</v>
      </c>
    </row>
    <row r="75" spans="2:23" x14ac:dyDescent="0.2">
      <c r="B75" t="s">
        <v>12</v>
      </c>
      <c r="C75" t="s">
        <v>95</v>
      </c>
      <c r="D75" t="s">
        <v>13</v>
      </c>
      <c r="E75" s="8">
        <v>45971</v>
      </c>
      <c r="F75" t="s">
        <v>42</v>
      </c>
      <c r="G75" s="8">
        <v>45971</v>
      </c>
      <c r="H75" t="s">
        <v>570</v>
      </c>
      <c r="I75" t="e">
        <f>VLOOKUP(Tabela2[[#This Row],[Coluna7]],[1]!Tabela1[#All],2,0)</f>
        <v>#REF!</v>
      </c>
      <c r="J75" t="s">
        <v>737</v>
      </c>
      <c r="L75">
        <v>271.45</v>
      </c>
      <c r="Q75" s="10" t="str">
        <f>Tabela2[[#This Row],[Coluna5]]</f>
        <v>11/2025</v>
      </c>
      <c r="R75" s="10" t="str">
        <f>IF(Tabela2[[#This Row],[Coluna9]]&gt;0,"Entrada","Saída")</f>
        <v>Saída</v>
      </c>
      <c r="S75" s="10" t="str">
        <f>Tabela2[[#This Row],[Coluna8]]</f>
        <v>CARTÃO SANTANDER</v>
      </c>
      <c r="T75" s="10" t="e">
        <f>Tabela2[[#This Row],[Coluna72]]</f>
        <v>#REF!</v>
      </c>
      <c r="U75" s="10">
        <f>SUM(Tabela2[[#This Row],[Coluna9]],Tabela2[[#This Row],[Coluna10]])</f>
        <v>271.45</v>
      </c>
      <c r="V75" s="2">
        <f>Tabela2[[#This Row],[Coluna4]]</f>
        <v>45971</v>
      </c>
      <c r="W75" s="2">
        <f>Tabela2[[#This Row],[Coluna6]]</f>
        <v>45971</v>
      </c>
    </row>
    <row r="76" spans="2:23" x14ac:dyDescent="0.2">
      <c r="B76" t="s">
        <v>12</v>
      </c>
      <c r="C76" t="s">
        <v>95</v>
      </c>
      <c r="D76" t="s">
        <v>13</v>
      </c>
      <c r="E76" s="8">
        <v>45971</v>
      </c>
      <c r="F76" t="s">
        <v>42</v>
      </c>
      <c r="G76" s="8">
        <v>45971</v>
      </c>
      <c r="H76" t="s">
        <v>435</v>
      </c>
      <c r="I76" t="e">
        <f>VLOOKUP(Tabela2[[#This Row],[Coluna7]],[1]!Tabela1[#All],2,0)</f>
        <v>#REF!</v>
      </c>
      <c r="J76" t="s">
        <v>737</v>
      </c>
      <c r="L76">
        <v>40.28</v>
      </c>
      <c r="Q76" s="10" t="str">
        <f>Tabela2[[#This Row],[Coluna5]]</f>
        <v>11/2025</v>
      </c>
      <c r="R76" s="10" t="str">
        <f>IF(Tabela2[[#This Row],[Coluna9]]&gt;0,"Entrada","Saída")</f>
        <v>Saída</v>
      </c>
      <c r="S76" s="10" t="str">
        <f>Tabela2[[#This Row],[Coluna8]]</f>
        <v>CARTÃO SANTANDER</v>
      </c>
      <c r="T76" s="10" t="e">
        <f>Tabela2[[#This Row],[Coluna72]]</f>
        <v>#REF!</v>
      </c>
      <c r="U76" s="10">
        <f>SUM(Tabela2[[#This Row],[Coluna9]],Tabela2[[#This Row],[Coluna10]])</f>
        <v>40.28</v>
      </c>
      <c r="V76" s="2">
        <f>Tabela2[[#This Row],[Coluna4]]</f>
        <v>45971</v>
      </c>
      <c r="W76" s="2">
        <f>Tabela2[[#This Row],[Coluna6]]</f>
        <v>45971</v>
      </c>
    </row>
    <row r="77" spans="2:23" x14ac:dyDescent="0.2">
      <c r="B77" t="s">
        <v>12</v>
      </c>
      <c r="C77" t="s">
        <v>95</v>
      </c>
      <c r="D77" t="s">
        <v>13</v>
      </c>
      <c r="E77" s="8">
        <v>45971</v>
      </c>
      <c r="F77" t="s">
        <v>42</v>
      </c>
      <c r="G77" s="8">
        <v>45971</v>
      </c>
      <c r="H77" t="s">
        <v>438</v>
      </c>
      <c r="I77" t="e">
        <f>VLOOKUP(Tabela2[[#This Row],[Coluna7]],[1]!Tabela1[#All],2,0)</f>
        <v>#REF!</v>
      </c>
      <c r="J77" t="s">
        <v>737</v>
      </c>
      <c r="L77">
        <v>68.09</v>
      </c>
      <c r="Q77" s="10" t="str">
        <f>Tabela2[[#This Row],[Coluna5]]</f>
        <v>11/2025</v>
      </c>
      <c r="R77" s="10" t="str">
        <f>IF(Tabela2[[#This Row],[Coluna9]]&gt;0,"Entrada","Saída")</f>
        <v>Saída</v>
      </c>
      <c r="S77" s="10" t="str">
        <f>Tabela2[[#This Row],[Coluna8]]</f>
        <v>CARTÃO SANTANDER</v>
      </c>
      <c r="T77" s="10" t="e">
        <f>Tabela2[[#This Row],[Coluna72]]</f>
        <v>#REF!</v>
      </c>
      <c r="U77" s="10">
        <f>SUM(Tabela2[[#This Row],[Coluna9]],Tabela2[[#This Row],[Coluna10]])</f>
        <v>68.09</v>
      </c>
      <c r="V77" s="2">
        <f>Tabela2[[#This Row],[Coluna4]]</f>
        <v>45971</v>
      </c>
      <c r="W77" s="2">
        <f>Tabela2[[#This Row],[Coluna6]]</f>
        <v>45971</v>
      </c>
    </row>
    <row r="78" spans="2:23" x14ac:dyDescent="0.2">
      <c r="B78" t="s">
        <v>12</v>
      </c>
      <c r="C78" t="s">
        <v>95</v>
      </c>
      <c r="D78" t="s">
        <v>13</v>
      </c>
      <c r="E78" s="8">
        <v>45971</v>
      </c>
      <c r="F78" t="s">
        <v>42</v>
      </c>
      <c r="G78" s="8">
        <v>45971</v>
      </c>
      <c r="H78" t="s">
        <v>469</v>
      </c>
      <c r="I78" t="e">
        <f>VLOOKUP(Tabela2[[#This Row],[Coluna7]],[1]!Tabela1[#All],2,0)</f>
        <v>#REF!</v>
      </c>
      <c r="J78" t="s">
        <v>737</v>
      </c>
      <c r="L78">
        <v>66.400000000000006</v>
      </c>
      <c r="Q78" s="10" t="str">
        <f>Tabela2[[#This Row],[Coluna5]]</f>
        <v>11/2025</v>
      </c>
      <c r="R78" s="10" t="str">
        <f>IF(Tabela2[[#This Row],[Coluna9]]&gt;0,"Entrada","Saída")</f>
        <v>Saída</v>
      </c>
      <c r="S78" s="10" t="str">
        <f>Tabela2[[#This Row],[Coluna8]]</f>
        <v>CARTÃO SANTANDER</v>
      </c>
      <c r="T78" s="10" t="e">
        <f>Tabela2[[#This Row],[Coluna72]]</f>
        <v>#REF!</v>
      </c>
      <c r="U78" s="10">
        <f>SUM(Tabela2[[#This Row],[Coluna9]],Tabela2[[#This Row],[Coluna10]])</f>
        <v>66.400000000000006</v>
      </c>
      <c r="V78" s="2">
        <f>Tabela2[[#This Row],[Coluna4]]</f>
        <v>45971</v>
      </c>
      <c r="W78" s="2">
        <f>Tabela2[[#This Row],[Coluna6]]</f>
        <v>45971</v>
      </c>
    </row>
    <row r="79" spans="2:23" x14ac:dyDescent="0.2">
      <c r="B79" t="s">
        <v>12</v>
      </c>
      <c r="C79" t="s">
        <v>95</v>
      </c>
      <c r="D79" t="s">
        <v>13</v>
      </c>
      <c r="E79" s="8">
        <v>45971</v>
      </c>
      <c r="F79" t="s">
        <v>42</v>
      </c>
      <c r="G79" s="8">
        <v>45971</v>
      </c>
      <c r="H79" t="s">
        <v>435</v>
      </c>
      <c r="I79" t="e">
        <f>VLOOKUP(Tabela2[[#This Row],[Coluna7]],[1]!Tabela1[#All],2,0)</f>
        <v>#REF!</v>
      </c>
      <c r="J79" t="s">
        <v>737</v>
      </c>
      <c r="L79">
        <v>33.630000000000003</v>
      </c>
      <c r="Q79" s="10" t="str">
        <f>Tabela2[[#This Row],[Coluna5]]</f>
        <v>11/2025</v>
      </c>
      <c r="R79" s="10" t="str">
        <f>IF(Tabela2[[#This Row],[Coluna9]]&gt;0,"Entrada","Saída")</f>
        <v>Saída</v>
      </c>
      <c r="S79" s="10" t="str">
        <f>Tabela2[[#This Row],[Coluna8]]</f>
        <v>CARTÃO SANTANDER</v>
      </c>
      <c r="T79" s="10" t="e">
        <f>Tabela2[[#This Row],[Coluna72]]</f>
        <v>#REF!</v>
      </c>
      <c r="U79" s="10">
        <f>SUM(Tabela2[[#This Row],[Coluna9]],Tabela2[[#This Row],[Coluna10]])</f>
        <v>33.630000000000003</v>
      </c>
      <c r="V79" s="2">
        <f>Tabela2[[#This Row],[Coluna4]]</f>
        <v>45971</v>
      </c>
      <c r="W79" s="2">
        <f>Tabela2[[#This Row],[Coluna6]]</f>
        <v>45971</v>
      </c>
    </row>
    <row r="80" spans="2:23" x14ac:dyDescent="0.2">
      <c r="B80" t="s">
        <v>12</v>
      </c>
      <c r="C80" t="s">
        <v>95</v>
      </c>
      <c r="D80" t="s">
        <v>13</v>
      </c>
      <c r="E80" s="8">
        <v>45971</v>
      </c>
      <c r="F80" t="s">
        <v>42</v>
      </c>
      <c r="G80" s="8">
        <v>45971</v>
      </c>
      <c r="H80" t="s">
        <v>458</v>
      </c>
      <c r="I80" t="e">
        <f>VLOOKUP(Tabela2[[#This Row],[Coluna7]],[1]!Tabela1[#All],2,0)</f>
        <v>#REF!</v>
      </c>
      <c r="J80" t="s">
        <v>737</v>
      </c>
      <c r="L80">
        <v>110</v>
      </c>
      <c r="Q80" s="10" t="str">
        <f>Tabela2[[#This Row],[Coluna5]]</f>
        <v>11/2025</v>
      </c>
      <c r="R80" s="10" t="str">
        <f>IF(Tabela2[[#This Row],[Coluna9]]&gt;0,"Entrada","Saída")</f>
        <v>Saída</v>
      </c>
      <c r="S80" s="10" t="str">
        <f>Tabela2[[#This Row],[Coluna8]]</f>
        <v>CARTÃO SANTANDER</v>
      </c>
      <c r="T80" s="10" t="e">
        <f>Tabela2[[#This Row],[Coluna72]]</f>
        <v>#REF!</v>
      </c>
      <c r="U80" s="10">
        <f>SUM(Tabela2[[#This Row],[Coluna9]],Tabela2[[#This Row],[Coluna10]])</f>
        <v>110</v>
      </c>
      <c r="V80" s="2">
        <f>Tabela2[[#This Row],[Coluna4]]</f>
        <v>45971</v>
      </c>
      <c r="W80" s="2">
        <f>Tabela2[[#This Row],[Coluna6]]</f>
        <v>45971</v>
      </c>
    </row>
    <row r="81" spans="2:23" x14ac:dyDescent="0.2">
      <c r="B81" t="s">
        <v>12</v>
      </c>
      <c r="C81" t="s">
        <v>95</v>
      </c>
      <c r="D81" t="s">
        <v>13</v>
      </c>
      <c r="E81" s="8">
        <v>45971</v>
      </c>
      <c r="F81" t="s">
        <v>42</v>
      </c>
      <c r="G81" s="8">
        <v>45971</v>
      </c>
      <c r="H81" t="s">
        <v>528</v>
      </c>
      <c r="I81" t="e">
        <f>VLOOKUP(Tabela2[[#This Row],[Coluna7]],[1]!Tabela1[#All],2,0)</f>
        <v>#REF!</v>
      </c>
      <c r="J81" t="s">
        <v>737</v>
      </c>
      <c r="L81">
        <v>80.91</v>
      </c>
      <c r="Q81" s="10" t="str">
        <f>Tabela2[[#This Row],[Coluna5]]</f>
        <v>11/2025</v>
      </c>
      <c r="R81" s="10" t="str">
        <f>IF(Tabela2[[#This Row],[Coluna9]]&gt;0,"Entrada","Saída")</f>
        <v>Saída</v>
      </c>
      <c r="S81" s="10" t="str">
        <f>Tabela2[[#This Row],[Coluna8]]</f>
        <v>CARTÃO SANTANDER</v>
      </c>
      <c r="T81" s="10" t="e">
        <f>Tabela2[[#This Row],[Coluna72]]</f>
        <v>#REF!</v>
      </c>
      <c r="U81" s="10">
        <f>SUM(Tabela2[[#This Row],[Coluna9]],Tabela2[[#This Row],[Coluna10]])</f>
        <v>80.91</v>
      </c>
      <c r="V81" s="2">
        <f>Tabela2[[#This Row],[Coluna4]]</f>
        <v>45971</v>
      </c>
      <c r="W81" s="2">
        <f>Tabela2[[#This Row],[Coluna6]]</f>
        <v>45971</v>
      </c>
    </row>
    <row r="82" spans="2:23" x14ac:dyDescent="0.2">
      <c r="B82" t="s">
        <v>12</v>
      </c>
      <c r="C82" t="s">
        <v>95</v>
      </c>
      <c r="D82" t="s">
        <v>13</v>
      </c>
      <c r="E82" s="8">
        <v>45971</v>
      </c>
      <c r="F82" t="s">
        <v>42</v>
      </c>
      <c r="G82" s="8">
        <v>45971</v>
      </c>
      <c r="H82" t="s">
        <v>435</v>
      </c>
      <c r="I82" t="e">
        <f>VLOOKUP(Tabela2[[#This Row],[Coluna7]],[1]!Tabela1[#All],2,0)</f>
        <v>#REF!</v>
      </c>
      <c r="J82" t="s">
        <v>737</v>
      </c>
      <c r="L82">
        <v>39.99</v>
      </c>
      <c r="Q82" s="10" t="str">
        <f>Tabela2[[#This Row],[Coluna5]]</f>
        <v>11/2025</v>
      </c>
      <c r="R82" s="10" t="str">
        <f>IF(Tabela2[[#This Row],[Coluna9]]&gt;0,"Entrada","Saída")</f>
        <v>Saída</v>
      </c>
      <c r="S82" s="10" t="str">
        <f>Tabela2[[#This Row],[Coluna8]]</f>
        <v>CARTÃO SANTANDER</v>
      </c>
      <c r="T82" s="10" t="e">
        <f>Tabela2[[#This Row],[Coluna72]]</f>
        <v>#REF!</v>
      </c>
      <c r="U82" s="10">
        <f>SUM(Tabela2[[#This Row],[Coluna9]],Tabela2[[#This Row],[Coluna10]])</f>
        <v>39.99</v>
      </c>
      <c r="V82" s="2">
        <f>Tabela2[[#This Row],[Coluna4]]</f>
        <v>45971</v>
      </c>
      <c r="W82" s="2">
        <f>Tabela2[[#This Row],[Coluna6]]</f>
        <v>45971</v>
      </c>
    </row>
    <row r="83" spans="2:23" x14ac:dyDescent="0.2">
      <c r="B83" t="s">
        <v>12</v>
      </c>
      <c r="C83" t="s">
        <v>95</v>
      </c>
      <c r="D83" t="s">
        <v>13</v>
      </c>
      <c r="E83" s="8">
        <v>45971</v>
      </c>
      <c r="F83" t="s">
        <v>42</v>
      </c>
      <c r="G83" s="8">
        <v>45971</v>
      </c>
      <c r="H83" t="s">
        <v>458</v>
      </c>
      <c r="I83" t="e">
        <f>VLOOKUP(Tabela2[[#This Row],[Coluna7]],[1]!Tabela1[#All],2,0)</f>
        <v>#REF!</v>
      </c>
      <c r="J83" t="s">
        <v>737</v>
      </c>
      <c r="L83">
        <v>200</v>
      </c>
      <c r="Q83" s="10" t="str">
        <f>Tabela2[[#This Row],[Coluna5]]</f>
        <v>11/2025</v>
      </c>
      <c r="R83" s="10" t="str">
        <f>IF(Tabela2[[#This Row],[Coluna9]]&gt;0,"Entrada","Saída")</f>
        <v>Saída</v>
      </c>
      <c r="S83" s="10" t="str">
        <f>Tabela2[[#This Row],[Coluna8]]</f>
        <v>CARTÃO SANTANDER</v>
      </c>
      <c r="T83" s="10" t="e">
        <f>Tabela2[[#This Row],[Coluna72]]</f>
        <v>#REF!</v>
      </c>
      <c r="U83" s="10">
        <f>SUM(Tabela2[[#This Row],[Coluna9]],Tabela2[[#This Row],[Coluna10]])</f>
        <v>200</v>
      </c>
      <c r="V83" s="2">
        <f>Tabela2[[#This Row],[Coluna4]]</f>
        <v>45971</v>
      </c>
      <c r="W83" s="2">
        <f>Tabela2[[#This Row],[Coluna6]]</f>
        <v>45971</v>
      </c>
    </row>
    <row r="84" spans="2:23" x14ac:dyDescent="0.2">
      <c r="B84" t="s">
        <v>12</v>
      </c>
      <c r="C84" t="s">
        <v>95</v>
      </c>
      <c r="D84" t="s">
        <v>13</v>
      </c>
      <c r="E84" s="8">
        <v>45971</v>
      </c>
      <c r="F84" t="s">
        <v>42</v>
      </c>
      <c r="G84" s="8">
        <v>45971</v>
      </c>
      <c r="H84" t="s">
        <v>458</v>
      </c>
      <c r="I84" t="e">
        <f>VLOOKUP(Tabela2[[#This Row],[Coluna7]],[1]!Tabela1[#All],2,0)</f>
        <v>#REF!</v>
      </c>
      <c r="J84" t="s">
        <v>737</v>
      </c>
      <c r="L84">
        <v>329.03</v>
      </c>
      <c r="Q84" s="10" t="str">
        <f>Tabela2[[#This Row],[Coluna5]]</f>
        <v>11/2025</v>
      </c>
      <c r="R84" s="10" t="str">
        <f>IF(Tabela2[[#This Row],[Coluna9]]&gt;0,"Entrada","Saída")</f>
        <v>Saída</v>
      </c>
      <c r="S84" s="10" t="str">
        <f>Tabela2[[#This Row],[Coluna8]]</f>
        <v>CARTÃO SANTANDER</v>
      </c>
      <c r="T84" s="10" t="e">
        <f>Tabela2[[#This Row],[Coluna72]]</f>
        <v>#REF!</v>
      </c>
      <c r="U84" s="10">
        <f>SUM(Tabela2[[#This Row],[Coluna9]],Tabela2[[#This Row],[Coluna10]])</f>
        <v>329.03</v>
      </c>
      <c r="V84" s="2">
        <f>Tabela2[[#This Row],[Coluna4]]</f>
        <v>45971</v>
      </c>
      <c r="W84" s="2">
        <f>Tabela2[[#This Row],[Coluna6]]</f>
        <v>45971</v>
      </c>
    </row>
    <row r="85" spans="2:23" x14ac:dyDescent="0.2">
      <c r="B85" t="s">
        <v>12</v>
      </c>
      <c r="C85" t="s">
        <v>95</v>
      </c>
      <c r="D85" t="s">
        <v>13</v>
      </c>
      <c r="E85" s="8">
        <v>45971</v>
      </c>
      <c r="F85" t="s">
        <v>42</v>
      </c>
      <c r="G85" s="8">
        <v>45971</v>
      </c>
      <c r="H85" t="s">
        <v>469</v>
      </c>
      <c r="I85" t="e">
        <f>VLOOKUP(Tabela2[[#This Row],[Coluna7]],[1]!Tabela1[#All],2,0)</f>
        <v>#REF!</v>
      </c>
      <c r="J85" t="s">
        <v>737</v>
      </c>
      <c r="L85">
        <v>53.65</v>
      </c>
      <c r="Q85" s="10" t="str">
        <f>Tabela2[[#This Row],[Coluna5]]</f>
        <v>11/2025</v>
      </c>
      <c r="R85" s="10" t="str">
        <f>IF(Tabela2[[#This Row],[Coluna9]]&gt;0,"Entrada","Saída")</f>
        <v>Saída</v>
      </c>
      <c r="S85" s="10" t="str">
        <f>Tabela2[[#This Row],[Coluna8]]</f>
        <v>CARTÃO SANTANDER</v>
      </c>
      <c r="T85" s="10" t="e">
        <f>Tabela2[[#This Row],[Coluna72]]</f>
        <v>#REF!</v>
      </c>
      <c r="U85" s="10">
        <f>SUM(Tabela2[[#This Row],[Coluna9]],Tabela2[[#This Row],[Coluna10]])</f>
        <v>53.65</v>
      </c>
      <c r="V85" s="2">
        <f>Tabela2[[#This Row],[Coluna4]]</f>
        <v>45971</v>
      </c>
      <c r="W85" s="2">
        <f>Tabela2[[#This Row],[Coluna6]]</f>
        <v>45971</v>
      </c>
    </row>
    <row r="86" spans="2:23" x14ac:dyDescent="0.2">
      <c r="B86" t="s">
        <v>12</v>
      </c>
      <c r="C86" t="s">
        <v>95</v>
      </c>
      <c r="D86" t="s">
        <v>13</v>
      </c>
      <c r="E86" s="8">
        <v>45971</v>
      </c>
      <c r="F86" t="s">
        <v>42</v>
      </c>
      <c r="G86" s="8">
        <v>45971</v>
      </c>
      <c r="H86" t="s">
        <v>469</v>
      </c>
      <c r="I86" t="e">
        <f>VLOOKUP(Tabela2[[#This Row],[Coluna7]],[1]!Tabela1[#All],2,0)</f>
        <v>#REF!</v>
      </c>
      <c r="J86" t="s">
        <v>737</v>
      </c>
      <c r="L86">
        <v>91.67</v>
      </c>
      <c r="Q86" s="10" t="str">
        <f>Tabela2[[#This Row],[Coluna5]]</f>
        <v>11/2025</v>
      </c>
      <c r="R86" s="10" t="str">
        <f>IF(Tabela2[[#This Row],[Coluna9]]&gt;0,"Entrada","Saída")</f>
        <v>Saída</v>
      </c>
      <c r="S86" s="10" t="str">
        <f>Tabela2[[#This Row],[Coluna8]]</f>
        <v>CARTÃO SANTANDER</v>
      </c>
      <c r="T86" s="10" t="e">
        <f>Tabela2[[#This Row],[Coluna72]]</f>
        <v>#REF!</v>
      </c>
      <c r="U86" s="10">
        <f>SUM(Tabela2[[#This Row],[Coluna9]],Tabela2[[#This Row],[Coluna10]])</f>
        <v>91.67</v>
      </c>
      <c r="V86" s="2">
        <f>Tabela2[[#This Row],[Coluna4]]</f>
        <v>45971</v>
      </c>
      <c r="W86" s="2">
        <f>Tabela2[[#This Row],[Coluna6]]</f>
        <v>45971</v>
      </c>
    </row>
    <row r="87" spans="2:23" x14ac:dyDescent="0.2">
      <c r="B87" t="s">
        <v>12</v>
      </c>
      <c r="C87" t="s">
        <v>95</v>
      </c>
      <c r="D87" t="s">
        <v>13</v>
      </c>
      <c r="E87" s="8">
        <v>45971</v>
      </c>
      <c r="F87" t="s">
        <v>42</v>
      </c>
      <c r="G87" s="8">
        <v>45971</v>
      </c>
      <c r="H87" t="s">
        <v>538</v>
      </c>
      <c r="I87" t="e">
        <f>VLOOKUP(Tabela2[[#This Row],[Coluna7]],[1]!Tabela1[#All],2,0)</f>
        <v>#REF!</v>
      </c>
      <c r="J87" t="s">
        <v>737</v>
      </c>
      <c r="L87">
        <v>24.34</v>
      </c>
      <c r="Q87" s="10" t="str">
        <f>Tabela2[[#This Row],[Coluna5]]</f>
        <v>11/2025</v>
      </c>
      <c r="R87" s="10" t="str">
        <f>IF(Tabela2[[#This Row],[Coluna9]]&gt;0,"Entrada","Saída")</f>
        <v>Saída</v>
      </c>
      <c r="S87" s="10" t="str">
        <f>Tabela2[[#This Row],[Coluna8]]</f>
        <v>CARTÃO SANTANDER</v>
      </c>
      <c r="T87" s="10" t="e">
        <f>Tabela2[[#This Row],[Coluna72]]</f>
        <v>#REF!</v>
      </c>
      <c r="U87" s="10">
        <f>SUM(Tabela2[[#This Row],[Coluna9]],Tabela2[[#This Row],[Coluna10]])</f>
        <v>24.34</v>
      </c>
      <c r="V87" s="2">
        <f>Tabela2[[#This Row],[Coluna4]]</f>
        <v>45971</v>
      </c>
      <c r="W87" s="2">
        <f>Tabela2[[#This Row],[Coluna6]]</f>
        <v>45971</v>
      </c>
    </row>
    <row r="88" spans="2:23" x14ac:dyDescent="0.2">
      <c r="B88" t="s">
        <v>12</v>
      </c>
      <c r="C88" t="s">
        <v>95</v>
      </c>
      <c r="D88" t="s">
        <v>13</v>
      </c>
      <c r="E88" s="8">
        <v>45971</v>
      </c>
      <c r="F88" t="s">
        <v>42</v>
      </c>
      <c r="G88" s="8">
        <v>45971</v>
      </c>
      <c r="H88" t="s">
        <v>570</v>
      </c>
      <c r="I88" t="e">
        <f>VLOOKUP(Tabela2[[#This Row],[Coluna7]],[1]!Tabela1[#All],2,0)</f>
        <v>#REF!</v>
      </c>
      <c r="J88" t="s">
        <v>737</v>
      </c>
      <c r="L88">
        <v>127.88</v>
      </c>
      <c r="Q88" s="10" t="str">
        <f>Tabela2[[#This Row],[Coluna5]]</f>
        <v>11/2025</v>
      </c>
      <c r="R88" s="10" t="str">
        <f>IF(Tabela2[[#This Row],[Coluna9]]&gt;0,"Entrada","Saída")</f>
        <v>Saída</v>
      </c>
      <c r="S88" s="10" t="str">
        <f>Tabela2[[#This Row],[Coluna8]]</f>
        <v>CARTÃO SANTANDER</v>
      </c>
      <c r="T88" s="10" t="e">
        <f>Tabela2[[#This Row],[Coluna72]]</f>
        <v>#REF!</v>
      </c>
      <c r="U88" s="10">
        <f>SUM(Tabela2[[#This Row],[Coluna9]],Tabela2[[#This Row],[Coluna10]])</f>
        <v>127.88</v>
      </c>
      <c r="V88" s="2">
        <f>Tabela2[[#This Row],[Coluna4]]</f>
        <v>45971</v>
      </c>
      <c r="W88" s="2">
        <f>Tabela2[[#This Row],[Coluna6]]</f>
        <v>45971</v>
      </c>
    </row>
    <row r="89" spans="2:23" x14ac:dyDescent="0.2">
      <c r="B89" t="s">
        <v>12</v>
      </c>
      <c r="C89" t="s">
        <v>95</v>
      </c>
      <c r="D89" t="s">
        <v>13</v>
      </c>
      <c r="E89" s="8">
        <v>45971</v>
      </c>
      <c r="F89" t="s">
        <v>42</v>
      </c>
      <c r="G89" s="8">
        <v>45971</v>
      </c>
      <c r="H89" t="s">
        <v>458</v>
      </c>
      <c r="I89" t="e">
        <f>VLOOKUP(Tabela2[[#This Row],[Coluna7]],[1]!Tabela1[#All],2,0)</f>
        <v>#REF!</v>
      </c>
      <c r="J89" t="s">
        <v>737</v>
      </c>
      <c r="L89">
        <v>263.01</v>
      </c>
      <c r="Q89" s="10" t="str">
        <f>Tabela2[[#This Row],[Coluna5]]</f>
        <v>11/2025</v>
      </c>
      <c r="R89" s="10" t="str">
        <f>IF(Tabela2[[#This Row],[Coluna9]]&gt;0,"Entrada","Saída")</f>
        <v>Saída</v>
      </c>
      <c r="S89" s="10" t="str">
        <f>Tabela2[[#This Row],[Coluna8]]</f>
        <v>CARTÃO SANTANDER</v>
      </c>
      <c r="T89" s="10" t="e">
        <f>Tabela2[[#This Row],[Coluna72]]</f>
        <v>#REF!</v>
      </c>
      <c r="U89" s="10">
        <f>SUM(Tabela2[[#This Row],[Coluna9]],Tabela2[[#This Row],[Coluna10]])</f>
        <v>263.01</v>
      </c>
      <c r="V89" s="2">
        <f>Tabela2[[#This Row],[Coluna4]]</f>
        <v>45971</v>
      </c>
      <c r="W89" s="2">
        <f>Tabela2[[#This Row],[Coluna6]]</f>
        <v>45971</v>
      </c>
    </row>
    <row r="90" spans="2:23" x14ac:dyDescent="0.2">
      <c r="B90" t="s">
        <v>12</v>
      </c>
      <c r="C90" t="s">
        <v>95</v>
      </c>
      <c r="D90" t="s">
        <v>13</v>
      </c>
      <c r="E90" s="8">
        <v>45971</v>
      </c>
      <c r="F90" t="s">
        <v>42</v>
      </c>
      <c r="G90" s="8">
        <v>45971</v>
      </c>
      <c r="H90" t="s">
        <v>443</v>
      </c>
      <c r="I90" t="e">
        <f>VLOOKUP(Tabela2[[#This Row],[Coluna7]],[1]!Tabela1[#All],2,0)</f>
        <v>#REF!</v>
      </c>
      <c r="J90" t="s">
        <v>737</v>
      </c>
      <c r="L90">
        <v>23</v>
      </c>
      <c r="Q90" s="10" t="str">
        <f>Tabela2[[#This Row],[Coluna5]]</f>
        <v>11/2025</v>
      </c>
      <c r="R90" s="10" t="str">
        <f>IF(Tabela2[[#This Row],[Coluna9]]&gt;0,"Entrada","Saída")</f>
        <v>Saída</v>
      </c>
      <c r="S90" s="10" t="str">
        <f>Tabela2[[#This Row],[Coluna8]]</f>
        <v>CARTÃO SANTANDER</v>
      </c>
      <c r="T90" s="10" t="e">
        <f>Tabela2[[#This Row],[Coluna72]]</f>
        <v>#REF!</v>
      </c>
      <c r="U90" s="10">
        <f>SUM(Tabela2[[#This Row],[Coluna9]],Tabela2[[#This Row],[Coluna10]])</f>
        <v>23</v>
      </c>
      <c r="V90" s="2">
        <f>Tabela2[[#This Row],[Coluna4]]</f>
        <v>45971</v>
      </c>
      <c r="W90" s="2">
        <f>Tabela2[[#This Row],[Coluna6]]</f>
        <v>45971</v>
      </c>
    </row>
    <row r="91" spans="2:23" x14ac:dyDescent="0.2">
      <c r="B91" t="s">
        <v>12</v>
      </c>
      <c r="C91" t="s">
        <v>95</v>
      </c>
      <c r="D91" t="s">
        <v>13</v>
      </c>
      <c r="E91" s="8">
        <v>45971</v>
      </c>
      <c r="F91" t="s">
        <v>42</v>
      </c>
      <c r="G91" s="8">
        <v>45971</v>
      </c>
      <c r="H91" t="s">
        <v>458</v>
      </c>
      <c r="I91" t="e">
        <f>VLOOKUP(Tabela2[[#This Row],[Coluna7]],[1]!Tabela1[#All],2,0)</f>
        <v>#REF!</v>
      </c>
      <c r="J91" t="s">
        <v>737</v>
      </c>
      <c r="L91">
        <v>617.5</v>
      </c>
      <c r="Q91" s="10" t="str">
        <f>Tabela2[[#This Row],[Coluna5]]</f>
        <v>11/2025</v>
      </c>
      <c r="R91" s="10" t="str">
        <f>IF(Tabela2[[#This Row],[Coluna9]]&gt;0,"Entrada","Saída")</f>
        <v>Saída</v>
      </c>
      <c r="S91" s="10" t="str">
        <f>Tabela2[[#This Row],[Coluna8]]</f>
        <v>CARTÃO SANTANDER</v>
      </c>
      <c r="T91" s="10" t="e">
        <f>Tabela2[[#This Row],[Coluna72]]</f>
        <v>#REF!</v>
      </c>
      <c r="U91" s="10">
        <f>SUM(Tabela2[[#This Row],[Coluna9]],Tabela2[[#This Row],[Coluna10]])</f>
        <v>617.5</v>
      </c>
      <c r="V91" s="2">
        <f>Tabela2[[#This Row],[Coluna4]]</f>
        <v>45971</v>
      </c>
      <c r="W91" s="2">
        <f>Tabela2[[#This Row],[Coluna6]]</f>
        <v>45971</v>
      </c>
    </row>
    <row r="92" spans="2:23" x14ac:dyDescent="0.2">
      <c r="B92" t="s">
        <v>12</v>
      </c>
      <c r="C92" t="s">
        <v>95</v>
      </c>
      <c r="D92" t="s">
        <v>13</v>
      </c>
      <c r="E92" s="8">
        <v>45971</v>
      </c>
      <c r="F92" t="s">
        <v>42</v>
      </c>
      <c r="G92" s="8">
        <v>45971</v>
      </c>
      <c r="H92" t="s">
        <v>458</v>
      </c>
      <c r="I92" t="e">
        <f>VLOOKUP(Tabela2[[#This Row],[Coluna7]],[1]!Tabela1[#All],2,0)</f>
        <v>#REF!</v>
      </c>
      <c r="J92" t="s">
        <v>737</v>
      </c>
      <c r="L92">
        <v>7.81</v>
      </c>
      <c r="Q92" s="10" t="str">
        <f>Tabela2[[#This Row],[Coluna5]]</f>
        <v>11/2025</v>
      </c>
      <c r="R92" s="10" t="str">
        <f>IF(Tabela2[[#This Row],[Coluna9]]&gt;0,"Entrada","Saída")</f>
        <v>Saída</v>
      </c>
      <c r="S92" s="10" t="str">
        <f>Tabela2[[#This Row],[Coluna8]]</f>
        <v>CARTÃO SANTANDER</v>
      </c>
      <c r="T92" s="10" t="e">
        <f>Tabela2[[#This Row],[Coluna72]]</f>
        <v>#REF!</v>
      </c>
      <c r="U92" s="10">
        <f>SUM(Tabela2[[#This Row],[Coluna9]],Tabela2[[#This Row],[Coluna10]])</f>
        <v>7.81</v>
      </c>
      <c r="V92" s="2">
        <f>Tabela2[[#This Row],[Coluna4]]</f>
        <v>45971</v>
      </c>
      <c r="W92" s="2">
        <f>Tabela2[[#This Row],[Coluna6]]</f>
        <v>45971</v>
      </c>
    </row>
    <row r="93" spans="2:23" x14ac:dyDescent="0.2">
      <c r="B93" t="s">
        <v>12</v>
      </c>
      <c r="C93" t="s">
        <v>95</v>
      </c>
      <c r="D93" t="s">
        <v>13</v>
      </c>
      <c r="E93" s="8">
        <v>45971</v>
      </c>
      <c r="F93" t="s">
        <v>42</v>
      </c>
      <c r="G93" s="8">
        <v>45971</v>
      </c>
      <c r="H93" t="s">
        <v>538</v>
      </c>
      <c r="I93" t="e">
        <f>VLOOKUP(Tabela2[[#This Row],[Coluna7]],[1]!Tabela1[#All],2,0)</f>
        <v>#REF!</v>
      </c>
      <c r="J93" t="s">
        <v>737</v>
      </c>
      <c r="L93">
        <v>5.9</v>
      </c>
      <c r="Q93" s="10" t="str">
        <f>Tabela2[[#This Row],[Coluna5]]</f>
        <v>11/2025</v>
      </c>
      <c r="R93" s="10" t="str">
        <f>IF(Tabela2[[#This Row],[Coluna9]]&gt;0,"Entrada","Saída")</f>
        <v>Saída</v>
      </c>
      <c r="S93" s="10" t="str">
        <f>Tabela2[[#This Row],[Coluna8]]</f>
        <v>CARTÃO SANTANDER</v>
      </c>
      <c r="T93" s="10" t="e">
        <f>Tabela2[[#This Row],[Coluna72]]</f>
        <v>#REF!</v>
      </c>
      <c r="U93" s="10">
        <f>SUM(Tabela2[[#This Row],[Coluna9]],Tabela2[[#This Row],[Coluna10]])</f>
        <v>5.9</v>
      </c>
      <c r="V93" s="2">
        <f>Tabela2[[#This Row],[Coluna4]]</f>
        <v>45971</v>
      </c>
      <c r="W93" s="2">
        <f>Tabela2[[#This Row],[Coluna6]]</f>
        <v>45971</v>
      </c>
    </row>
    <row r="94" spans="2:23" x14ac:dyDescent="0.2">
      <c r="B94" t="s">
        <v>12</v>
      </c>
      <c r="C94" t="s">
        <v>95</v>
      </c>
      <c r="D94" t="s">
        <v>13</v>
      </c>
      <c r="E94" s="8">
        <v>45971</v>
      </c>
      <c r="F94" t="s">
        <v>42</v>
      </c>
      <c r="G94" s="8">
        <v>45971</v>
      </c>
      <c r="H94" t="s">
        <v>488</v>
      </c>
      <c r="I94" t="e">
        <f>VLOOKUP(Tabela2[[#This Row],[Coluna7]],[1]!Tabela1[#All],2,0)</f>
        <v>#REF!</v>
      </c>
      <c r="J94" t="s">
        <v>737</v>
      </c>
      <c r="L94">
        <v>30</v>
      </c>
      <c r="Q94" s="10" t="str">
        <f>Tabela2[[#This Row],[Coluna5]]</f>
        <v>11/2025</v>
      </c>
      <c r="R94" s="10" t="str">
        <f>IF(Tabela2[[#This Row],[Coluna9]]&gt;0,"Entrada","Saída")</f>
        <v>Saída</v>
      </c>
      <c r="S94" s="10" t="str">
        <f>Tabela2[[#This Row],[Coluna8]]</f>
        <v>CARTÃO SANTANDER</v>
      </c>
      <c r="T94" s="10" t="e">
        <f>Tabela2[[#This Row],[Coluna72]]</f>
        <v>#REF!</v>
      </c>
      <c r="U94" s="10">
        <f>SUM(Tabela2[[#This Row],[Coluna9]],Tabela2[[#This Row],[Coluna10]])</f>
        <v>30</v>
      </c>
      <c r="V94" s="2">
        <f>Tabela2[[#This Row],[Coluna4]]</f>
        <v>45971</v>
      </c>
      <c r="W94" s="2">
        <f>Tabela2[[#This Row],[Coluna6]]</f>
        <v>45971</v>
      </c>
    </row>
    <row r="95" spans="2:23" x14ac:dyDescent="0.2">
      <c r="B95" t="s">
        <v>12</v>
      </c>
      <c r="C95" t="s">
        <v>95</v>
      </c>
      <c r="D95" t="s">
        <v>13</v>
      </c>
      <c r="E95" s="8">
        <v>45971</v>
      </c>
      <c r="F95" t="s">
        <v>42</v>
      </c>
      <c r="G95" s="8">
        <v>45971</v>
      </c>
      <c r="H95" t="s">
        <v>445</v>
      </c>
      <c r="I95" t="e">
        <f>VLOOKUP(Tabela2[[#This Row],[Coluna7]],[1]!Tabela1[#All],2,0)</f>
        <v>#REF!</v>
      </c>
      <c r="J95" t="s">
        <v>737</v>
      </c>
      <c r="L95">
        <v>113.12</v>
      </c>
      <c r="Q95" s="10" t="str">
        <f>Tabela2[[#This Row],[Coluna5]]</f>
        <v>11/2025</v>
      </c>
      <c r="R95" s="10" t="str">
        <f>IF(Tabela2[[#This Row],[Coluna9]]&gt;0,"Entrada","Saída")</f>
        <v>Saída</v>
      </c>
      <c r="S95" s="10" t="str">
        <f>Tabela2[[#This Row],[Coluna8]]</f>
        <v>CARTÃO SANTANDER</v>
      </c>
      <c r="T95" s="10" t="e">
        <f>Tabela2[[#This Row],[Coluna72]]</f>
        <v>#REF!</v>
      </c>
      <c r="U95" s="10">
        <f>SUM(Tabela2[[#This Row],[Coluna9]],Tabela2[[#This Row],[Coluna10]])</f>
        <v>113.12</v>
      </c>
      <c r="V95" s="2">
        <f>Tabela2[[#This Row],[Coluna4]]</f>
        <v>45971</v>
      </c>
      <c r="W95" s="2">
        <f>Tabela2[[#This Row],[Coluna6]]</f>
        <v>45971</v>
      </c>
    </row>
    <row r="96" spans="2:23" x14ac:dyDescent="0.2">
      <c r="B96" t="s">
        <v>12</v>
      </c>
      <c r="C96" t="s">
        <v>95</v>
      </c>
      <c r="D96" t="s">
        <v>13</v>
      </c>
      <c r="E96" s="8">
        <v>45971</v>
      </c>
      <c r="F96" t="s">
        <v>42</v>
      </c>
      <c r="G96" s="8">
        <v>45971</v>
      </c>
      <c r="H96" t="s">
        <v>739</v>
      </c>
      <c r="I96" t="e">
        <f>VLOOKUP(Tabela2[[#This Row],[Coluna7]],[1]!Tabela1[#All],2,0)</f>
        <v>#REF!</v>
      </c>
      <c r="J96" t="s">
        <v>737</v>
      </c>
      <c r="L96">
        <v>3.96</v>
      </c>
      <c r="Q96" s="10" t="str">
        <f>Tabela2[[#This Row],[Coluna5]]</f>
        <v>11/2025</v>
      </c>
      <c r="R96" s="10" t="str">
        <f>IF(Tabela2[[#This Row],[Coluna9]]&gt;0,"Entrada","Saída")</f>
        <v>Saída</v>
      </c>
      <c r="S96" s="10" t="str">
        <f>Tabela2[[#This Row],[Coluna8]]</f>
        <v>CARTÃO SANTANDER</v>
      </c>
      <c r="T96" s="10" t="e">
        <f>Tabela2[[#This Row],[Coluna72]]</f>
        <v>#REF!</v>
      </c>
      <c r="U96" s="10">
        <f>SUM(Tabela2[[#This Row],[Coluna9]],Tabela2[[#This Row],[Coluna10]])</f>
        <v>3.96</v>
      </c>
      <c r="V96" s="2">
        <f>Tabela2[[#This Row],[Coluna4]]</f>
        <v>45971</v>
      </c>
      <c r="W96" s="2">
        <f>Tabela2[[#This Row],[Coluna6]]</f>
        <v>45971</v>
      </c>
    </row>
    <row r="97" spans="2:23" x14ac:dyDescent="0.2">
      <c r="B97" t="s">
        <v>12</v>
      </c>
      <c r="C97" t="s">
        <v>95</v>
      </c>
      <c r="D97" t="s">
        <v>13</v>
      </c>
      <c r="E97" s="8">
        <v>45971</v>
      </c>
      <c r="F97" t="s">
        <v>42</v>
      </c>
      <c r="G97" s="8">
        <v>45971</v>
      </c>
      <c r="H97" t="s">
        <v>488</v>
      </c>
      <c r="I97" t="e">
        <f>VLOOKUP(Tabela2[[#This Row],[Coluna7]],[1]!Tabela1[#All],2,0)</f>
        <v>#REF!</v>
      </c>
      <c r="J97" t="s">
        <v>737</v>
      </c>
      <c r="L97">
        <v>10</v>
      </c>
      <c r="Q97" s="10" t="str">
        <f>Tabela2[[#This Row],[Coluna5]]</f>
        <v>11/2025</v>
      </c>
      <c r="R97" s="10" t="str">
        <f>IF(Tabela2[[#This Row],[Coluna9]]&gt;0,"Entrada","Saída")</f>
        <v>Saída</v>
      </c>
      <c r="S97" s="10" t="str">
        <f>Tabela2[[#This Row],[Coluna8]]</f>
        <v>CARTÃO SANTANDER</v>
      </c>
      <c r="T97" s="10" t="e">
        <f>Tabela2[[#This Row],[Coluna72]]</f>
        <v>#REF!</v>
      </c>
      <c r="U97" s="10">
        <f>SUM(Tabela2[[#This Row],[Coluna9]],Tabela2[[#This Row],[Coluna10]])</f>
        <v>10</v>
      </c>
      <c r="V97" s="2">
        <f>Tabela2[[#This Row],[Coluna4]]</f>
        <v>45971</v>
      </c>
      <c r="W97" s="2">
        <f>Tabela2[[#This Row],[Coluna6]]</f>
        <v>45971</v>
      </c>
    </row>
    <row r="98" spans="2:23" x14ac:dyDescent="0.2">
      <c r="B98" t="s">
        <v>12</v>
      </c>
      <c r="C98" t="s">
        <v>95</v>
      </c>
      <c r="D98" t="s">
        <v>13</v>
      </c>
      <c r="E98" s="8">
        <v>45971</v>
      </c>
      <c r="F98" t="s">
        <v>42</v>
      </c>
      <c r="G98" s="8">
        <v>45971</v>
      </c>
      <c r="H98" t="s">
        <v>746</v>
      </c>
      <c r="I98" t="e">
        <f>VLOOKUP(Tabela2[[#This Row],[Coluna7]],[1]!Tabela1[#All],2,0)</f>
        <v>#REF!</v>
      </c>
      <c r="J98" t="s">
        <v>737</v>
      </c>
      <c r="L98">
        <v>323.89</v>
      </c>
      <c r="Q98" s="10" t="str">
        <f>Tabela2[[#This Row],[Coluna5]]</f>
        <v>11/2025</v>
      </c>
      <c r="R98" s="10" t="str">
        <f>IF(Tabela2[[#This Row],[Coluna9]]&gt;0,"Entrada","Saída")</f>
        <v>Saída</v>
      </c>
      <c r="S98" s="10" t="str">
        <f>Tabela2[[#This Row],[Coluna8]]</f>
        <v>CARTÃO SANTANDER</v>
      </c>
      <c r="T98" s="10" t="e">
        <f>Tabela2[[#This Row],[Coluna72]]</f>
        <v>#REF!</v>
      </c>
      <c r="U98" s="10">
        <f>SUM(Tabela2[[#This Row],[Coluna9]],Tabela2[[#This Row],[Coluna10]])</f>
        <v>323.89</v>
      </c>
      <c r="V98" s="2">
        <f>Tabela2[[#This Row],[Coluna4]]</f>
        <v>45971</v>
      </c>
      <c r="W98" s="2">
        <f>Tabela2[[#This Row],[Coluna6]]</f>
        <v>45971</v>
      </c>
    </row>
    <row r="99" spans="2:23" x14ac:dyDescent="0.2">
      <c r="B99" t="s">
        <v>12</v>
      </c>
      <c r="C99" t="s">
        <v>95</v>
      </c>
      <c r="D99" t="s">
        <v>13</v>
      </c>
      <c r="E99" s="8">
        <v>45971</v>
      </c>
      <c r="F99" t="s">
        <v>42</v>
      </c>
      <c r="G99" s="8">
        <v>45971</v>
      </c>
      <c r="H99" t="s">
        <v>538</v>
      </c>
      <c r="I99" t="e">
        <f>VLOOKUP(Tabela2[[#This Row],[Coluna7]],[1]!Tabela1[#All],2,0)</f>
        <v>#REF!</v>
      </c>
      <c r="J99" t="s">
        <v>737</v>
      </c>
      <c r="L99">
        <v>40</v>
      </c>
      <c r="Q99" s="10" t="str">
        <f>Tabela2[[#This Row],[Coluna5]]</f>
        <v>11/2025</v>
      </c>
      <c r="R99" s="10" t="str">
        <f>IF(Tabela2[[#This Row],[Coluna9]]&gt;0,"Entrada","Saída")</f>
        <v>Saída</v>
      </c>
      <c r="S99" s="10" t="str">
        <f>Tabela2[[#This Row],[Coluna8]]</f>
        <v>CARTÃO SANTANDER</v>
      </c>
      <c r="T99" s="10" t="e">
        <f>Tabela2[[#This Row],[Coluna72]]</f>
        <v>#REF!</v>
      </c>
      <c r="U99" s="10">
        <f>SUM(Tabela2[[#This Row],[Coluna9]],Tabela2[[#This Row],[Coluna10]])</f>
        <v>40</v>
      </c>
      <c r="V99" s="2">
        <f>Tabela2[[#This Row],[Coluna4]]</f>
        <v>45971</v>
      </c>
      <c r="W99" s="2">
        <f>Tabela2[[#This Row],[Coluna6]]</f>
        <v>45971</v>
      </c>
    </row>
    <row r="100" spans="2:23" x14ac:dyDescent="0.2">
      <c r="B100" t="s">
        <v>12</v>
      </c>
      <c r="C100" t="s">
        <v>95</v>
      </c>
      <c r="D100" t="s">
        <v>13</v>
      </c>
      <c r="E100" s="8">
        <v>45971</v>
      </c>
      <c r="F100" t="s">
        <v>42</v>
      </c>
      <c r="G100" s="8">
        <v>45971</v>
      </c>
      <c r="H100" t="s">
        <v>488</v>
      </c>
      <c r="I100" t="e">
        <f>VLOOKUP(Tabela2[[#This Row],[Coluna7]],[1]!Tabela1[#All],2,0)</f>
        <v>#REF!</v>
      </c>
      <c r="J100" t="s">
        <v>737</v>
      </c>
      <c r="L100">
        <v>24.5</v>
      </c>
      <c r="Q100" s="10" t="str">
        <f>Tabela2[[#This Row],[Coluna5]]</f>
        <v>11/2025</v>
      </c>
      <c r="R100" s="10" t="str">
        <f>IF(Tabela2[[#This Row],[Coluna9]]&gt;0,"Entrada","Saída")</f>
        <v>Saída</v>
      </c>
      <c r="S100" s="10" t="str">
        <f>Tabela2[[#This Row],[Coluna8]]</f>
        <v>CARTÃO SANTANDER</v>
      </c>
      <c r="T100" s="10" t="e">
        <f>Tabela2[[#This Row],[Coluna72]]</f>
        <v>#REF!</v>
      </c>
      <c r="U100" s="10">
        <f>SUM(Tabela2[[#This Row],[Coluna9]],Tabela2[[#This Row],[Coluna10]])</f>
        <v>24.5</v>
      </c>
      <c r="V100" s="2">
        <f>Tabela2[[#This Row],[Coluna4]]</f>
        <v>45971</v>
      </c>
      <c r="W100" s="2">
        <f>Tabela2[[#This Row],[Coluna6]]</f>
        <v>45971</v>
      </c>
    </row>
    <row r="101" spans="2:23" x14ac:dyDescent="0.2">
      <c r="B101" t="s">
        <v>12</v>
      </c>
      <c r="C101" t="s">
        <v>95</v>
      </c>
      <c r="D101" t="s">
        <v>13</v>
      </c>
      <c r="E101" s="8">
        <v>45971</v>
      </c>
      <c r="F101" t="s">
        <v>42</v>
      </c>
      <c r="G101" s="8">
        <v>45971</v>
      </c>
      <c r="H101" t="s">
        <v>458</v>
      </c>
      <c r="I101" t="e">
        <f>VLOOKUP(Tabela2[[#This Row],[Coluna7]],[1]!Tabela1[#All],2,0)</f>
        <v>#REF!</v>
      </c>
      <c r="J101" t="s">
        <v>737</v>
      </c>
      <c r="L101">
        <v>71</v>
      </c>
      <c r="Q101" s="10" t="str">
        <f>Tabela2[[#This Row],[Coluna5]]</f>
        <v>11/2025</v>
      </c>
      <c r="R101" s="10" t="str">
        <f>IF(Tabela2[[#This Row],[Coluna9]]&gt;0,"Entrada","Saída")</f>
        <v>Saída</v>
      </c>
      <c r="S101" s="10" t="str">
        <f>Tabela2[[#This Row],[Coluna8]]</f>
        <v>CARTÃO SANTANDER</v>
      </c>
      <c r="T101" s="10" t="e">
        <f>Tabela2[[#This Row],[Coluna72]]</f>
        <v>#REF!</v>
      </c>
      <c r="U101" s="10">
        <f>SUM(Tabela2[[#This Row],[Coluna9]],Tabela2[[#This Row],[Coluna10]])</f>
        <v>71</v>
      </c>
      <c r="V101" s="2">
        <f>Tabela2[[#This Row],[Coluna4]]</f>
        <v>45971</v>
      </c>
      <c r="W101" s="2">
        <f>Tabela2[[#This Row],[Coluna6]]</f>
        <v>45971</v>
      </c>
    </row>
    <row r="102" spans="2:23" x14ac:dyDescent="0.2">
      <c r="B102" t="s">
        <v>12</v>
      </c>
      <c r="C102" t="s">
        <v>95</v>
      </c>
      <c r="D102" t="s">
        <v>13</v>
      </c>
      <c r="E102" s="8">
        <v>45971</v>
      </c>
      <c r="F102" t="s">
        <v>42</v>
      </c>
      <c r="G102" s="8">
        <v>45971</v>
      </c>
      <c r="H102" t="s">
        <v>445</v>
      </c>
      <c r="I102" t="e">
        <f>VLOOKUP(Tabela2[[#This Row],[Coluna7]],[1]!Tabela1[#All],2,0)</f>
        <v>#REF!</v>
      </c>
      <c r="J102" t="s">
        <v>737</v>
      </c>
      <c r="L102">
        <v>125</v>
      </c>
      <c r="Q102" s="10" t="str">
        <f>Tabela2[[#This Row],[Coluna5]]</f>
        <v>11/2025</v>
      </c>
      <c r="R102" s="10" t="str">
        <f>IF(Tabela2[[#This Row],[Coluna9]]&gt;0,"Entrada","Saída")</f>
        <v>Saída</v>
      </c>
      <c r="S102" s="10" t="str">
        <f>Tabela2[[#This Row],[Coluna8]]</f>
        <v>CARTÃO SANTANDER</v>
      </c>
      <c r="T102" s="10" t="e">
        <f>Tabela2[[#This Row],[Coluna72]]</f>
        <v>#REF!</v>
      </c>
      <c r="U102" s="10">
        <f>SUM(Tabela2[[#This Row],[Coluna9]],Tabela2[[#This Row],[Coluna10]])</f>
        <v>125</v>
      </c>
      <c r="V102" s="2">
        <f>Tabela2[[#This Row],[Coluna4]]</f>
        <v>45971</v>
      </c>
      <c r="W102" s="2">
        <f>Tabela2[[#This Row],[Coluna6]]</f>
        <v>45971</v>
      </c>
    </row>
    <row r="103" spans="2:23" x14ac:dyDescent="0.2">
      <c r="B103" t="s">
        <v>12</v>
      </c>
      <c r="C103" t="s">
        <v>95</v>
      </c>
      <c r="D103" t="s">
        <v>13</v>
      </c>
      <c r="E103" s="8">
        <v>45971</v>
      </c>
      <c r="F103" t="s">
        <v>42</v>
      </c>
      <c r="G103" s="8">
        <v>45971</v>
      </c>
      <c r="H103" t="s">
        <v>538</v>
      </c>
      <c r="I103" t="e">
        <f>VLOOKUP(Tabela2[[#This Row],[Coluna7]],[1]!Tabela1[#All],2,0)</f>
        <v>#REF!</v>
      </c>
      <c r="J103" t="s">
        <v>737</v>
      </c>
      <c r="L103">
        <v>97.95</v>
      </c>
      <c r="Q103" s="10" t="str">
        <f>Tabela2[[#This Row],[Coluna5]]</f>
        <v>11/2025</v>
      </c>
      <c r="R103" s="10" t="str">
        <f>IF(Tabela2[[#This Row],[Coluna9]]&gt;0,"Entrada","Saída")</f>
        <v>Saída</v>
      </c>
      <c r="S103" s="10" t="str">
        <f>Tabela2[[#This Row],[Coluna8]]</f>
        <v>CARTÃO SANTANDER</v>
      </c>
      <c r="T103" s="10" t="e">
        <f>Tabela2[[#This Row],[Coluna72]]</f>
        <v>#REF!</v>
      </c>
      <c r="U103" s="10">
        <f>SUM(Tabela2[[#This Row],[Coluna9]],Tabela2[[#This Row],[Coluna10]])</f>
        <v>97.95</v>
      </c>
      <c r="V103" s="2">
        <f>Tabela2[[#This Row],[Coluna4]]</f>
        <v>45971</v>
      </c>
      <c r="W103" s="2">
        <f>Tabela2[[#This Row],[Coluna6]]</f>
        <v>45971</v>
      </c>
    </row>
    <row r="104" spans="2:23" x14ac:dyDescent="0.2">
      <c r="B104" t="s">
        <v>12</v>
      </c>
      <c r="C104" t="s">
        <v>95</v>
      </c>
      <c r="D104" t="s">
        <v>13</v>
      </c>
      <c r="E104" s="8">
        <v>45971</v>
      </c>
      <c r="F104" t="s">
        <v>42</v>
      </c>
      <c r="G104" s="8">
        <v>45971</v>
      </c>
      <c r="H104" t="s">
        <v>538</v>
      </c>
      <c r="I104" t="e">
        <f>VLOOKUP(Tabela2[[#This Row],[Coluna7]],[1]!Tabela1[#All],2,0)</f>
        <v>#REF!</v>
      </c>
      <c r="J104" t="s">
        <v>737</v>
      </c>
      <c r="L104">
        <v>79.900000000000006</v>
      </c>
      <c r="Q104" s="10" t="str">
        <f>Tabela2[[#This Row],[Coluna5]]</f>
        <v>11/2025</v>
      </c>
      <c r="R104" s="10" t="str">
        <f>IF(Tabela2[[#This Row],[Coluna9]]&gt;0,"Entrada","Saída")</f>
        <v>Saída</v>
      </c>
      <c r="S104" s="10" t="str">
        <f>Tabela2[[#This Row],[Coluna8]]</f>
        <v>CARTÃO SANTANDER</v>
      </c>
      <c r="T104" s="10" t="e">
        <f>Tabela2[[#This Row],[Coluna72]]</f>
        <v>#REF!</v>
      </c>
      <c r="U104" s="10">
        <f>SUM(Tabela2[[#This Row],[Coluna9]],Tabela2[[#This Row],[Coluna10]])</f>
        <v>79.900000000000006</v>
      </c>
      <c r="V104" s="2">
        <f>Tabela2[[#This Row],[Coluna4]]</f>
        <v>45971</v>
      </c>
      <c r="W104" s="2">
        <f>Tabela2[[#This Row],[Coluna6]]</f>
        <v>45971</v>
      </c>
    </row>
    <row r="105" spans="2:23" x14ac:dyDescent="0.2">
      <c r="B105" t="s">
        <v>12</v>
      </c>
      <c r="C105" t="s">
        <v>95</v>
      </c>
      <c r="D105" t="s">
        <v>13</v>
      </c>
      <c r="E105" s="8">
        <v>45971</v>
      </c>
      <c r="F105" t="s">
        <v>42</v>
      </c>
      <c r="G105" s="8">
        <v>45971</v>
      </c>
      <c r="H105" t="s">
        <v>538</v>
      </c>
      <c r="I105" t="e">
        <f>VLOOKUP(Tabela2[[#This Row],[Coluna7]],[1]!Tabela1[#All],2,0)</f>
        <v>#REF!</v>
      </c>
      <c r="J105" t="s">
        <v>737</v>
      </c>
      <c r="L105">
        <v>71.83</v>
      </c>
      <c r="Q105" s="10" t="str">
        <f>Tabela2[[#This Row],[Coluna5]]</f>
        <v>11/2025</v>
      </c>
      <c r="R105" s="10" t="str">
        <f>IF(Tabela2[[#This Row],[Coluna9]]&gt;0,"Entrada","Saída")</f>
        <v>Saída</v>
      </c>
      <c r="S105" s="10" t="str">
        <f>Tabela2[[#This Row],[Coluna8]]</f>
        <v>CARTÃO SANTANDER</v>
      </c>
      <c r="T105" s="10" t="e">
        <f>Tabela2[[#This Row],[Coluna72]]</f>
        <v>#REF!</v>
      </c>
      <c r="U105" s="10">
        <f>SUM(Tabela2[[#This Row],[Coluna9]],Tabela2[[#This Row],[Coluna10]])</f>
        <v>71.83</v>
      </c>
      <c r="V105" s="2">
        <f>Tabela2[[#This Row],[Coluna4]]</f>
        <v>45971</v>
      </c>
      <c r="W105" s="2">
        <f>Tabela2[[#This Row],[Coluna6]]</f>
        <v>45971</v>
      </c>
    </row>
    <row r="106" spans="2:23" x14ac:dyDescent="0.2">
      <c r="B106" t="s">
        <v>12</v>
      </c>
      <c r="C106" t="s">
        <v>95</v>
      </c>
      <c r="D106" t="s">
        <v>13</v>
      </c>
      <c r="E106" s="8">
        <v>45971</v>
      </c>
      <c r="F106" t="s">
        <v>42</v>
      </c>
      <c r="G106" s="8">
        <v>45971</v>
      </c>
      <c r="H106" t="s">
        <v>538</v>
      </c>
      <c r="I106" t="e">
        <f>VLOOKUP(Tabela2[[#This Row],[Coluna7]],[1]!Tabela1[#All],2,0)</f>
        <v>#REF!</v>
      </c>
      <c r="J106" t="s">
        <v>737</v>
      </c>
      <c r="L106">
        <v>97.8</v>
      </c>
      <c r="Q106" s="10" t="str">
        <f>Tabela2[[#This Row],[Coluna5]]</f>
        <v>11/2025</v>
      </c>
      <c r="R106" s="10" t="str">
        <f>IF(Tabela2[[#This Row],[Coluna9]]&gt;0,"Entrada","Saída")</f>
        <v>Saída</v>
      </c>
      <c r="S106" s="10" t="str">
        <f>Tabela2[[#This Row],[Coluna8]]</f>
        <v>CARTÃO SANTANDER</v>
      </c>
      <c r="T106" s="10" t="e">
        <f>Tabela2[[#This Row],[Coluna72]]</f>
        <v>#REF!</v>
      </c>
      <c r="U106" s="10">
        <f>SUM(Tabela2[[#This Row],[Coluna9]],Tabela2[[#This Row],[Coluna10]])</f>
        <v>97.8</v>
      </c>
      <c r="V106" s="2">
        <f>Tabela2[[#This Row],[Coluna4]]</f>
        <v>45971</v>
      </c>
      <c r="W106" s="2">
        <f>Tabela2[[#This Row],[Coluna6]]</f>
        <v>45971</v>
      </c>
    </row>
    <row r="107" spans="2:23" x14ac:dyDescent="0.2">
      <c r="B107" t="s">
        <v>12</v>
      </c>
      <c r="C107" t="s">
        <v>95</v>
      </c>
      <c r="D107" t="s">
        <v>13</v>
      </c>
      <c r="E107" s="8">
        <v>45971</v>
      </c>
      <c r="F107" t="s">
        <v>42</v>
      </c>
      <c r="G107" s="8">
        <v>45971</v>
      </c>
      <c r="H107" t="s">
        <v>538</v>
      </c>
      <c r="I107" t="e">
        <f>VLOOKUP(Tabela2[[#This Row],[Coluna7]],[1]!Tabela1[#All],2,0)</f>
        <v>#REF!</v>
      </c>
      <c r="J107" t="s">
        <v>737</v>
      </c>
      <c r="L107">
        <v>20.149999999999999</v>
      </c>
      <c r="Q107" s="10" t="str">
        <f>Tabela2[[#This Row],[Coluna5]]</f>
        <v>11/2025</v>
      </c>
      <c r="R107" s="10" t="str">
        <f>IF(Tabela2[[#This Row],[Coluna9]]&gt;0,"Entrada","Saída")</f>
        <v>Saída</v>
      </c>
      <c r="S107" s="10" t="str">
        <f>Tabela2[[#This Row],[Coluna8]]</f>
        <v>CARTÃO SANTANDER</v>
      </c>
      <c r="T107" s="10" t="e">
        <f>Tabela2[[#This Row],[Coluna72]]</f>
        <v>#REF!</v>
      </c>
      <c r="U107" s="10">
        <f>SUM(Tabela2[[#This Row],[Coluna9]],Tabela2[[#This Row],[Coluna10]])</f>
        <v>20.149999999999999</v>
      </c>
      <c r="V107" s="2">
        <f>Tabela2[[#This Row],[Coluna4]]</f>
        <v>45971</v>
      </c>
      <c r="W107" s="2">
        <f>Tabela2[[#This Row],[Coluna6]]</f>
        <v>45971</v>
      </c>
    </row>
    <row r="108" spans="2:23" x14ac:dyDescent="0.2">
      <c r="B108" t="s">
        <v>12</v>
      </c>
      <c r="C108" t="s">
        <v>95</v>
      </c>
      <c r="D108" t="s">
        <v>13</v>
      </c>
      <c r="E108" s="8">
        <v>45971</v>
      </c>
      <c r="F108" t="s">
        <v>42</v>
      </c>
      <c r="G108" s="8">
        <v>45971</v>
      </c>
      <c r="H108" t="s">
        <v>445</v>
      </c>
      <c r="I108" t="e">
        <f>VLOOKUP(Tabela2[[#This Row],[Coluna7]],[1]!Tabela1[#All],2,0)</f>
        <v>#REF!</v>
      </c>
      <c r="J108" t="s">
        <v>737</v>
      </c>
      <c r="L108">
        <v>129.47999999999999</v>
      </c>
      <c r="Q108" s="10" t="str">
        <f>Tabela2[[#This Row],[Coluna5]]</f>
        <v>11/2025</v>
      </c>
      <c r="R108" s="10" t="str">
        <f>IF(Tabela2[[#This Row],[Coluna9]]&gt;0,"Entrada","Saída")</f>
        <v>Saída</v>
      </c>
      <c r="S108" s="10" t="str">
        <f>Tabela2[[#This Row],[Coluna8]]</f>
        <v>CARTÃO SANTANDER</v>
      </c>
      <c r="T108" s="10" t="e">
        <f>Tabela2[[#This Row],[Coluna72]]</f>
        <v>#REF!</v>
      </c>
      <c r="U108" s="10">
        <f>SUM(Tabela2[[#This Row],[Coluna9]],Tabela2[[#This Row],[Coluna10]])</f>
        <v>129.47999999999999</v>
      </c>
      <c r="V108" s="2">
        <f>Tabela2[[#This Row],[Coluna4]]</f>
        <v>45971</v>
      </c>
      <c r="W108" s="2">
        <f>Tabela2[[#This Row],[Coluna6]]</f>
        <v>45971</v>
      </c>
    </row>
    <row r="109" spans="2:23" x14ac:dyDescent="0.2">
      <c r="B109" t="s">
        <v>12</v>
      </c>
      <c r="C109" t="s">
        <v>95</v>
      </c>
      <c r="D109" t="s">
        <v>13</v>
      </c>
      <c r="E109" s="8">
        <v>45971</v>
      </c>
      <c r="F109" t="s">
        <v>42</v>
      </c>
      <c r="G109" s="8">
        <v>45971</v>
      </c>
      <c r="H109" t="s">
        <v>538</v>
      </c>
      <c r="I109" t="e">
        <f>VLOOKUP(Tabela2[[#This Row],[Coluna7]],[1]!Tabela1[#All],2,0)</f>
        <v>#REF!</v>
      </c>
      <c r="J109" t="s">
        <v>737</v>
      </c>
      <c r="L109">
        <v>119</v>
      </c>
      <c r="Q109" s="10" t="str">
        <f>Tabela2[[#This Row],[Coluna5]]</f>
        <v>11/2025</v>
      </c>
      <c r="R109" s="10" t="str">
        <f>IF(Tabela2[[#This Row],[Coluna9]]&gt;0,"Entrada","Saída")</f>
        <v>Saída</v>
      </c>
      <c r="S109" s="10" t="str">
        <f>Tabela2[[#This Row],[Coluna8]]</f>
        <v>CARTÃO SANTANDER</v>
      </c>
      <c r="T109" s="10" t="e">
        <f>Tabela2[[#This Row],[Coluna72]]</f>
        <v>#REF!</v>
      </c>
      <c r="U109" s="10">
        <f>SUM(Tabela2[[#This Row],[Coluna9]],Tabela2[[#This Row],[Coluna10]])</f>
        <v>119</v>
      </c>
      <c r="V109" s="2">
        <f>Tabela2[[#This Row],[Coluna4]]</f>
        <v>45971</v>
      </c>
      <c r="W109" s="2">
        <f>Tabela2[[#This Row],[Coluna6]]</f>
        <v>45971</v>
      </c>
    </row>
    <row r="110" spans="2:23" x14ac:dyDescent="0.2">
      <c r="B110" t="s">
        <v>12</v>
      </c>
      <c r="C110" t="s">
        <v>95</v>
      </c>
      <c r="D110" t="s">
        <v>13</v>
      </c>
      <c r="E110" s="8">
        <v>45971</v>
      </c>
      <c r="F110" t="s">
        <v>42</v>
      </c>
      <c r="G110" s="8">
        <v>45971</v>
      </c>
      <c r="H110" t="s">
        <v>739</v>
      </c>
      <c r="I110" t="e">
        <f>VLOOKUP(Tabela2[[#This Row],[Coluna7]],[1]!Tabela1[#All],2,0)</f>
        <v>#REF!</v>
      </c>
      <c r="J110" t="s">
        <v>737</v>
      </c>
      <c r="L110">
        <v>4.53</v>
      </c>
      <c r="Q110" s="10" t="str">
        <f>Tabela2[[#This Row],[Coluna5]]</f>
        <v>11/2025</v>
      </c>
      <c r="R110" s="10" t="str">
        <f>IF(Tabela2[[#This Row],[Coluna9]]&gt;0,"Entrada","Saída")</f>
        <v>Saída</v>
      </c>
      <c r="S110" s="10" t="str">
        <f>Tabela2[[#This Row],[Coluna8]]</f>
        <v>CARTÃO SANTANDER</v>
      </c>
      <c r="T110" s="10" t="e">
        <f>Tabela2[[#This Row],[Coluna72]]</f>
        <v>#REF!</v>
      </c>
      <c r="U110" s="10">
        <f>SUM(Tabela2[[#This Row],[Coluna9]],Tabela2[[#This Row],[Coluna10]])</f>
        <v>4.53</v>
      </c>
      <c r="V110" s="2">
        <f>Tabela2[[#This Row],[Coluna4]]</f>
        <v>45971</v>
      </c>
      <c r="W110" s="2">
        <f>Tabela2[[#This Row],[Coluna6]]</f>
        <v>45971</v>
      </c>
    </row>
    <row r="111" spans="2:23" x14ac:dyDescent="0.2">
      <c r="B111" t="s">
        <v>12</v>
      </c>
      <c r="C111" t="s">
        <v>95</v>
      </c>
      <c r="D111" t="s">
        <v>13</v>
      </c>
      <c r="E111" s="8">
        <v>45971</v>
      </c>
      <c r="F111" t="s">
        <v>42</v>
      </c>
      <c r="G111" s="8">
        <v>45971</v>
      </c>
      <c r="H111" t="s">
        <v>458</v>
      </c>
      <c r="I111" t="e">
        <f>VLOOKUP(Tabela2[[#This Row],[Coluna7]],[1]!Tabela1[#All],2,0)</f>
        <v>#REF!</v>
      </c>
      <c r="J111" t="s">
        <v>737</v>
      </c>
      <c r="L111">
        <v>69</v>
      </c>
      <c r="Q111" s="10" t="str">
        <f>Tabela2[[#This Row],[Coluna5]]</f>
        <v>11/2025</v>
      </c>
      <c r="R111" s="10" t="str">
        <f>IF(Tabela2[[#This Row],[Coluna9]]&gt;0,"Entrada","Saída")</f>
        <v>Saída</v>
      </c>
      <c r="S111" s="10" t="str">
        <f>Tabela2[[#This Row],[Coluna8]]</f>
        <v>CARTÃO SANTANDER</v>
      </c>
      <c r="T111" s="10" t="e">
        <f>Tabela2[[#This Row],[Coluna72]]</f>
        <v>#REF!</v>
      </c>
      <c r="U111" s="10">
        <f>SUM(Tabela2[[#This Row],[Coluna9]],Tabela2[[#This Row],[Coluna10]])</f>
        <v>69</v>
      </c>
      <c r="V111" s="2">
        <f>Tabela2[[#This Row],[Coluna4]]</f>
        <v>45971</v>
      </c>
      <c r="W111" s="2">
        <f>Tabela2[[#This Row],[Coluna6]]</f>
        <v>45971</v>
      </c>
    </row>
    <row r="112" spans="2:23" x14ac:dyDescent="0.2">
      <c r="B112" t="s">
        <v>12</v>
      </c>
      <c r="C112" t="s">
        <v>95</v>
      </c>
      <c r="D112" t="s">
        <v>13</v>
      </c>
      <c r="E112" s="8">
        <v>45971</v>
      </c>
      <c r="F112" t="s">
        <v>42</v>
      </c>
      <c r="G112" s="8">
        <v>45971</v>
      </c>
      <c r="H112" t="s">
        <v>538</v>
      </c>
      <c r="I112" t="e">
        <f>VLOOKUP(Tabela2[[#This Row],[Coluna7]],[1]!Tabela1[#All],2,0)</f>
        <v>#REF!</v>
      </c>
      <c r="J112" t="s">
        <v>737</v>
      </c>
      <c r="L112">
        <v>24.4</v>
      </c>
      <c r="Q112" s="10" t="str">
        <f>Tabela2[[#This Row],[Coluna5]]</f>
        <v>11/2025</v>
      </c>
      <c r="R112" s="10" t="str">
        <f>IF(Tabela2[[#This Row],[Coluna9]]&gt;0,"Entrada","Saída")</f>
        <v>Saída</v>
      </c>
      <c r="S112" s="10" t="str">
        <f>Tabela2[[#This Row],[Coluna8]]</f>
        <v>CARTÃO SANTANDER</v>
      </c>
      <c r="T112" s="10" t="e">
        <f>Tabela2[[#This Row],[Coluna72]]</f>
        <v>#REF!</v>
      </c>
      <c r="U112" s="10">
        <f>SUM(Tabela2[[#This Row],[Coluna9]],Tabela2[[#This Row],[Coluna10]])</f>
        <v>24.4</v>
      </c>
      <c r="V112" s="2">
        <f>Tabela2[[#This Row],[Coluna4]]</f>
        <v>45971</v>
      </c>
      <c r="W112" s="2">
        <f>Tabela2[[#This Row],[Coluna6]]</f>
        <v>45971</v>
      </c>
    </row>
    <row r="113" spans="2:23" x14ac:dyDescent="0.2">
      <c r="B113" t="s">
        <v>12</v>
      </c>
      <c r="C113" t="s">
        <v>95</v>
      </c>
      <c r="D113" t="s">
        <v>13</v>
      </c>
      <c r="E113" s="8">
        <v>45971</v>
      </c>
      <c r="F113" t="s">
        <v>42</v>
      </c>
      <c r="G113" s="8">
        <v>45971</v>
      </c>
      <c r="H113" t="s">
        <v>538</v>
      </c>
      <c r="I113" t="e">
        <f>VLOOKUP(Tabela2[[#This Row],[Coluna7]],[1]!Tabela1[#All],2,0)</f>
        <v>#REF!</v>
      </c>
      <c r="J113" t="s">
        <v>737</v>
      </c>
      <c r="L113">
        <v>8</v>
      </c>
      <c r="Q113" s="10" t="str">
        <f>Tabela2[[#This Row],[Coluna5]]</f>
        <v>11/2025</v>
      </c>
      <c r="R113" s="10" t="str">
        <f>IF(Tabela2[[#This Row],[Coluna9]]&gt;0,"Entrada","Saída")</f>
        <v>Saída</v>
      </c>
      <c r="S113" s="10" t="str">
        <f>Tabela2[[#This Row],[Coluna8]]</f>
        <v>CARTÃO SANTANDER</v>
      </c>
      <c r="T113" s="10" t="e">
        <f>Tabela2[[#This Row],[Coluna72]]</f>
        <v>#REF!</v>
      </c>
      <c r="U113" s="10">
        <f>SUM(Tabela2[[#This Row],[Coluna9]],Tabela2[[#This Row],[Coluna10]])</f>
        <v>8</v>
      </c>
      <c r="V113" s="2">
        <f>Tabela2[[#This Row],[Coluna4]]</f>
        <v>45971</v>
      </c>
      <c r="W113" s="2">
        <f>Tabela2[[#This Row],[Coluna6]]</f>
        <v>45971</v>
      </c>
    </row>
    <row r="114" spans="2:23" x14ac:dyDescent="0.2">
      <c r="B114" t="s">
        <v>12</v>
      </c>
      <c r="C114" t="s">
        <v>95</v>
      </c>
      <c r="D114" t="s">
        <v>13</v>
      </c>
      <c r="E114" s="8">
        <v>45971</v>
      </c>
      <c r="F114" t="s">
        <v>42</v>
      </c>
      <c r="G114" s="8">
        <v>45971</v>
      </c>
      <c r="H114" t="s">
        <v>746</v>
      </c>
      <c r="I114" t="e">
        <f>VLOOKUP(Tabela2[[#This Row],[Coluna7]],[1]!Tabela1[#All],2,0)</f>
        <v>#REF!</v>
      </c>
      <c r="J114" t="s">
        <v>737</v>
      </c>
      <c r="L114">
        <v>178.8</v>
      </c>
      <c r="Q114" s="10" t="str">
        <f>Tabela2[[#This Row],[Coluna5]]</f>
        <v>11/2025</v>
      </c>
      <c r="R114" s="10" t="str">
        <f>IF(Tabela2[[#This Row],[Coluna9]]&gt;0,"Entrada","Saída")</f>
        <v>Saída</v>
      </c>
      <c r="S114" s="10" t="str">
        <f>Tabela2[[#This Row],[Coluna8]]</f>
        <v>CARTÃO SANTANDER</v>
      </c>
      <c r="T114" s="10" t="e">
        <f>Tabela2[[#This Row],[Coluna72]]</f>
        <v>#REF!</v>
      </c>
      <c r="U114" s="10">
        <f>SUM(Tabela2[[#This Row],[Coluna9]],Tabela2[[#This Row],[Coluna10]])</f>
        <v>178.8</v>
      </c>
      <c r="V114" s="2">
        <f>Tabela2[[#This Row],[Coluna4]]</f>
        <v>45971</v>
      </c>
      <c r="W114" s="2">
        <f>Tabela2[[#This Row],[Coluna6]]</f>
        <v>45971</v>
      </c>
    </row>
    <row r="115" spans="2:23" x14ac:dyDescent="0.2">
      <c r="B115" t="s">
        <v>12</v>
      </c>
      <c r="C115" t="s">
        <v>95</v>
      </c>
      <c r="D115" t="s">
        <v>13</v>
      </c>
      <c r="E115" s="8">
        <v>45971</v>
      </c>
      <c r="F115" t="s">
        <v>42</v>
      </c>
      <c r="G115" s="8">
        <v>45971</v>
      </c>
      <c r="H115" t="s">
        <v>443</v>
      </c>
      <c r="I115" t="e">
        <f>VLOOKUP(Tabela2[[#This Row],[Coluna7]],[1]!Tabela1[#All],2,0)</f>
        <v>#REF!</v>
      </c>
      <c r="J115" t="s">
        <v>737</v>
      </c>
      <c r="L115">
        <v>22.01</v>
      </c>
      <c r="Q115" s="10" t="str">
        <f>Tabela2[[#This Row],[Coluna5]]</f>
        <v>11/2025</v>
      </c>
      <c r="R115" s="10" t="str">
        <f>IF(Tabela2[[#This Row],[Coluna9]]&gt;0,"Entrada","Saída")</f>
        <v>Saída</v>
      </c>
      <c r="S115" s="10" t="str">
        <f>Tabela2[[#This Row],[Coluna8]]</f>
        <v>CARTÃO SANTANDER</v>
      </c>
      <c r="T115" s="10" t="e">
        <f>Tabela2[[#This Row],[Coluna72]]</f>
        <v>#REF!</v>
      </c>
      <c r="U115" s="10">
        <f>SUM(Tabela2[[#This Row],[Coluna9]],Tabela2[[#This Row],[Coluna10]])</f>
        <v>22.01</v>
      </c>
      <c r="V115" s="2">
        <f>Tabela2[[#This Row],[Coluna4]]</f>
        <v>45971</v>
      </c>
      <c r="W115" s="2">
        <f>Tabela2[[#This Row],[Coluna6]]</f>
        <v>45971</v>
      </c>
    </row>
    <row r="116" spans="2:23" x14ac:dyDescent="0.2">
      <c r="B116" t="s">
        <v>12</v>
      </c>
      <c r="C116" t="s">
        <v>95</v>
      </c>
      <c r="D116" t="s">
        <v>13</v>
      </c>
      <c r="E116" s="8">
        <v>45971</v>
      </c>
      <c r="F116" t="s">
        <v>42</v>
      </c>
      <c r="G116" s="8">
        <v>45971</v>
      </c>
      <c r="H116" t="s">
        <v>538</v>
      </c>
      <c r="I116" t="e">
        <f>VLOOKUP(Tabela2[[#This Row],[Coluna7]],[1]!Tabela1[#All],2,0)</f>
        <v>#REF!</v>
      </c>
      <c r="J116" t="s">
        <v>737</v>
      </c>
      <c r="L116">
        <v>330.02</v>
      </c>
      <c r="Q116" s="10" t="str">
        <f>Tabela2[[#This Row],[Coluna5]]</f>
        <v>11/2025</v>
      </c>
      <c r="R116" s="10" t="str">
        <f>IF(Tabela2[[#This Row],[Coluna9]]&gt;0,"Entrada","Saída")</f>
        <v>Saída</v>
      </c>
      <c r="S116" s="10" t="str">
        <f>Tabela2[[#This Row],[Coluna8]]</f>
        <v>CARTÃO SANTANDER</v>
      </c>
      <c r="T116" s="10" t="e">
        <f>Tabela2[[#This Row],[Coluna72]]</f>
        <v>#REF!</v>
      </c>
      <c r="U116" s="10">
        <f>SUM(Tabela2[[#This Row],[Coluna9]],Tabela2[[#This Row],[Coluna10]])</f>
        <v>330.02</v>
      </c>
      <c r="V116" s="2">
        <f>Tabela2[[#This Row],[Coluna4]]</f>
        <v>45971</v>
      </c>
      <c r="W116" s="2">
        <f>Tabela2[[#This Row],[Coluna6]]</f>
        <v>45971</v>
      </c>
    </row>
    <row r="117" spans="2:23" x14ac:dyDescent="0.2">
      <c r="B117" t="s">
        <v>18</v>
      </c>
      <c r="C117" t="s">
        <v>95</v>
      </c>
      <c r="D117" t="s">
        <v>13</v>
      </c>
      <c r="E117" s="8">
        <v>45972</v>
      </c>
      <c r="F117" t="s">
        <v>42</v>
      </c>
      <c r="G117" s="8">
        <v>45972</v>
      </c>
      <c r="H117" t="s">
        <v>538</v>
      </c>
      <c r="I117" t="e">
        <f>VLOOKUP(Tabela2[[#This Row],[Coluna7]],[1]!Tabela1[#All],2,0)</f>
        <v>#REF!</v>
      </c>
      <c r="J117" t="s">
        <v>741</v>
      </c>
      <c r="L117">
        <v>16.64</v>
      </c>
      <c r="Q117" s="10" t="str">
        <f>Tabela2[[#This Row],[Coluna5]]</f>
        <v>11/2025</v>
      </c>
      <c r="R117" s="10" t="str">
        <f>IF(Tabela2[[#This Row],[Coluna9]]&gt;0,"Entrada","Saída")</f>
        <v>Saída</v>
      </c>
      <c r="S117" s="10" t="str">
        <f>Tabela2[[#This Row],[Coluna8]]</f>
        <v>CARTÃO NUBANK</v>
      </c>
      <c r="T117" s="10" t="e">
        <f>Tabela2[[#This Row],[Coluna72]]</f>
        <v>#REF!</v>
      </c>
      <c r="U117" s="10">
        <f>SUM(Tabela2[[#This Row],[Coluna9]],Tabela2[[#This Row],[Coluna10]])</f>
        <v>16.64</v>
      </c>
      <c r="V117" s="2">
        <f>Tabela2[[#This Row],[Coluna4]]</f>
        <v>45972</v>
      </c>
      <c r="W117" s="2">
        <f>Tabela2[[#This Row],[Coluna6]]</f>
        <v>45972</v>
      </c>
    </row>
    <row r="118" spans="2:23" x14ac:dyDescent="0.2">
      <c r="B118" t="s">
        <v>18</v>
      </c>
      <c r="C118" t="s">
        <v>95</v>
      </c>
      <c r="D118" t="s">
        <v>13</v>
      </c>
      <c r="E118" s="8">
        <v>45972</v>
      </c>
      <c r="F118" t="s">
        <v>42</v>
      </c>
      <c r="G118" s="8">
        <v>45972</v>
      </c>
      <c r="H118" t="s">
        <v>458</v>
      </c>
      <c r="I118" t="e">
        <f>VLOOKUP(Tabela2[[#This Row],[Coluna7]],[1]!Tabela1[#All],2,0)</f>
        <v>#REF!</v>
      </c>
      <c r="J118" t="s">
        <v>741</v>
      </c>
      <c r="L118">
        <v>198.5</v>
      </c>
      <c r="Q118" s="10" t="str">
        <f>Tabela2[[#This Row],[Coluna5]]</f>
        <v>11/2025</v>
      </c>
      <c r="R118" s="10" t="str">
        <f>IF(Tabela2[[#This Row],[Coluna9]]&gt;0,"Entrada","Saída")</f>
        <v>Saída</v>
      </c>
      <c r="S118" s="10" t="str">
        <f>Tabela2[[#This Row],[Coluna8]]</f>
        <v>CARTÃO NUBANK</v>
      </c>
      <c r="T118" s="10" t="e">
        <f>Tabela2[[#This Row],[Coluna72]]</f>
        <v>#REF!</v>
      </c>
      <c r="U118" s="10">
        <f>SUM(Tabela2[[#This Row],[Coluna9]],Tabela2[[#This Row],[Coluna10]])</f>
        <v>198.5</v>
      </c>
      <c r="V118" s="2">
        <f>Tabela2[[#This Row],[Coluna4]]</f>
        <v>45972</v>
      </c>
      <c r="W118" s="2">
        <f>Tabela2[[#This Row],[Coluna6]]</f>
        <v>45972</v>
      </c>
    </row>
    <row r="119" spans="2:23" x14ac:dyDescent="0.2">
      <c r="B119" t="s">
        <v>18</v>
      </c>
      <c r="C119" t="s">
        <v>95</v>
      </c>
      <c r="D119" t="s">
        <v>13</v>
      </c>
      <c r="E119" s="8">
        <v>45972</v>
      </c>
      <c r="F119" t="s">
        <v>42</v>
      </c>
      <c r="G119" s="8">
        <v>45972</v>
      </c>
      <c r="H119" t="s">
        <v>538</v>
      </c>
      <c r="I119" t="e">
        <f>VLOOKUP(Tabela2[[#This Row],[Coluna7]],[1]!Tabela1[#All],2,0)</f>
        <v>#REF!</v>
      </c>
      <c r="J119" t="s">
        <v>741</v>
      </c>
      <c r="L119">
        <v>53.09</v>
      </c>
      <c r="Q119" s="10" t="str">
        <f>Tabela2[[#This Row],[Coluna5]]</f>
        <v>11/2025</v>
      </c>
      <c r="R119" s="10" t="str">
        <f>IF(Tabela2[[#This Row],[Coluna9]]&gt;0,"Entrada","Saída")</f>
        <v>Saída</v>
      </c>
      <c r="S119" s="10" t="str">
        <f>Tabela2[[#This Row],[Coluna8]]</f>
        <v>CARTÃO NUBANK</v>
      </c>
      <c r="T119" s="10" t="e">
        <f>Tabela2[[#This Row],[Coluna72]]</f>
        <v>#REF!</v>
      </c>
      <c r="U119" s="10">
        <f>SUM(Tabela2[[#This Row],[Coluna9]],Tabela2[[#This Row],[Coluna10]])</f>
        <v>53.09</v>
      </c>
      <c r="V119" s="2">
        <f>Tabela2[[#This Row],[Coluna4]]</f>
        <v>45972</v>
      </c>
      <c r="W119" s="2">
        <f>Tabela2[[#This Row],[Coluna6]]</f>
        <v>45972</v>
      </c>
    </row>
    <row r="120" spans="2:23" x14ac:dyDescent="0.2">
      <c r="B120" t="s">
        <v>18</v>
      </c>
      <c r="C120" t="s">
        <v>95</v>
      </c>
      <c r="D120" t="s">
        <v>13</v>
      </c>
      <c r="E120" s="8">
        <v>45972</v>
      </c>
      <c r="F120" t="s">
        <v>42</v>
      </c>
      <c r="G120" s="8">
        <v>45972</v>
      </c>
      <c r="H120" t="s">
        <v>538</v>
      </c>
      <c r="I120" t="e">
        <f>VLOOKUP(Tabela2[[#This Row],[Coluna7]],[1]!Tabela1[#All],2,0)</f>
        <v>#REF!</v>
      </c>
      <c r="J120" t="s">
        <v>741</v>
      </c>
      <c r="L120">
        <v>75.34</v>
      </c>
      <c r="Q120" s="10" t="str">
        <f>Tabela2[[#This Row],[Coluna5]]</f>
        <v>11/2025</v>
      </c>
      <c r="R120" s="10" t="str">
        <f>IF(Tabela2[[#This Row],[Coluna9]]&gt;0,"Entrada","Saída")</f>
        <v>Saída</v>
      </c>
      <c r="S120" s="10" t="str">
        <f>Tabela2[[#This Row],[Coluna8]]</f>
        <v>CARTÃO NUBANK</v>
      </c>
      <c r="T120" s="10" t="e">
        <f>Tabela2[[#This Row],[Coluna72]]</f>
        <v>#REF!</v>
      </c>
      <c r="U120" s="10">
        <f>SUM(Tabela2[[#This Row],[Coluna9]],Tabela2[[#This Row],[Coluna10]])</f>
        <v>75.34</v>
      </c>
      <c r="V120" s="2">
        <f>Tabela2[[#This Row],[Coluna4]]</f>
        <v>45972</v>
      </c>
      <c r="W120" s="2">
        <f>Tabela2[[#This Row],[Coluna6]]</f>
        <v>45972</v>
      </c>
    </row>
    <row r="121" spans="2:23" x14ac:dyDescent="0.2">
      <c r="B121" t="s">
        <v>18</v>
      </c>
      <c r="C121" t="s">
        <v>95</v>
      </c>
      <c r="D121" t="s">
        <v>13</v>
      </c>
      <c r="E121" s="8">
        <v>45972</v>
      </c>
      <c r="F121" t="s">
        <v>42</v>
      </c>
      <c r="G121" s="8">
        <v>45972</v>
      </c>
      <c r="H121" t="s">
        <v>570</v>
      </c>
      <c r="I121" t="e">
        <f>VLOOKUP(Tabela2[[#This Row],[Coluna7]],[1]!Tabela1[#All],2,0)</f>
        <v>#REF!</v>
      </c>
      <c r="J121" t="s">
        <v>741</v>
      </c>
      <c r="L121">
        <v>112.38</v>
      </c>
      <c r="Q121" s="10" t="str">
        <f>Tabela2[[#This Row],[Coluna5]]</f>
        <v>11/2025</v>
      </c>
      <c r="R121" s="10" t="str">
        <f>IF(Tabela2[[#This Row],[Coluna9]]&gt;0,"Entrada","Saída")</f>
        <v>Saída</v>
      </c>
      <c r="S121" s="10" t="str">
        <f>Tabela2[[#This Row],[Coluna8]]</f>
        <v>CARTÃO NUBANK</v>
      </c>
      <c r="T121" s="10" t="e">
        <f>Tabela2[[#This Row],[Coluna72]]</f>
        <v>#REF!</v>
      </c>
      <c r="U121" s="10">
        <f>SUM(Tabela2[[#This Row],[Coluna9]],Tabela2[[#This Row],[Coluna10]])</f>
        <v>112.38</v>
      </c>
      <c r="V121" s="2">
        <f>Tabela2[[#This Row],[Coluna4]]</f>
        <v>45972</v>
      </c>
      <c r="W121" s="2">
        <f>Tabela2[[#This Row],[Coluna6]]</f>
        <v>45972</v>
      </c>
    </row>
    <row r="122" spans="2:23" x14ac:dyDescent="0.2">
      <c r="B122" t="s">
        <v>18</v>
      </c>
      <c r="C122" t="s">
        <v>95</v>
      </c>
      <c r="D122" t="s">
        <v>13</v>
      </c>
      <c r="E122" s="8">
        <v>45972</v>
      </c>
      <c r="F122" t="s">
        <v>42</v>
      </c>
      <c r="G122" s="8">
        <v>45972</v>
      </c>
      <c r="H122" t="s">
        <v>538</v>
      </c>
      <c r="I122" t="e">
        <f>VLOOKUP(Tabela2[[#This Row],[Coluna7]],[1]!Tabela1[#All],2,0)</f>
        <v>#REF!</v>
      </c>
      <c r="J122" t="s">
        <v>741</v>
      </c>
      <c r="L122">
        <v>61.04</v>
      </c>
      <c r="Q122" s="10" t="str">
        <f>Tabela2[[#This Row],[Coluna5]]</f>
        <v>11/2025</v>
      </c>
      <c r="R122" s="10" t="str">
        <f>IF(Tabela2[[#This Row],[Coluna9]]&gt;0,"Entrada","Saída")</f>
        <v>Saída</v>
      </c>
      <c r="S122" s="10" t="str">
        <f>Tabela2[[#This Row],[Coluna8]]</f>
        <v>CARTÃO NUBANK</v>
      </c>
      <c r="T122" s="10" t="e">
        <f>Tabela2[[#This Row],[Coluna72]]</f>
        <v>#REF!</v>
      </c>
      <c r="U122" s="10">
        <f>SUM(Tabela2[[#This Row],[Coluna9]],Tabela2[[#This Row],[Coluna10]])</f>
        <v>61.04</v>
      </c>
      <c r="V122" s="2">
        <f>Tabela2[[#This Row],[Coluna4]]</f>
        <v>45972</v>
      </c>
      <c r="W122" s="2">
        <f>Tabela2[[#This Row],[Coluna6]]</f>
        <v>45972</v>
      </c>
    </row>
    <row r="123" spans="2:23" x14ac:dyDescent="0.2">
      <c r="B123" t="s">
        <v>18</v>
      </c>
      <c r="C123" t="s">
        <v>95</v>
      </c>
      <c r="D123" t="s">
        <v>13</v>
      </c>
      <c r="E123" s="8">
        <v>45972</v>
      </c>
      <c r="F123" t="s">
        <v>42</v>
      </c>
      <c r="G123" s="8">
        <v>45972</v>
      </c>
      <c r="H123" t="s">
        <v>538</v>
      </c>
      <c r="I123" t="e">
        <f>VLOOKUP(Tabela2[[#This Row],[Coluna7]],[1]!Tabela1[#All],2,0)</f>
        <v>#REF!</v>
      </c>
      <c r="J123" t="s">
        <v>741</v>
      </c>
      <c r="L123">
        <v>64.010000000000005</v>
      </c>
      <c r="Q123" s="10" t="str">
        <f>Tabela2[[#This Row],[Coluna5]]</f>
        <v>11/2025</v>
      </c>
      <c r="R123" s="10" t="str">
        <f>IF(Tabela2[[#This Row],[Coluna9]]&gt;0,"Entrada","Saída")</f>
        <v>Saída</v>
      </c>
      <c r="S123" s="10" t="str">
        <f>Tabela2[[#This Row],[Coluna8]]</f>
        <v>CARTÃO NUBANK</v>
      </c>
      <c r="T123" s="10" t="e">
        <f>Tabela2[[#This Row],[Coluna72]]</f>
        <v>#REF!</v>
      </c>
      <c r="U123" s="10">
        <f>SUM(Tabela2[[#This Row],[Coluna9]],Tabela2[[#This Row],[Coluna10]])</f>
        <v>64.010000000000005</v>
      </c>
      <c r="V123" s="2">
        <f>Tabela2[[#This Row],[Coluna4]]</f>
        <v>45972</v>
      </c>
      <c r="W123" s="2">
        <f>Tabela2[[#This Row],[Coluna6]]</f>
        <v>45972</v>
      </c>
    </row>
    <row r="124" spans="2:23" x14ac:dyDescent="0.2">
      <c r="B124" t="s">
        <v>18</v>
      </c>
      <c r="C124" t="s">
        <v>95</v>
      </c>
      <c r="D124" t="s">
        <v>13</v>
      </c>
      <c r="E124" s="8">
        <v>45972</v>
      </c>
      <c r="F124" t="s">
        <v>42</v>
      </c>
      <c r="G124" s="8">
        <v>45972</v>
      </c>
      <c r="H124" t="s">
        <v>538</v>
      </c>
      <c r="I124" t="e">
        <f>VLOOKUP(Tabela2[[#This Row],[Coluna7]],[1]!Tabela1[#All],2,0)</f>
        <v>#REF!</v>
      </c>
      <c r="J124" t="s">
        <v>741</v>
      </c>
      <c r="L124">
        <v>69.55</v>
      </c>
      <c r="Q124" s="10" t="str">
        <f>Tabela2[[#This Row],[Coluna5]]</f>
        <v>11/2025</v>
      </c>
      <c r="R124" s="10" t="str">
        <f>IF(Tabela2[[#This Row],[Coluna9]]&gt;0,"Entrada","Saída")</f>
        <v>Saída</v>
      </c>
      <c r="S124" s="10" t="str">
        <f>Tabela2[[#This Row],[Coluna8]]</f>
        <v>CARTÃO NUBANK</v>
      </c>
      <c r="T124" s="10" t="e">
        <f>Tabela2[[#This Row],[Coluna72]]</f>
        <v>#REF!</v>
      </c>
      <c r="U124" s="10">
        <f>SUM(Tabela2[[#This Row],[Coluna9]],Tabela2[[#This Row],[Coluna10]])</f>
        <v>69.55</v>
      </c>
      <c r="V124" s="2">
        <f>Tabela2[[#This Row],[Coluna4]]</f>
        <v>45972</v>
      </c>
      <c r="W124" s="2">
        <f>Tabela2[[#This Row],[Coluna6]]</f>
        <v>45972</v>
      </c>
    </row>
    <row r="125" spans="2:23" x14ac:dyDescent="0.2">
      <c r="B125" t="s">
        <v>18</v>
      </c>
      <c r="C125" t="s">
        <v>95</v>
      </c>
      <c r="D125" t="s">
        <v>13</v>
      </c>
      <c r="E125" s="8">
        <v>45972</v>
      </c>
      <c r="F125" t="s">
        <v>42</v>
      </c>
      <c r="G125" s="8">
        <v>45972</v>
      </c>
      <c r="H125" t="s">
        <v>538</v>
      </c>
      <c r="I125" t="e">
        <f>VLOOKUP(Tabela2[[#This Row],[Coluna7]],[1]!Tabela1[#All],2,0)</f>
        <v>#REF!</v>
      </c>
      <c r="J125" t="s">
        <v>741</v>
      </c>
      <c r="L125">
        <v>70.790000000000006</v>
      </c>
      <c r="Q125" s="10" t="str">
        <f>Tabela2[[#This Row],[Coluna5]]</f>
        <v>11/2025</v>
      </c>
      <c r="R125" s="10" t="str">
        <f>IF(Tabela2[[#This Row],[Coluna9]]&gt;0,"Entrada","Saída")</f>
        <v>Saída</v>
      </c>
      <c r="S125" s="10" t="str">
        <f>Tabela2[[#This Row],[Coluna8]]</f>
        <v>CARTÃO NUBANK</v>
      </c>
      <c r="T125" s="10" t="e">
        <f>Tabela2[[#This Row],[Coluna72]]</f>
        <v>#REF!</v>
      </c>
      <c r="U125" s="10">
        <f>SUM(Tabela2[[#This Row],[Coluna9]],Tabela2[[#This Row],[Coluna10]])</f>
        <v>70.790000000000006</v>
      </c>
      <c r="V125" s="2">
        <f>Tabela2[[#This Row],[Coluna4]]</f>
        <v>45972</v>
      </c>
      <c r="W125" s="2">
        <f>Tabela2[[#This Row],[Coluna6]]</f>
        <v>45972</v>
      </c>
    </row>
    <row r="126" spans="2:23" x14ac:dyDescent="0.2">
      <c r="B126" t="s">
        <v>18</v>
      </c>
      <c r="C126" t="s">
        <v>95</v>
      </c>
      <c r="D126" t="s">
        <v>13</v>
      </c>
      <c r="E126" s="8">
        <v>45972</v>
      </c>
      <c r="F126" t="s">
        <v>42</v>
      </c>
      <c r="G126" s="8">
        <v>45972</v>
      </c>
      <c r="H126" t="s">
        <v>538</v>
      </c>
      <c r="I126" t="e">
        <f>VLOOKUP(Tabela2[[#This Row],[Coluna7]],[1]!Tabela1[#All],2,0)</f>
        <v>#REF!</v>
      </c>
      <c r="J126" t="s">
        <v>741</v>
      </c>
      <c r="L126">
        <v>31.29</v>
      </c>
      <c r="Q126" s="10" t="str">
        <f>Tabela2[[#This Row],[Coluna5]]</f>
        <v>11/2025</v>
      </c>
      <c r="R126" s="10" t="str">
        <f>IF(Tabela2[[#This Row],[Coluna9]]&gt;0,"Entrada","Saída")</f>
        <v>Saída</v>
      </c>
      <c r="S126" s="10" t="str">
        <f>Tabela2[[#This Row],[Coluna8]]</f>
        <v>CARTÃO NUBANK</v>
      </c>
      <c r="T126" s="10" t="e">
        <f>Tabela2[[#This Row],[Coluna72]]</f>
        <v>#REF!</v>
      </c>
      <c r="U126" s="10">
        <f>SUM(Tabela2[[#This Row],[Coluna9]],Tabela2[[#This Row],[Coluna10]])</f>
        <v>31.29</v>
      </c>
      <c r="V126" s="2">
        <f>Tabela2[[#This Row],[Coluna4]]</f>
        <v>45972</v>
      </c>
      <c r="W126" s="2">
        <f>Tabela2[[#This Row],[Coluna6]]</f>
        <v>45972</v>
      </c>
    </row>
    <row r="127" spans="2:23" x14ac:dyDescent="0.2">
      <c r="B127" t="s">
        <v>18</v>
      </c>
      <c r="C127" t="s">
        <v>95</v>
      </c>
      <c r="D127" t="s">
        <v>13</v>
      </c>
      <c r="E127" s="8">
        <v>45972</v>
      </c>
      <c r="F127" t="s">
        <v>42</v>
      </c>
      <c r="G127" s="8">
        <v>45972</v>
      </c>
      <c r="H127" t="s">
        <v>570</v>
      </c>
      <c r="I127" t="e">
        <f>VLOOKUP(Tabela2[[#This Row],[Coluna7]],[1]!Tabela1[#All],2,0)</f>
        <v>#REF!</v>
      </c>
      <c r="J127" t="s">
        <v>741</v>
      </c>
      <c r="L127">
        <v>128.62</v>
      </c>
      <c r="Q127" s="10" t="str">
        <f>Tabela2[[#This Row],[Coluna5]]</f>
        <v>11/2025</v>
      </c>
      <c r="R127" s="10" t="str">
        <f>IF(Tabela2[[#This Row],[Coluna9]]&gt;0,"Entrada","Saída")</f>
        <v>Saída</v>
      </c>
      <c r="S127" s="10" t="str">
        <f>Tabela2[[#This Row],[Coluna8]]</f>
        <v>CARTÃO NUBANK</v>
      </c>
      <c r="T127" s="10" t="e">
        <f>Tabela2[[#This Row],[Coluna72]]</f>
        <v>#REF!</v>
      </c>
      <c r="U127" s="10">
        <f>SUM(Tabela2[[#This Row],[Coluna9]],Tabela2[[#This Row],[Coluna10]])</f>
        <v>128.62</v>
      </c>
      <c r="V127" s="2">
        <f>Tabela2[[#This Row],[Coluna4]]</f>
        <v>45972</v>
      </c>
      <c r="W127" s="2">
        <f>Tabela2[[#This Row],[Coluna6]]</f>
        <v>45972</v>
      </c>
    </row>
    <row r="128" spans="2:23" x14ac:dyDescent="0.2">
      <c r="B128" t="s">
        <v>18</v>
      </c>
      <c r="C128" t="s">
        <v>95</v>
      </c>
      <c r="D128" t="s">
        <v>13</v>
      </c>
      <c r="E128" s="8">
        <v>45972</v>
      </c>
      <c r="F128" t="s">
        <v>42</v>
      </c>
      <c r="G128" s="8">
        <v>45972</v>
      </c>
      <c r="H128" t="s">
        <v>570</v>
      </c>
      <c r="I128" t="e">
        <f>VLOOKUP(Tabela2[[#This Row],[Coluna7]],[1]!Tabela1[#All],2,0)</f>
        <v>#REF!</v>
      </c>
      <c r="J128" t="s">
        <v>741</v>
      </c>
      <c r="L128">
        <v>71.09</v>
      </c>
      <c r="Q128" s="10" t="str">
        <f>Tabela2[[#This Row],[Coluna5]]</f>
        <v>11/2025</v>
      </c>
      <c r="R128" s="10" t="str">
        <f>IF(Tabela2[[#This Row],[Coluna9]]&gt;0,"Entrada","Saída")</f>
        <v>Saída</v>
      </c>
      <c r="S128" s="10" t="str">
        <f>Tabela2[[#This Row],[Coluna8]]</f>
        <v>CARTÃO NUBANK</v>
      </c>
      <c r="T128" s="10" t="e">
        <f>Tabela2[[#This Row],[Coluna72]]</f>
        <v>#REF!</v>
      </c>
      <c r="U128" s="10">
        <f>SUM(Tabela2[[#This Row],[Coluna9]],Tabela2[[#This Row],[Coluna10]])</f>
        <v>71.09</v>
      </c>
      <c r="V128" s="2">
        <f>Tabela2[[#This Row],[Coluna4]]</f>
        <v>45972</v>
      </c>
      <c r="W128" s="2">
        <f>Tabela2[[#This Row],[Coluna6]]</f>
        <v>45972</v>
      </c>
    </row>
    <row r="129" spans="2:23" x14ac:dyDescent="0.2">
      <c r="B129" t="s">
        <v>18</v>
      </c>
      <c r="C129" t="s">
        <v>95</v>
      </c>
      <c r="D129" t="s">
        <v>13</v>
      </c>
      <c r="E129" s="8">
        <v>45972</v>
      </c>
      <c r="F129" t="s">
        <v>42</v>
      </c>
      <c r="G129" s="8">
        <v>45972</v>
      </c>
      <c r="H129" t="s">
        <v>538</v>
      </c>
      <c r="I129" t="e">
        <f>VLOOKUP(Tabela2[[#This Row],[Coluna7]],[1]!Tabela1[#All],2,0)</f>
        <v>#REF!</v>
      </c>
      <c r="J129" t="s">
        <v>741</v>
      </c>
      <c r="L129">
        <v>153.83000000000001</v>
      </c>
      <c r="Q129" s="10" t="str">
        <f>Tabela2[[#This Row],[Coluna5]]</f>
        <v>11/2025</v>
      </c>
      <c r="R129" s="10" t="str">
        <f>IF(Tabela2[[#This Row],[Coluna9]]&gt;0,"Entrada","Saída")</f>
        <v>Saída</v>
      </c>
      <c r="S129" s="10" t="str">
        <f>Tabela2[[#This Row],[Coluna8]]</f>
        <v>CARTÃO NUBANK</v>
      </c>
      <c r="T129" s="10" t="e">
        <f>Tabela2[[#This Row],[Coluna72]]</f>
        <v>#REF!</v>
      </c>
      <c r="U129" s="10">
        <f>SUM(Tabela2[[#This Row],[Coluna9]],Tabela2[[#This Row],[Coluna10]])</f>
        <v>153.83000000000001</v>
      </c>
      <c r="V129" s="2">
        <f>Tabela2[[#This Row],[Coluna4]]</f>
        <v>45972</v>
      </c>
      <c r="W129" s="2">
        <f>Tabela2[[#This Row],[Coluna6]]</f>
        <v>45972</v>
      </c>
    </row>
    <row r="130" spans="2:23" x14ac:dyDescent="0.2">
      <c r="B130" t="s">
        <v>18</v>
      </c>
      <c r="C130" t="s">
        <v>95</v>
      </c>
      <c r="D130" t="s">
        <v>13</v>
      </c>
      <c r="E130" s="8">
        <v>45972</v>
      </c>
      <c r="F130" t="s">
        <v>42</v>
      </c>
      <c r="G130" s="8">
        <v>45972</v>
      </c>
      <c r="H130" t="s">
        <v>435</v>
      </c>
      <c r="I130" t="e">
        <f>VLOOKUP(Tabela2[[#This Row],[Coluna7]],[1]!Tabela1[#All],2,0)</f>
        <v>#REF!</v>
      </c>
      <c r="J130" t="s">
        <v>741</v>
      </c>
      <c r="L130">
        <v>229.9</v>
      </c>
      <c r="Q130" s="10" t="str">
        <f>Tabela2[[#This Row],[Coluna5]]</f>
        <v>11/2025</v>
      </c>
      <c r="R130" s="10" t="str">
        <f>IF(Tabela2[[#This Row],[Coluna9]]&gt;0,"Entrada","Saída")</f>
        <v>Saída</v>
      </c>
      <c r="S130" s="10" t="str">
        <f>Tabela2[[#This Row],[Coluna8]]</f>
        <v>CARTÃO NUBANK</v>
      </c>
      <c r="T130" s="10" t="e">
        <f>Tabela2[[#This Row],[Coluna72]]</f>
        <v>#REF!</v>
      </c>
      <c r="U130" s="10">
        <f>SUM(Tabela2[[#This Row],[Coluna9]],Tabela2[[#This Row],[Coluna10]])</f>
        <v>229.9</v>
      </c>
      <c r="V130" s="2">
        <f>Tabela2[[#This Row],[Coluna4]]</f>
        <v>45972</v>
      </c>
      <c r="W130" s="2">
        <f>Tabela2[[#This Row],[Coluna6]]</f>
        <v>45972</v>
      </c>
    </row>
    <row r="131" spans="2:23" x14ac:dyDescent="0.2">
      <c r="B131" t="s">
        <v>18</v>
      </c>
      <c r="C131" t="s">
        <v>95</v>
      </c>
      <c r="D131" t="s">
        <v>13</v>
      </c>
      <c r="E131" s="8">
        <v>45972</v>
      </c>
      <c r="F131" t="s">
        <v>42</v>
      </c>
      <c r="G131" s="8">
        <v>45972</v>
      </c>
      <c r="H131" t="s">
        <v>570</v>
      </c>
      <c r="I131" t="e">
        <f>VLOOKUP(Tabela2[[#This Row],[Coluna7]],[1]!Tabela1[#All],2,0)</f>
        <v>#REF!</v>
      </c>
      <c r="J131" t="s">
        <v>741</v>
      </c>
      <c r="L131">
        <v>49</v>
      </c>
      <c r="Q131" s="10" t="str">
        <f>Tabela2[[#This Row],[Coluna5]]</f>
        <v>11/2025</v>
      </c>
      <c r="R131" s="10" t="str">
        <f>IF(Tabela2[[#This Row],[Coluna9]]&gt;0,"Entrada","Saída")</f>
        <v>Saída</v>
      </c>
      <c r="S131" s="10" t="str">
        <f>Tabela2[[#This Row],[Coluna8]]</f>
        <v>CARTÃO NUBANK</v>
      </c>
      <c r="T131" s="10" t="e">
        <f>Tabela2[[#This Row],[Coluna72]]</f>
        <v>#REF!</v>
      </c>
      <c r="U131" s="10">
        <f>SUM(Tabela2[[#This Row],[Coluna9]],Tabela2[[#This Row],[Coluna10]])</f>
        <v>49</v>
      </c>
      <c r="V131" s="2">
        <f>Tabela2[[#This Row],[Coluna4]]</f>
        <v>45972</v>
      </c>
      <c r="W131" s="2">
        <f>Tabela2[[#This Row],[Coluna6]]</f>
        <v>45972</v>
      </c>
    </row>
    <row r="132" spans="2:23" x14ac:dyDescent="0.2">
      <c r="B132" t="s">
        <v>18</v>
      </c>
      <c r="C132" t="s">
        <v>95</v>
      </c>
      <c r="D132" t="s">
        <v>13</v>
      </c>
      <c r="E132" s="8">
        <v>45972</v>
      </c>
      <c r="F132" t="s">
        <v>42</v>
      </c>
      <c r="G132" s="8">
        <v>45972</v>
      </c>
      <c r="H132" t="s">
        <v>570</v>
      </c>
      <c r="I132" t="e">
        <f>VLOOKUP(Tabela2[[#This Row],[Coluna7]],[1]!Tabela1[#All],2,0)</f>
        <v>#REF!</v>
      </c>
      <c r="J132" t="s">
        <v>741</v>
      </c>
      <c r="L132">
        <v>9</v>
      </c>
      <c r="Q132" s="10" t="str">
        <f>Tabela2[[#This Row],[Coluna5]]</f>
        <v>11/2025</v>
      </c>
      <c r="R132" s="10" t="str">
        <f>IF(Tabela2[[#This Row],[Coluna9]]&gt;0,"Entrada","Saída")</f>
        <v>Saída</v>
      </c>
      <c r="S132" s="10" t="str">
        <f>Tabela2[[#This Row],[Coluna8]]</f>
        <v>CARTÃO NUBANK</v>
      </c>
      <c r="T132" s="10" t="e">
        <f>Tabela2[[#This Row],[Coluna72]]</f>
        <v>#REF!</v>
      </c>
      <c r="U132" s="10">
        <f>SUM(Tabela2[[#This Row],[Coluna9]],Tabela2[[#This Row],[Coluna10]])</f>
        <v>9</v>
      </c>
      <c r="V132" s="2">
        <f>Tabela2[[#This Row],[Coluna4]]</f>
        <v>45972</v>
      </c>
      <c r="W132" s="2">
        <f>Tabela2[[#This Row],[Coluna6]]</f>
        <v>45972</v>
      </c>
    </row>
    <row r="133" spans="2:23" x14ac:dyDescent="0.2">
      <c r="B133" t="s">
        <v>18</v>
      </c>
      <c r="C133" t="s">
        <v>95</v>
      </c>
      <c r="D133" t="s">
        <v>13</v>
      </c>
      <c r="E133" s="8">
        <v>45972</v>
      </c>
      <c r="F133" t="s">
        <v>42</v>
      </c>
      <c r="G133" s="8">
        <v>45972</v>
      </c>
      <c r="H133" t="s">
        <v>570</v>
      </c>
      <c r="I133" t="e">
        <f>VLOOKUP(Tabela2[[#This Row],[Coluna7]],[1]!Tabela1[#All],2,0)</f>
        <v>#REF!</v>
      </c>
      <c r="J133" t="s">
        <v>741</v>
      </c>
      <c r="L133">
        <v>28.48</v>
      </c>
      <c r="Q133" s="10" t="str">
        <f>Tabela2[[#This Row],[Coluna5]]</f>
        <v>11/2025</v>
      </c>
      <c r="R133" s="10" t="str">
        <f>IF(Tabela2[[#This Row],[Coluna9]]&gt;0,"Entrada","Saída")</f>
        <v>Saída</v>
      </c>
      <c r="S133" s="10" t="str">
        <f>Tabela2[[#This Row],[Coluna8]]</f>
        <v>CARTÃO NUBANK</v>
      </c>
      <c r="T133" s="10" t="e">
        <f>Tabela2[[#This Row],[Coluna72]]</f>
        <v>#REF!</v>
      </c>
      <c r="U133" s="10">
        <f>SUM(Tabela2[[#This Row],[Coluna9]],Tabela2[[#This Row],[Coluna10]])</f>
        <v>28.48</v>
      </c>
      <c r="V133" s="2">
        <f>Tabela2[[#This Row],[Coluna4]]</f>
        <v>45972</v>
      </c>
      <c r="W133" s="2">
        <f>Tabela2[[#This Row],[Coluna6]]</f>
        <v>45972</v>
      </c>
    </row>
    <row r="134" spans="2:23" x14ac:dyDescent="0.2">
      <c r="B134" t="s">
        <v>18</v>
      </c>
      <c r="C134" t="s">
        <v>95</v>
      </c>
      <c r="D134" t="s">
        <v>13</v>
      </c>
      <c r="E134" s="8">
        <v>45972</v>
      </c>
      <c r="F134" t="s">
        <v>42</v>
      </c>
      <c r="G134" s="8">
        <v>45972</v>
      </c>
      <c r="H134" t="s">
        <v>570</v>
      </c>
      <c r="I134" t="e">
        <f>VLOOKUP(Tabela2[[#This Row],[Coluna7]],[1]!Tabela1[#All],2,0)</f>
        <v>#REF!</v>
      </c>
      <c r="J134" t="s">
        <v>741</v>
      </c>
      <c r="L134">
        <v>15.35</v>
      </c>
      <c r="Q134" s="10" t="str">
        <f>Tabela2[[#This Row],[Coluna5]]</f>
        <v>11/2025</v>
      </c>
      <c r="R134" s="10" t="str">
        <f>IF(Tabela2[[#This Row],[Coluna9]]&gt;0,"Entrada","Saída")</f>
        <v>Saída</v>
      </c>
      <c r="S134" s="10" t="str">
        <f>Tabela2[[#This Row],[Coluna8]]</f>
        <v>CARTÃO NUBANK</v>
      </c>
      <c r="T134" s="10" t="e">
        <f>Tabela2[[#This Row],[Coluna72]]</f>
        <v>#REF!</v>
      </c>
      <c r="U134" s="10">
        <f>SUM(Tabela2[[#This Row],[Coluna9]],Tabela2[[#This Row],[Coluna10]])</f>
        <v>15.35</v>
      </c>
      <c r="V134" s="2">
        <f>Tabela2[[#This Row],[Coluna4]]</f>
        <v>45972</v>
      </c>
      <c r="W134" s="2">
        <f>Tabela2[[#This Row],[Coluna6]]</f>
        <v>45972</v>
      </c>
    </row>
    <row r="135" spans="2:23" x14ac:dyDescent="0.2">
      <c r="B135" t="s">
        <v>18</v>
      </c>
      <c r="C135" t="s">
        <v>95</v>
      </c>
      <c r="D135" t="s">
        <v>13</v>
      </c>
      <c r="E135" s="8">
        <v>45972</v>
      </c>
      <c r="F135" t="s">
        <v>42</v>
      </c>
      <c r="G135" s="8">
        <v>45972</v>
      </c>
      <c r="H135" t="s">
        <v>469</v>
      </c>
      <c r="I135" t="e">
        <f>VLOOKUP(Tabela2[[#This Row],[Coluna7]],[1]!Tabela1[#All],2,0)</f>
        <v>#REF!</v>
      </c>
      <c r="J135" t="s">
        <v>741</v>
      </c>
      <c r="L135">
        <v>9</v>
      </c>
      <c r="Q135" s="10" t="str">
        <f>Tabela2[[#This Row],[Coluna5]]</f>
        <v>11/2025</v>
      </c>
      <c r="R135" s="10" t="str">
        <f>IF(Tabela2[[#This Row],[Coluna9]]&gt;0,"Entrada","Saída")</f>
        <v>Saída</v>
      </c>
      <c r="S135" s="10" t="str">
        <f>Tabela2[[#This Row],[Coluna8]]</f>
        <v>CARTÃO NUBANK</v>
      </c>
      <c r="T135" s="10" t="e">
        <f>Tabela2[[#This Row],[Coluna72]]</f>
        <v>#REF!</v>
      </c>
      <c r="U135" s="10">
        <f>SUM(Tabela2[[#This Row],[Coluna9]],Tabela2[[#This Row],[Coluna10]])</f>
        <v>9</v>
      </c>
      <c r="V135" s="2">
        <f>Tabela2[[#This Row],[Coluna4]]</f>
        <v>45972</v>
      </c>
      <c r="W135" s="2">
        <f>Tabela2[[#This Row],[Coluna6]]</f>
        <v>45972</v>
      </c>
    </row>
    <row r="136" spans="2:23" x14ac:dyDescent="0.2">
      <c r="B136" t="s">
        <v>18</v>
      </c>
      <c r="C136" t="s">
        <v>95</v>
      </c>
      <c r="D136" t="s">
        <v>13</v>
      </c>
      <c r="E136" s="8">
        <v>45972</v>
      </c>
      <c r="F136" t="s">
        <v>42</v>
      </c>
      <c r="G136" s="8">
        <v>45972</v>
      </c>
      <c r="H136" t="s">
        <v>570</v>
      </c>
      <c r="I136" t="e">
        <f>VLOOKUP(Tabela2[[#This Row],[Coluna7]],[1]!Tabela1[#All],2,0)</f>
        <v>#REF!</v>
      </c>
      <c r="J136" t="s">
        <v>741</v>
      </c>
      <c r="L136">
        <v>148.03</v>
      </c>
      <c r="Q136" s="10" t="str">
        <f>Tabela2[[#This Row],[Coluna5]]</f>
        <v>11/2025</v>
      </c>
      <c r="R136" s="10" t="str">
        <f>IF(Tabela2[[#This Row],[Coluna9]]&gt;0,"Entrada","Saída")</f>
        <v>Saída</v>
      </c>
      <c r="S136" s="10" t="str">
        <f>Tabela2[[#This Row],[Coluna8]]</f>
        <v>CARTÃO NUBANK</v>
      </c>
      <c r="T136" s="10" t="e">
        <f>Tabela2[[#This Row],[Coluna72]]</f>
        <v>#REF!</v>
      </c>
      <c r="U136" s="10">
        <f>SUM(Tabela2[[#This Row],[Coluna9]],Tabela2[[#This Row],[Coluna10]])</f>
        <v>148.03</v>
      </c>
      <c r="V136" s="2">
        <f>Tabela2[[#This Row],[Coluna4]]</f>
        <v>45972</v>
      </c>
      <c r="W136" s="2">
        <f>Tabela2[[#This Row],[Coluna6]]</f>
        <v>45972</v>
      </c>
    </row>
    <row r="137" spans="2:23" x14ac:dyDescent="0.2">
      <c r="B137" t="s">
        <v>18</v>
      </c>
      <c r="C137" t="s">
        <v>95</v>
      </c>
      <c r="D137" t="s">
        <v>13</v>
      </c>
      <c r="E137" s="8">
        <v>45972</v>
      </c>
      <c r="F137" t="s">
        <v>42</v>
      </c>
      <c r="G137" s="8">
        <v>45972</v>
      </c>
      <c r="H137" t="s">
        <v>443</v>
      </c>
      <c r="I137" t="e">
        <f>VLOOKUP(Tabela2[[#This Row],[Coluna7]],[1]!Tabela1[#All],2,0)</f>
        <v>#REF!</v>
      </c>
      <c r="J137" t="s">
        <v>741</v>
      </c>
      <c r="L137">
        <v>45.07</v>
      </c>
      <c r="Q137" s="10" t="str">
        <f>Tabela2[[#This Row],[Coluna5]]</f>
        <v>11/2025</v>
      </c>
      <c r="R137" s="10" t="str">
        <f>IF(Tabela2[[#This Row],[Coluna9]]&gt;0,"Entrada","Saída")</f>
        <v>Saída</v>
      </c>
      <c r="S137" s="10" t="str">
        <f>Tabela2[[#This Row],[Coluna8]]</f>
        <v>CARTÃO NUBANK</v>
      </c>
      <c r="T137" s="10" t="e">
        <f>Tabela2[[#This Row],[Coluna72]]</f>
        <v>#REF!</v>
      </c>
      <c r="U137" s="10">
        <f>SUM(Tabela2[[#This Row],[Coluna9]],Tabela2[[#This Row],[Coluna10]])</f>
        <v>45.07</v>
      </c>
      <c r="V137" s="2">
        <f>Tabela2[[#This Row],[Coluna4]]</f>
        <v>45972</v>
      </c>
      <c r="W137" s="2">
        <f>Tabela2[[#This Row],[Coluna6]]</f>
        <v>45972</v>
      </c>
    </row>
    <row r="138" spans="2:23" x14ac:dyDescent="0.2">
      <c r="B138" t="s">
        <v>18</v>
      </c>
      <c r="C138" t="s">
        <v>95</v>
      </c>
      <c r="D138" t="s">
        <v>13</v>
      </c>
      <c r="E138" s="8">
        <v>45972</v>
      </c>
      <c r="F138" t="s">
        <v>42</v>
      </c>
      <c r="G138" s="8">
        <v>45972</v>
      </c>
      <c r="H138" t="s">
        <v>443</v>
      </c>
      <c r="I138" t="e">
        <f>VLOOKUP(Tabela2[[#This Row],[Coluna7]],[1]!Tabela1[#All],2,0)</f>
        <v>#REF!</v>
      </c>
      <c r="J138" t="s">
        <v>741</v>
      </c>
      <c r="L138">
        <v>21.06</v>
      </c>
      <c r="Q138" s="10" t="str">
        <f>Tabela2[[#This Row],[Coluna5]]</f>
        <v>11/2025</v>
      </c>
      <c r="R138" s="10" t="str">
        <f>IF(Tabela2[[#This Row],[Coluna9]]&gt;0,"Entrada","Saída")</f>
        <v>Saída</v>
      </c>
      <c r="S138" s="10" t="str">
        <f>Tabela2[[#This Row],[Coluna8]]</f>
        <v>CARTÃO NUBANK</v>
      </c>
      <c r="T138" s="10" t="e">
        <f>Tabela2[[#This Row],[Coluna72]]</f>
        <v>#REF!</v>
      </c>
      <c r="U138" s="10">
        <f>SUM(Tabela2[[#This Row],[Coluna9]],Tabela2[[#This Row],[Coluna10]])</f>
        <v>21.06</v>
      </c>
      <c r="V138" s="2">
        <f>Tabela2[[#This Row],[Coluna4]]</f>
        <v>45972</v>
      </c>
      <c r="W138" s="2">
        <f>Tabela2[[#This Row],[Coluna6]]</f>
        <v>45972</v>
      </c>
    </row>
    <row r="139" spans="2:23" x14ac:dyDescent="0.2">
      <c r="B139" t="s">
        <v>18</v>
      </c>
      <c r="C139" t="s">
        <v>95</v>
      </c>
      <c r="D139" t="s">
        <v>13</v>
      </c>
      <c r="E139" s="8">
        <v>45972</v>
      </c>
      <c r="F139" t="s">
        <v>42</v>
      </c>
      <c r="G139" s="8">
        <v>45972</v>
      </c>
      <c r="H139" t="s">
        <v>443</v>
      </c>
      <c r="I139" t="e">
        <f>VLOOKUP(Tabela2[[#This Row],[Coluna7]],[1]!Tabela1[#All],2,0)</f>
        <v>#REF!</v>
      </c>
      <c r="J139" t="s">
        <v>741</v>
      </c>
      <c r="L139">
        <v>59.22</v>
      </c>
      <c r="Q139" s="10" t="str">
        <f>Tabela2[[#This Row],[Coluna5]]</f>
        <v>11/2025</v>
      </c>
      <c r="R139" s="10" t="str">
        <f>IF(Tabela2[[#This Row],[Coluna9]]&gt;0,"Entrada","Saída")</f>
        <v>Saída</v>
      </c>
      <c r="S139" s="10" t="str">
        <f>Tabela2[[#This Row],[Coluna8]]</f>
        <v>CARTÃO NUBANK</v>
      </c>
      <c r="T139" s="10" t="e">
        <f>Tabela2[[#This Row],[Coluna72]]</f>
        <v>#REF!</v>
      </c>
      <c r="U139" s="10">
        <f>SUM(Tabela2[[#This Row],[Coluna9]],Tabela2[[#This Row],[Coluna10]])</f>
        <v>59.22</v>
      </c>
      <c r="V139" s="2">
        <f>Tabela2[[#This Row],[Coluna4]]</f>
        <v>45972</v>
      </c>
      <c r="W139" s="2">
        <f>Tabela2[[#This Row],[Coluna6]]</f>
        <v>45972</v>
      </c>
    </row>
    <row r="140" spans="2:23" x14ac:dyDescent="0.2">
      <c r="B140" t="s">
        <v>18</v>
      </c>
      <c r="C140" t="s">
        <v>95</v>
      </c>
      <c r="D140" t="s">
        <v>13</v>
      </c>
      <c r="E140" s="8">
        <v>45972</v>
      </c>
      <c r="F140" t="s">
        <v>42</v>
      </c>
      <c r="G140" s="8">
        <v>45972</v>
      </c>
      <c r="H140" t="s">
        <v>443</v>
      </c>
      <c r="I140" t="e">
        <f>VLOOKUP(Tabela2[[#This Row],[Coluna7]],[1]!Tabela1[#All],2,0)</f>
        <v>#REF!</v>
      </c>
      <c r="J140" t="s">
        <v>741</v>
      </c>
      <c r="L140">
        <v>43.58</v>
      </c>
      <c r="Q140" s="10" t="str">
        <f>Tabela2[[#This Row],[Coluna5]]</f>
        <v>11/2025</v>
      </c>
      <c r="R140" s="10" t="str">
        <f>IF(Tabela2[[#This Row],[Coluna9]]&gt;0,"Entrada","Saída")</f>
        <v>Saída</v>
      </c>
      <c r="S140" s="10" t="str">
        <f>Tabela2[[#This Row],[Coluna8]]</f>
        <v>CARTÃO NUBANK</v>
      </c>
      <c r="T140" s="10" t="e">
        <f>Tabela2[[#This Row],[Coluna72]]</f>
        <v>#REF!</v>
      </c>
      <c r="U140" s="10">
        <f>SUM(Tabela2[[#This Row],[Coluna9]],Tabela2[[#This Row],[Coluna10]])</f>
        <v>43.58</v>
      </c>
      <c r="V140" s="2">
        <f>Tabela2[[#This Row],[Coluna4]]</f>
        <v>45972</v>
      </c>
      <c r="W140" s="2">
        <f>Tabela2[[#This Row],[Coluna6]]</f>
        <v>45972</v>
      </c>
    </row>
    <row r="141" spans="2:23" x14ac:dyDescent="0.2">
      <c r="B141" t="s">
        <v>18</v>
      </c>
      <c r="C141" t="s">
        <v>95</v>
      </c>
      <c r="D141" t="s">
        <v>13</v>
      </c>
      <c r="E141" s="8">
        <v>45972</v>
      </c>
      <c r="F141" t="s">
        <v>42</v>
      </c>
      <c r="G141" s="8">
        <v>45972</v>
      </c>
      <c r="H141" t="s">
        <v>570</v>
      </c>
      <c r="I141" t="e">
        <f>VLOOKUP(Tabela2[[#This Row],[Coluna7]],[1]!Tabela1[#All],2,0)</f>
        <v>#REF!</v>
      </c>
      <c r="J141" t="s">
        <v>741</v>
      </c>
      <c r="L141">
        <v>123.4</v>
      </c>
      <c r="Q141" s="10" t="str">
        <f>Tabela2[[#This Row],[Coluna5]]</f>
        <v>11/2025</v>
      </c>
      <c r="R141" s="10" t="str">
        <f>IF(Tabela2[[#This Row],[Coluna9]]&gt;0,"Entrada","Saída")</f>
        <v>Saída</v>
      </c>
      <c r="S141" s="10" t="str">
        <f>Tabela2[[#This Row],[Coluna8]]</f>
        <v>CARTÃO NUBANK</v>
      </c>
      <c r="T141" s="10" t="e">
        <f>Tabela2[[#This Row],[Coluna72]]</f>
        <v>#REF!</v>
      </c>
      <c r="U141" s="10">
        <f>SUM(Tabela2[[#This Row],[Coluna9]],Tabela2[[#This Row],[Coluna10]])</f>
        <v>123.4</v>
      </c>
      <c r="V141" s="2">
        <f>Tabela2[[#This Row],[Coluna4]]</f>
        <v>45972</v>
      </c>
      <c r="W141" s="2">
        <f>Tabela2[[#This Row],[Coluna6]]</f>
        <v>45972</v>
      </c>
    </row>
    <row r="142" spans="2:23" x14ac:dyDescent="0.2">
      <c r="B142" t="s">
        <v>18</v>
      </c>
      <c r="C142" t="s">
        <v>95</v>
      </c>
      <c r="D142" t="s">
        <v>13</v>
      </c>
      <c r="E142" s="8">
        <v>45972</v>
      </c>
      <c r="F142" t="s">
        <v>42</v>
      </c>
      <c r="G142" s="8">
        <v>45972</v>
      </c>
      <c r="H142" t="s">
        <v>443</v>
      </c>
      <c r="I142" t="e">
        <f>VLOOKUP(Tabela2[[#This Row],[Coluna7]],[1]!Tabela1[#All],2,0)</f>
        <v>#REF!</v>
      </c>
      <c r="J142" t="s">
        <v>741</v>
      </c>
      <c r="L142">
        <v>65.42</v>
      </c>
      <c r="Q142" s="10" t="str">
        <f>Tabela2[[#This Row],[Coluna5]]</f>
        <v>11/2025</v>
      </c>
      <c r="R142" s="10" t="str">
        <f>IF(Tabela2[[#This Row],[Coluna9]]&gt;0,"Entrada","Saída")</f>
        <v>Saída</v>
      </c>
      <c r="S142" s="10" t="str">
        <f>Tabela2[[#This Row],[Coluna8]]</f>
        <v>CARTÃO NUBANK</v>
      </c>
      <c r="T142" s="10" t="e">
        <f>Tabela2[[#This Row],[Coluna72]]</f>
        <v>#REF!</v>
      </c>
      <c r="U142" s="10">
        <f>SUM(Tabela2[[#This Row],[Coluna9]],Tabela2[[#This Row],[Coluna10]])</f>
        <v>65.42</v>
      </c>
      <c r="V142" s="2">
        <f>Tabela2[[#This Row],[Coluna4]]</f>
        <v>45972</v>
      </c>
      <c r="W142" s="2">
        <f>Tabela2[[#This Row],[Coluna6]]</f>
        <v>45972</v>
      </c>
    </row>
    <row r="143" spans="2:23" x14ac:dyDescent="0.2">
      <c r="B143" t="s">
        <v>18</v>
      </c>
      <c r="C143" t="s">
        <v>95</v>
      </c>
      <c r="D143" t="s">
        <v>13</v>
      </c>
      <c r="E143" s="8">
        <v>45972</v>
      </c>
      <c r="F143" t="s">
        <v>42</v>
      </c>
      <c r="G143" s="8">
        <v>45972</v>
      </c>
      <c r="H143" t="s">
        <v>538</v>
      </c>
      <c r="I143" t="e">
        <f>VLOOKUP(Tabela2[[#This Row],[Coluna7]],[1]!Tabela1[#All],2,0)</f>
        <v>#REF!</v>
      </c>
      <c r="J143" t="s">
        <v>741</v>
      </c>
      <c r="L143">
        <v>24</v>
      </c>
      <c r="Q143" s="10" t="str">
        <f>Tabela2[[#This Row],[Coluna5]]</f>
        <v>11/2025</v>
      </c>
      <c r="R143" s="10" t="str">
        <f>IF(Tabela2[[#This Row],[Coluna9]]&gt;0,"Entrada","Saída")</f>
        <v>Saída</v>
      </c>
      <c r="S143" s="10" t="str">
        <f>Tabela2[[#This Row],[Coluna8]]</f>
        <v>CARTÃO NUBANK</v>
      </c>
      <c r="T143" s="10" t="e">
        <f>Tabela2[[#This Row],[Coluna72]]</f>
        <v>#REF!</v>
      </c>
      <c r="U143" s="10">
        <f>SUM(Tabela2[[#This Row],[Coluna9]],Tabela2[[#This Row],[Coluna10]])</f>
        <v>24</v>
      </c>
      <c r="V143" s="2">
        <f>Tabela2[[#This Row],[Coluna4]]</f>
        <v>45972</v>
      </c>
      <c r="W143" s="2">
        <f>Tabela2[[#This Row],[Coluna6]]</f>
        <v>45972</v>
      </c>
    </row>
    <row r="144" spans="2:23" x14ac:dyDescent="0.2">
      <c r="B144" t="s">
        <v>18</v>
      </c>
      <c r="C144" t="s">
        <v>95</v>
      </c>
      <c r="D144" t="s">
        <v>13</v>
      </c>
      <c r="E144" s="8">
        <v>45972</v>
      </c>
      <c r="F144" t="s">
        <v>42</v>
      </c>
      <c r="G144" s="8">
        <v>45972</v>
      </c>
      <c r="H144" t="s">
        <v>570</v>
      </c>
      <c r="I144" t="e">
        <f>VLOOKUP(Tabela2[[#This Row],[Coluna7]],[1]!Tabela1[#All],2,0)</f>
        <v>#REF!</v>
      </c>
      <c r="J144" t="s">
        <v>741</v>
      </c>
      <c r="L144">
        <v>40.130000000000003</v>
      </c>
      <c r="Q144" s="10" t="str">
        <f>Tabela2[[#This Row],[Coluna5]]</f>
        <v>11/2025</v>
      </c>
      <c r="R144" s="10" t="str">
        <f>IF(Tabela2[[#This Row],[Coluna9]]&gt;0,"Entrada","Saída")</f>
        <v>Saída</v>
      </c>
      <c r="S144" s="10" t="str">
        <f>Tabela2[[#This Row],[Coluna8]]</f>
        <v>CARTÃO NUBANK</v>
      </c>
      <c r="T144" s="10" t="e">
        <f>Tabela2[[#This Row],[Coluna72]]</f>
        <v>#REF!</v>
      </c>
      <c r="U144" s="10">
        <f>SUM(Tabela2[[#This Row],[Coluna9]],Tabela2[[#This Row],[Coluna10]])</f>
        <v>40.130000000000003</v>
      </c>
      <c r="V144" s="2">
        <f>Tabela2[[#This Row],[Coluna4]]</f>
        <v>45972</v>
      </c>
      <c r="W144" s="2">
        <f>Tabela2[[#This Row],[Coluna6]]</f>
        <v>45972</v>
      </c>
    </row>
    <row r="145" spans="2:23" x14ac:dyDescent="0.2">
      <c r="B145" t="s">
        <v>18</v>
      </c>
      <c r="C145" t="s">
        <v>95</v>
      </c>
      <c r="D145" t="s">
        <v>13</v>
      </c>
      <c r="E145" s="8">
        <v>45972</v>
      </c>
      <c r="F145" t="s">
        <v>42</v>
      </c>
      <c r="G145" s="8">
        <v>45972</v>
      </c>
      <c r="H145" t="s">
        <v>570</v>
      </c>
      <c r="I145" t="e">
        <f>VLOOKUP(Tabela2[[#This Row],[Coluna7]],[1]!Tabela1[#All],2,0)</f>
        <v>#REF!</v>
      </c>
      <c r="J145" t="s">
        <v>741</v>
      </c>
      <c r="L145">
        <v>200.03</v>
      </c>
      <c r="Q145" s="10" t="str">
        <f>Tabela2[[#This Row],[Coluna5]]</f>
        <v>11/2025</v>
      </c>
      <c r="R145" s="10" t="str">
        <f>IF(Tabela2[[#This Row],[Coluna9]]&gt;0,"Entrada","Saída")</f>
        <v>Saída</v>
      </c>
      <c r="S145" s="10" t="str">
        <f>Tabela2[[#This Row],[Coluna8]]</f>
        <v>CARTÃO NUBANK</v>
      </c>
      <c r="T145" s="10" t="e">
        <f>Tabela2[[#This Row],[Coluna72]]</f>
        <v>#REF!</v>
      </c>
      <c r="U145" s="10">
        <f>SUM(Tabela2[[#This Row],[Coluna9]],Tabela2[[#This Row],[Coluna10]])</f>
        <v>200.03</v>
      </c>
      <c r="V145" s="2">
        <f>Tabela2[[#This Row],[Coluna4]]</f>
        <v>45972</v>
      </c>
      <c r="W145" s="2">
        <f>Tabela2[[#This Row],[Coluna6]]</f>
        <v>45972</v>
      </c>
    </row>
    <row r="146" spans="2:23" x14ac:dyDescent="0.2">
      <c r="B146" t="s">
        <v>18</v>
      </c>
      <c r="C146" t="s">
        <v>95</v>
      </c>
      <c r="D146" t="s">
        <v>13</v>
      </c>
      <c r="E146" s="8">
        <v>45972</v>
      </c>
      <c r="F146" t="s">
        <v>42</v>
      </c>
      <c r="G146" s="8">
        <v>45972</v>
      </c>
      <c r="H146" t="s">
        <v>443</v>
      </c>
      <c r="I146" t="e">
        <f>VLOOKUP(Tabela2[[#This Row],[Coluna7]],[1]!Tabela1[#All],2,0)</f>
        <v>#REF!</v>
      </c>
      <c r="J146" t="s">
        <v>741</v>
      </c>
      <c r="L146">
        <v>55</v>
      </c>
      <c r="Q146" s="10" t="str">
        <f>Tabela2[[#This Row],[Coluna5]]</f>
        <v>11/2025</v>
      </c>
      <c r="R146" s="10" t="str">
        <f>IF(Tabela2[[#This Row],[Coluna9]]&gt;0,"Entrada","Saída")</f>
        <v>Saída</v>
      </c>
      <c r="S146" s="10" t="str">
        <f>Tabela2[[#This Row],[Coluna8]]</f>
        <v>CARTÃO NUBANK</v>
      </c>
      <c r="T146" s="10" t="e">
        <f>Tabela2[[#This Row],[Coluna72]]</f>
        <v>#REF!</v>
      </c>
      <c r="U146" s="10">
        <f>SUM(Tabela2[[#This Row],[Coluna9]],Tabela2[[#This Row],[Coluna10]])</f>
        <v>55</v>
      </c>
      <c r="V146" s="2">
        <f>Tabela2[[#This Row],[Coluna4]]</f>
        <v>45972</v>
      </c>
      <c r="W146" s="2">
        <f>Tabela2[[#This Row],[Coluna6]]</f>
        <v>45972</v>
      </c>
    </row>
    <row r="147" spans="2:23" x14ac:dyDescent="0.2">
      <c r="B147" t="s">
        <v>18</v>
      </c>
      <c r="C147" t="s">
        <v>95</v>
      </c>
      <c r="D147" t="s">
        <v>13</v>
      </c>
      <c r="E147" s="8">
        <v>45972</v>
      </c>
      <c r="F147" t="s">
        <v>42</v>
      </c>
      <c r="G147" s="8">
        <v>45972</v>
      </c>
      <c r="H147" t="s">
        <v>570</v>
      </c>
      <c r="I147" t="e">
        <f>VLOOKUP(Tabela2[[#This Row],[Coluna7]],[1]!Tabela1[#All],2,0)</f>
        <v>#REF!</v>
      </c>
      <c r="J147" t="s">
        <v>741</v>
      </c>
      <c r="L147">
        <v>57</v>
      </c>
      <c r="Q147" s="10" t="str">
        <f>Tabela2[[#This Row],[Coluna5]]</f>
        <v>11/2025</v>
      </c>
      <c r="R147" s="10" t="str">
        <f>IF(Tabela2[[#This Row],[Coluna9]]&gt;0,"Entrada","Saída")</f>
        <v>Saída</v>
      </c>
      <c r="S147" s="10" t="str">
        <f>Tabela2[[#This Row],[Coluna8]]</f>
        <v>CARTÃO NUBANK</v>
      </c>
      <c r="T147" s="10" t="e">
        <f>Tabela2[[#This Row],[Coluna72]]</f>
        <v>#REF!</v>
      </c>
      <c r="U147" s="10">
        <f>SUM(Tabela2[[#This Row],[Coluna9]],Tabela2[[#This Row],[Coluna10]])</f>
        <v>57</v>
      </c>
      <c r="V147" s="2">
        <f>Tabela2[[#This Row],[Coluna4]]</f>
        <v>45972</v>
      </c>
      <c r="W147" s="2">
        <f>Tabela2[[#This Row],[Coluna6]]</f>
        <v>45972</v>
      </c>
    </row>
    <row r="148" spans="2:23" x14ac:dyDescent="0.2">
      <c r="B148" t="s">
        <v>18</v>
      </c>
      <c r="C148" t="s">
        <v>95</v>
      </c>
      <c r="D148" t="s">
        <v>13</v>
      </c>
      <c r="E148" s="8">
        <v>45972</v>
      </c>
      <c r="F148" t="s">
        <v>42</v>
      </c>
      <c r="G148" s="8">
        <v>45972</v>
      </c>
      <c r="H148" t="s">
        <v>538</v>
      </c>
      <c r="I148" t="e">
        <f>VLOOKUP(Tabela2[[#This Row],[Coluna7]],[1]!Tabela1[#All],2,0)</f>
        <v>#REF!</v>
      </c>
      <c r="J148" t="s">
        <v>741</v>
      </c>
      <c r="L148">
        <v>40</v>
      </c>
      <c r="Q148" s="10" t="str">
        <f>Tabela2[[#This Row],[Coluna5]]</f>
        <v>11/2025</v>
      </c>
      <c r="R148" s="10" t="str">
        <f>IF(Tabela2[[#This Row],[Coluna9]]&gt;0,"Entrada","Saída")</f>
        <v>Saída</v>
      </c>
      <c r="S148" s="10" t="str">
        <f>Tabela2[[#This Row],[Coluna8]]</f>
        <v>CARTÃO NUBANK</v>
      </c>
      <c r="T148" s="10" t="e">
        <f>Tabela2[[#This Row],[Coluna72]]</f>
        <v>#REF!</v>
      </c>
      <c r="U148" s="10">
        <f>SUM(Tabela2[[#This Row],[Coluna9]],Tabela2[[#This Row],[Coluna10]])</f>
        <v>40</v>
      </c>
      <c r="V148" s="2">
        <f>Tabela2[[#This Row],[Coluna4]]</f>
        <v>45972</v>
      </c>
      <c r="W148" s="2">
        <f>Tabela2[[#This Row],[Coluna6]]</f>
        <v>45972</v>
      </c>
    </row>
    <row r="149" spans="2:23" x14ac:dyDescent="0.2">
      <c r="B149" t="s">
        <v>18</v>
      </c>
      <c r="C149" t="s">
        <v>95</v>
      </c>
      <c r="D149" t="s">
        <v>13</v>
      </c>
      <c r="E149" s="8">
        <v>45972</v>
      </c>
      <c r="F149" t="s">
        <v>42</v>
      </c>
      <c r="G149" s="8">
        <v>45972</v>
      </c>
      <c r="H149" t="s">
        <v>443</v>
      </c>
      <c r="I149" t="e">
        <f>VLOOKUP(Tabela2[[#This Row],[Coluna7]],[1]!Tabela1[#All],2,0)</f>
        <v>#REF!</v>
      </c>
      <c r="J149" t="s">
        <v>741</v>
      </c>
      <c r="L149">
        <v>41.77</v>
      </c>
      <c r="Q149" s="10" t="str">
        <f>Tabela2[[#This Row],[Coluna5]]</f>
        <v>11/2025</v>
      </c>
      <c r="R149" s="10" t="str">
        <f>IF(Tabela2[[#This Row],[Coluna9]]&gt;0,"Entrada","Saída")</f>
        <v>Saída</v>
      </c>
      <c r="S149" s="10" t="str">
        <f>Tabela2[[#This Row],[Coluna8]]</f>
        <v>CARTÃO NUBANK</v>
      </c>
      <c r="T149" s="10" t="e">
        <f>Tabela2[[#This Row],[Coluna72]]</f>
        <v>#REF!</v>
      </c>
      <c r="U149" s="10">
        <f>SUM(Tabela2[[#This Row],[Coluna9]],Tabela2[[#This Row],[Coluna10]])</f>
        <v>41.77</v>
      </c>
      <c r="V149" s="2">
        <f>Tabela2[[#This Row],[Coluna4]]</f>
        <v>45972</v>
      </c>
      <c r="W149" s="2">
        <f>Tabela2[[#This Row],[Coluna6]]</f>
        <v>45972</v>
      </c>
    </row>
    <row r="150" spans="2:23" x14ac:dyDescent="0.2">
      <c r="B150" t="s">
        <v>18</v>
      </c>
      <c r="C150" t="s">
        <v>95</v>
      </c>
      <c r="D150" t="s">
        <v>13</v>
      </c>
      <c r="E150" s="8">
        <v>45972</v>
      </c>
      <c r="F150" t="s">
        <v>42</v>
      </c>
      <c r="G150" s="8">
        <v>45972</v>
      </c>
      <c r="H150" t="s">
        <v>570</v>
      </c>
      <c r="I150" t="e">
        <f>VLOOKUP(Tabela2[[#This Row],[Coluna7]],[1]!Tabela1[#All],2,0)</f>
        <v>#REF!</v>
      </c>
      <c r="J150" t="s">
        <v>741</v>
      </c>
      <c r="L150">
        <v>3.2</v>
      </c>
      <c r="Q150" s="10" t="str">
        <f>Tabela2[[#This Row],[Coluna5]]</f>
        <v>11/2025</v>
      </c>
      <c r="R150" s="10" t="str">
        <f>IF(Tabela2[[#This Row],[Coluna9]]&gt;0,"Entrada","Saída")</f>
        <v>Saída</v>
      </c>
      <c r="S150" s="10" t="str">
        <f>Tabela2[[#This Row],[Coluna8]]</f>
        <v>CARTÃO NUBANK</v>
      </c>
      <c r="T150" s="10" t="e">
        <f>Tabela2[[#This Row],[Coluna72]]</f>
        <v>#REF!</v>
      </c>
      <c r="U150" s="10">
        <f>SUM(Tabela2[[#This Row],[Coluna9]],Tabela2[[#This Row],[Coluna10]])</f>
        <v>3.2</v>
      </c>
      <c r="V150" s="2">
        <f>Tabela2[[#This Row],[Coluna4]]</f>
        <v>45972</v>
      </c>
      <c r="W150" s="2">
        <f>Tabela2[[#This Row],[Coluna6]]</f>
        <v>45972</v>
      </c>
    </row>
    <row r="151" spans="2:23" x14ac:dyDescent="0.2">
      <c r="B151" t="s">
        <v>18</v>
      </c>
      <c r="C151" t="s">
        <v>95</v>
      </c>
      <c r="D151" t="s">
        <v>13</v>
      </c>
      <c r="E151" s="8">
        <v>45972</v>
      </c>
      <c r="F151" t="s">
        <v>42</v>
      </c>
      <c r="G151" s="8">
        <v>45972</v>
      </c>
      <c r="H151" t="s">
        <v>443</v>
      </c>
      <c r="I151" t="e">
        <f>VLOOKUP(Tabela2[[#This Row],[Coluna7]],[1]!Tabela1[#All],2,0)</f>
        <v>#REF!</v>
      </c>
      <c r="J151" t="s">
        <v>741</v>
      </c>
      <c r="L151">
        <v>25.6</v>
      </c>
      <c r="Q151" s="10" t="str">
        <f>Tabela2[[#This Row],[Coluna5]]</f>
        <v>11/2025</v>
      </c>
      <c r="R151" s="10" t="str">
        <f>IF(Tabela2[[#This Row],[Coluna9]]&gt;0,"Entrada","Saída")</f>
        <v>Saída</v>
      </c>
      <c r="S151" s="10" t="str">
        <f>Tabela2[[#This Row],[Coluna8]]</f>
        <v>CARTÃO NUBANK</v>
      </c>
      <c r="T151" s="10" t="e">
        <f>Tabela2[[#This Row],[Coluna72]]</f>
        <v>#REF!</v>
      </c>
      <c r="U151" s="10">
        <f>SUM(Tabela2[[#This Row],[Coluna9]],Tabela2[[#This Row],[Coluna10]])</f>
        <v>25.6</v>
      </c>
      <c r="V151" s="2">
        <f>Tabela2[[#This Row],[Coluna4]]</f>
        <v>45972</v>
      </c>
      <c r="W151" s="2">
        <f>Tabela2[[#This Row],[Coluna6]]</f>
        <v>45972</v>
      </c>
    </row>
    <row r="152" spans="2:23" x14ac:dyDescent="0.2">
      <c r="B152" t="s">
        <v>18</v>
      </c>
      <c r="C152" t="s">
        <v>95</v>
      </c>
      <c r="D152" t="s">
        <v>13</v>
      </c>
      <c r="E152" s="8">
        <v>45972</v>
      </c>
      <c r="F152" t="s">
        <v>42</v>
      </c>
      <c r="G152" s="8">
        <v>45972</v>
      </c>
      <c r="H152" t="s">
        <v>443</v>
      </c>
      <c r="I152" t="e">
        <f>VLOOKUP(Tabela2[[#This Row],[Coluna7]],[1]!Tabela1[#All],2,0)</f>
        <v>#REF!</v>
      </c>
      <c r="J152" t="s">
        <v>741</v>
      </c>
      <c r="L152">
        <v>17.170000000000002</v>
      </c>
      <c r="Q152" s="10" t="str">
        <f>Tabela2[[#This Row],[Coluna5]]</f>
        <v>11/2025</v>
      </c>
      <c r="R152" s="10" t="str">
        <f>IF(Tabela2[[#This Row],[Coluna9]]&gt;0,"Entrada","Saída")</f>
        <v>Saída</v>
      </c>
      <c r="S152" s="10" t="str">
        <f>Tabela2[[#This Row],[Coluna8]]</f>
        <v>CARTÃO NUBANK</v>
      </c>
      <c r="T152" s="10" t="e">
        <f>Tabela2[[#This Row],[Coluna72]]</f>
        <v>#REF!</v>
      </c>
      <c r="U152" s="10">
        <f>SUM(Tabela2[[#This Row],[Coluna9]],Tabela2[[#This Row],[Coluna10]])</f>
        <v>17.170000000000002</v>
      </c>
      <c r="V152" s="2">
        <f>Tabela2[[#This Row],[Coluna4]]</f>
        <v>45972</v>
      </c>
      <c r="W152" s="2">
        <f>Tabela2[[#This Row],[Coluna6]]</f>
        <v>45972</v>
      </c>
    </row>
    <row r="153" spans="2:23" x14ac:dyDescent="0.2">
      <c r="B153" t="s">
        <v>18</v>
      </c>
      <c r="C153" t="s">
        <v>95</v>
      </c>
      <c r="D153" t="s">
        <v>13</v>
      </c>
      <c r="E153" s="8">
        <v>45972</v>
      </c>
      <c r="F153" t="s">
        <v>42</v>
      </c>
      <c r="G153" s="8">
        <v>45972</v>
      </c>
      <c r="H153" t="s">
        <v>443</v>
      </c>
      <c r="I153" t="e">
        <f>VLOOKUP(Tabela2[[#This Row],[Coluna7]],[1]!Tabela1[#All],2,0)</f>
        <v>#REF!</v>
      </c>
      <c r="J153" t="s">
        <v>741</v>
      </c>
      <c r="L153">
        <v>19.22</v>
      </c>
      <c r="Q153" s="10" t="str">
        <f>Tabela2[[#This Row],[Coluna5]]</f>
        <v>11/2025</v>
      </c>
      <c r="R153" s="10" t="str">
        <f>IF(Tabela2[[#This Row],[Coluna9]]&gt;0,"Entrada","Saída")</f>
        <v>Saída</v>
      </c>
      <c r="S153" s="10" t="str">
        <f>Tabela2[[#This Row],[Coluna8]]</f>
        <v>CARTÃO NUBANK</v>
      </c>
      <c r="T153" s="10" t="e">
        <f>Tabela2[[#This Row],[Coluna72]]</f>
        <v>#REF!</v>
      </c>
      <c r="U153" s="10">
        <f>SUM(Tabela2[[#This Row],[Coluna9]],Tabela2[[#This Row],[Coluna10]])</f>
        <v>19.22</v>
      </c>
      <c r="V153" s="2">
        <f>Tabela2[[#This Row],[Coluna4]]</f>
        <v>45972</v>
      </c>
      <c r="W153" s="2">
        <f>Tabela2[[#This Row],[Coluna6]]</f>
        <v>45972</v>
      </c>
    </row>
    <row r="154" spans="2:23" x14ac:dyDescent="0.2">
      <c r="B154" t="s">
        <v>18</v>
      </c>
      <c r="C154" t="s">
        <v>95</v>
      </c>
      <c r="D154" t="s">
        <v>13</v>
      </c>
      <c r="E154" s="8">
        <v>45972</v>
      </c>
      <c r="F154" t="s">
        <v>42</v>
      </c>
      <c r="G154" s="8">
        <v>45972</v>
      </c>
      <c r="H154" t="s">
        <v>469</v>
      </c>
      <c r="I154" t="e">
        <f>VLOOKUP(Tabela2[[#This Row],[Coluna7]],[1]!Tabela1[#All],2,0)</f>
        <v>#REF!</v>
      </c>
      <c r="J154" t="s">
        <v>741</v>
      </c>
      <c r="L154">
        <v>87.2</v>
      </c>
      <c r="Q154" s="10" t="str">
        <f>Tabela2[[#This Row],[Coluna5]]</f>
        <v>11/2025</v>
      </c>
      <c r="R154" s="10" t="str">
        <f>IF(Tabela2[[#This Row],[Coluna9]]&gt;0,"Entrada","Saída")</f>
        <v>Saída</v>
      </c>
      <c r="S154" s="10" t="str">
        <f>Tabela2[[#This Row],[Coluna8]]</f>
        <v>CARTÃO NUBANK</v>
      </c>
      <c r="T154" s="10" t="e">
        <f>Tabela2[[#This Row],[Coluna72]]</f>
        <v>#REF!</v>
      </c>
      <c r="U154" s="10">
        <f>SUM(Tabela2[[#This Row],[Coluna9]],Tabela2[[#This Row],[Coluna10]])</f>
        <v>87.2</v>
      </c>
      <c r="V154" s="2">
        <f>Tabela2[[#This Row],[Coluna4]]</f>
        <v>45972</v>
      </c>
      <c r="W154" s="2">
        <f>Tabela2[[#This Row],[Coluna6]]</f>
        <v>45972</v>
      </c>
    </row>
    <row r="155" spans="2:23" x14ac:dyDescent="0.2">
      <c r="B155" t="s">
        <v>18</v>
      </c>
      <c r="C155" t="s">
        <v>95</v>
      </c>
      <c r="D155" t="s">
        <v>13</v>
      </c>
      <c r="E155" s="8">
        <v>45975</v>
      </c>
      <c r="F155" t="s">
        <v>42</v>
      </c>
      <c r="G155" s="8">
        <v>45975</v>
      </c>
      <c r="H155" t="s">
        <v>570</v>
      </c>
      <c r="I155" t="e">
        <f>VLOOKUP(Tabela2[[#This Row],[Coluna7]],[1]!Tabela1[#All],2,0)</f>
        <v>#REF!</v>
      </c>
      <c r="J155" t="s">
        <v>741</v>
      </c>
      <c r="L155">
        <v>37</v>
      </c>
      <c r="Q155" s="10" t="str">
        <f>Tabela2[[#This Row],[Coluna5]]</f>
        <v>11/2025</v>
      </c>
      <c r="R155" s="10" t="str">
        <f>IF(Tabela2[[#This Row],[Coluna9]]&gt;0,"Entrada","Saída")</f>
        <v>Saída</v>
      </c>
      <c r="S155" s="10" t="str">
        <f>Tabela2[[#This Row],[Coluna8]]</f>
        <v>CARTÃO NUBANK</v>
      </c>
      <c r="T155" s="10" t="e">
        <f>Tabela2[[#This Row],[Coluna72]]</f>
        <v>#REF!</v>
      </c>
      <c r="U155" s="10">
        <f>SUM(Tabela2[[#This Row],[Coluna9]],Tabela2[[#This Row],[Coluna10]])</f>
        <v>37</v>
      </c>
      <c r="V155" s="2">
        <f>Tabela2[[#This Row],[Coluna4]]</f>
        <v>45975</v>
      </c>
      <c r="W155" s="2">
        <f>Tabela2[[#This Row],[Coluna6]]</f>
        <v>45975</v>
      </c>
    </row>
    <row r="156" spans="2:23" x14ac:dyDescent="0.2">
      <c r="B156" t="s">
        <v>18</v>
      </c>
      <c r="C156" t="s">
        <v>95</v>
      </c>
      <c r="D156" t="s">
        <v>13</v>
      </c>
      <c r="E156" s="8">
        <v>45975</v>
      </c>
      <c r="F156" t="s">
        <v>42</v>
      </c>
      <c r="G156" s="8">
        <v>45975</v>
      </c>
      <c r="H156" t="s">
        <v>538</v>
      </c>
      <c r="I156" t="e">
        <f>VLOOKUP(Tabela2[[#This Row],[Coluna7]],[1]!Tabela1[#All],2,0)</f>
        <v>#REF!</v>
      </c>
      <c r="J156" t="s">
        <v>741</v>
      </c>
      <c r="L156">
        <v>23</v>
      </c>
      <c r="Q156" s="10" t="str">
        <f>Tabela2[[#This Row],[Coluna5]]</f>
        <v>11/2025</v>
      </c>
      <c r="R156" s="10" t="str">
        <f>IF(Tabela2[[#This Row],[Coluna9]]&gt;0,"Entrada","Saída")</f>
        <v>Saída</v>
      </c>
      <c r="S156" s="10" t="str">
        <f>Tabela2[[#This Row],[Coluna8]]</f>
        <v>CARTÃO NUBANK</v>
      </c>
      <c r="T156" s="10" t="e">
        <f>Tabela2[[#This Row],[Coluna72]]</f>
        <v>#REF!</v>
      </c>
      <c r="U156" s="10">
        <f>SUM(Tabela2[[#This Row],[Coluna9]],Tabela2[[#This Row],[Coluna10]])</f>
        <v>23</v>
      </c>
      <c r="V156" s="2">
        <f>Tabela2[[#This Row],[Coluna4]]</f>
        <v>45975</v>
      </c>
      <c r="W156" s="2">
        <f>Tabela2[[#This Row],[Coluna6]]</f>
        <v>45975</v>
      </c>
    </row>
    <row r="157" spans="2:23" x14ac:dyDescent="0.2">
      <c r="B157" t="s">
        <v>18</v>
      </c>
      <c r="C157" t="s">
        <v>95</v>
      </c>
      <c r="D157" t="s">
        <v>13</v>
      </c>
      <c r="E157" s="8">
        <v>45975</v>
      </c>
      <c r="F157" t="s">
        <v>42</v>
      </c>
      <c r="G157" s="8">
        <v>45975</v>
      </c>
      <c r="H157" t="s">
        <v>469</v>
      </c>
      <c r="I157" t="e">
        <f>VLOOKUP(Tabela2[[#This Row],[Coluna7]],[1]!Tabela1[#All],2,0)</f>
        <v>#REF!</v>
      </c>
      <c r="J157" t="s">
        <v>742</v>
      </c>
      <c r="L157">
        <v>25.12</v>
      </c>
      <c r="Q157" s="10" t="str">
        <f>Tabela2[[#This Row],[Coluna5]]</f>
        <v>11/2025</v>
      </c>
      <c r="R157" s="10" t="str">
        <f>IF(Tabela2[[#This Row],[Coluna9]]&gt;0,"Entrada","Saída")</f>
        <v>Saída</v>
      </c>
      <c r="S157" s="10" t="str">
        <f>Tabela2[[#This Row],[Coluna8]]</f>
        <v>CARTÃO HIPERCARD</v>
      </c>
      <c r="T157" s="10" t="e">
        <f>Tabela2[[#This Row],[Coluna72]]</f>
        <v>#REF!</v>
      </c>
      <c r="U157" s="10">
        <f>SUM(Tabela2[[#This Row],[Coluna9]],Tabela2[[#This Row],[Coluna10]])</f>
        <v>25.12</v>
      </c>
      <c r="V157" s="2">
        <f>Tabela2[[#This Row],[Coluna4]]</f>
        <v>45975</v>
      </c>
      <c r="W157" s="2">
        <f>Tabela2[[#This Row],[Coluna6]]</f>
        <v>45975</v>
      </c>
    </row>
    <row r="158" spans="2:23" x14ac:dyDescent="0.2">
      <c r="B158" t="s">
        <v>18</v>
      </c>
      <c r="C158" t="s">
        <v>95</v>
      </c>
      <c r="D158" t="s">
        <v>13</v>
      </c>
      <c r="E158" s="8">
        <v>45975</v>
      </c>
      <c r="F158" t="s">
        <v>42</v>
      </c>
      <c r="G158" s="8">
        <v>45975</v>
      </c>
      <c r="H158" t="s">
        <v>469</v>
      </c>
      <c r="I158" t="e">
        <f>VLOOKUP(Tabela2[[#This Row],[Coluna7]],[1]!Tabela1[#All],2,0)</f>
        <v>#REF!</v>
      </c>
      <c r="J158" t="s">
        <v>742</v>
      </c>
      <c r="L158">
        <v>55.38</v>
      </c>
      <c r="Q158" s="10" t="str">
        <f>Tabela2[[#This Row],[Coluna5]]</f>
        <v>11/2025</v>
      </c>
      <c r="R158" s="10" t="str">
        <f>IF(Tabela2[[#This Row],[Coluna9]]&gt;0,"Entrada","Saída")</f>
        <v>Saída</v>
      </c>
      <c r="S158" s="10" t="str">
        <f>Tabela2[[#This Row],[Coluna8]]</f>
        <v>CARTÃO HIPERCARD</v>
      </c>
      <c r="T158" s="10" t="e">
        <f>Tabela2[[#This Row],[Coluna72]]</f>
        <v>#REF!</v>
      </c>
      <c r="U158" s="10">
        <f>SUM(Tabela2[[#This Row],[Coluna9]],Tabela2[[#This Row],[Coluna10]])</f>
        <v>55.38</v>
      </c>
      <c r="V158" s="2">
        <f>Tabela2[[#This Row],[Coluna4]]</f>
        <v>45975</v>
      </c>
      <c r="W158" s="2">
        <f>Tabela2[[#This Row],[Coluna6]]</f>
        <v>45975</v>
      </c>
    </row>
    <row r="159" spans="2:23" x14ac:dyDescent="0.2">
      <c r="B159" t="s">
        <v>18</v>
      </c>
      <c r="C159" t="s">
        <v>95</v>
      </c>
      <c r="D159" t="s">
        <v>13</v>
      </c>
      <c r="E159" s="8">
        <v>45975</v>
      </c>
      <c r="F159" t="s">
        <v>42</v>
      </c>
      <c r="G159" s="8">
        <v>45975</v>
      </c>
      <c r="H159" t="s">
        <v>469</v>
      </c>
      <c r="I159" t="e">
        <f>VLOOKUP(Tabela2[[#This Row],[Coluna7]],[1]!Tabela1[#All],2,0)</f>
        <v>#REF!</v>
      </c>
      <c r="J159" t="s">
        <v>742</v>
      </c>
      <c r="L159">
        <v>90</v>
      </c>
      <c r="Q159" s="10" t="str">
        <f>Tabela2[[#This Row],[Coluna5]]</f>
        <v>11/2025</v>
      </c>
      <c r="R159" s="10" t="str">
        <f>IF(Tabela2[[#This Row],[Coluna9]]&gt;0,"Entrada","Saída")</f>
        <v>Saída</v>
      </c>
      <c r="S159" s="10" t="str">
        <f>Tabela2[[#This Row],[Coluna8]]</f>
        <v>CARTÃO HIPERCARD</v>
      </c>
      <c r="T159" s="10" t="e">
        <f>Tabela2[[#This Row],[Coluna72]]</f>
        <v>#REF!</v>
      </c>
      <c r="U159" s="10">
        <f>SUM(Tabela2[[#This Row],[Coluna9]],Tabela2[[#This Row],[Coluna10]])</f>
        <v>90</v>
      </c>
      <c r="V159" s="2">
        <f>Tabela2[[#This Row],[Coluna4]]</f>
        <v>45975</v>
      </c>
      <c r="W159" s="2">
        <f>Tabela2[[#This Row],[Coluna6]]</f>
        <v>45975</v>
      </c>
    </row>
    <row r="160" spans="2:23" x14ac:dyDescent="0.2">
      <c r="B160" t="s">
        <v>18</v>
      </c>
      <c r="C160" t="s">
        <v>95</v>
      </c>
      <c r="D160" t="s">
        <v>13</v>
      </c>
      <c r="E160" s="8">
        <v>45975</v>
      </c>
      <c r="F160" t="s">
        <v>42</v>
      </c>
      <c r="G160" s="8">
        <v>45975</v>
      </c>
      <c r="H160" t="s">
        <v>469</v>
      </c>
      <c r="I160" t="e">
        <f>VLOOKUP(Tabela2[[#This Row],[Coluna7]],[1]!Tabela1[#All],2,0)</f>
        <v>#REF!</v>
      </c>
      <c r="J160" t="s">
        <v>742</v>
      </c>
      <c r="L160">
        <v>56.18</v>
      </c>
      <c r="Q160" s="10" t="str">
        <f>Tabela2[[#This Row],[Coluna5]]</f>
        <v>11/2025</v>
      </c>
      <c r="R160" s="10" t="str">
        <f>IF(Tabela2[[#This Row],[Coluna9]]&gt;0,"Entrada","Saída")</f>
        <v>Saída</v>
      </c>
      <c r="S160" s="10" t="str">
        <f>Tabela2[[#This Row],[Coluna8]]</f>
        <v>CARTÃO HIPERCARD</v>
      </c>
      <c r="T160" s="10" t="e">
        <f>Tabela2[[#This Row],[Coluna72]]</f>
        <v>#REF!</v>
      </c>
      <c r="U160" s="10">
        <f>SUM(Tabela2[[#This Row],[Coluna9]],Tabela2[[#This Row],[Coluna10]])</f>
        <v>56.18</v>
      </c>
      <c r="V160" s="2">
        <f>Tabela2[[#This Row],[Coluna4]]</f>
        <v>45975</v>
      </c>
      <c r="W160" s="2">
        <f>Tabela2[[#This Row],[Coluna6]]</f>
        <v>45975</v>
      </c>
    </row>
    <row r="161" spans="2:23" x14ac:dyDescent="0.2">
      <c r="B161" t="s">
        <v>18</v>
      </c>
      <c r="C161" t="s">
        <v>95</v>
      </c>
      <c r="D161" t="s">
        <v>13</v>
      </c>
      <c r="E161" s="8">
        <v>45975</v>
      </c>
      <c r="F161" t="s">
        <v>42</v>
      </c>
      <c r="G161" s="8">
        <v>45975</v>
      </c>
      <c r="H161" t="s">
        <v>469</v>
      </c>
      <c r="I161" t="e">
        <f>VLOOKUP(Tabela2[[#This Row],[Coluna7]],[1]!Tabela1[#All],2,0)</f>
        <v>#REF!</v>
      </c>
      <c r="J161" t="s">
        <v>742</v>
      </c>
      <c r="L161">
        <v>54.33</v>
      </c>
      <c r="Q161" s="10" t="str">
        <f>Tabela2[[#This Row],[Coluna5]]</f>
        <v>11/2025</v>
      </c>
      <c r="R161" s="10" t="str">
        <f>IF(Tabela2[[#This Row],[Coluna9]]&gt;0,"Entrada","Saída")</f>
        <v>Saída</v>
      </c>
      <c r="S161" s="10" t="str">
        <f>Tabela2[[#This Row],[Coluna8]]</f>
        <v>CARTÃO HIPERCARD</v>
      </c>
      <c r="T161" s="10" t="e">
        <f>Tabela2[[#This Row],[Coluna72]]</f>
        <v>#REF!</v>
      </c>
      <c r="U161" s="10">
        <f>SUM(Tabela2[[#This Row],[Coluna9]],Tabela2[[#This Row],[Coluna10]])</f>
        <v>54.33</v>
      </c>
      <c r="V161" s="2">
        <f>Tabela2[[#This Row],[Coluna4]]</f>
        <v>45975</v>
      </c>
      <c r="W161" s="2">
        <f>Tabela2[[#This Row],[Coluna6]]</f>
        <v>45975</v>
      </c>
    </row>
    <row r="162" spans="2:23" x14ac:dyDescent="0.2">
      <c r="B162" t="s">
        <v>18</v>
      </c>
      <c r="C162" t="s">
        <v>95</v>
      </c>
      <c r="D162" t="s">
        <v>13</v>
      </c>
      <c r="E162" s="8">
        <v>45975</v>
      </c>
      <c r="F162" t="s">
        <v>42</v>
      </c>
      <c r="G162" s="8">
        <v>45975</v>
      </c>
      <c r="H162" t="s">
        <v>469</v>
      </c>
      <c r="I162" t="e">
        <f>VLOOKUP(Tabela2[[#This Row],[Coluna7]],[1]!Tabela1[#All],2,0)</f>
        <v>#REF!</v>
      </c>
      <c r="J162" t="s">
        <v>742</v>
      </c>
      <c r="L162">
        <v>42.16</v>
      </c>
      <c r="Q162" s="10" t="str">
        <f>Tabela2[[#This Row],[Coluna5]]</f>
        <v>11/2025</v>
      </c>
      <c r="R162" s="10" t="str">
        <f>IF(Tabela2[[#This Row],[Coluna9]]&gt;0,"Entrada","Saída")</f>
        <v>Saída</v>
      </c>
      <c r="S162" s="10" t="str">
        <f>Tabela2[[#This Row],[Coluna8]]</f>
        <v>CARTÃO HIPERCARD</v>
      </c>
      <c r="T162" s="10" t="e">
        <f>Tabela2[[#This Row],[Coluna72]]</f>
        <v>#REF!</v>
      </c>
      <c r="U162" s="10">
        <f>SUM(Tabela2[[#This Row],[Coluna9]],Tabela2[[#This Row],[Coluna10]])</f>
        <v>42.16</v>
      </c>
      <c r="V162" s="2">
        <f>Tabela2[[#This Row],[Coluna4]]</f>
        <v>45975</v>
      </c>
      <c r="W162" s="2">
        <f>Tabela2[[#This Row],[Coluna6]]</f>
        <v>45975</v>
      </c>
    </row>
    <row r="163" spans="2:23" x14ac:dyDescent="0.2">
      <c r="B163" t="s">
        <v>18</v>
      </c>
      <c r="C163" t="s">
        <v>95</v>
      </c>
      <c r="D163" t="s">
        <v>13</v>
      </c>
      <c r="E163" s="8">
        <v>45975</v>
      </c>
      <c r="F163" t="s">
        <v>42</v>
      </c>
      <c r="G163" s="8">
        <v>45975</v>
      </c>
      <c r="H163" t="s">
        <v>469</v>
      </c>
      <c r="I163" t="e">
        <f>VLOOKUP(Tabela2[[#This Row],[Coluna7]],[1]!Tabela1[#All],2,0)</f>
        <v>#REF!</v>
      </c>
      <c r="J163" t="s">
        <v>742</v>
      </c>
      <c r="L163">
        <v>32.49</v>
      </c>
      <c r="Q163" s="10" t="str">
        <f>Tabela2[[#This Row],[Coluna5]]</f>
        <v>11/2025</v>
      </c>
      <c r="R163" s="10" t="str">
        <f>IF(Tabela2[[#This Row],[Coluna9]]&gt;0,"Entrada","Saída")</f>
        <v>Saída</v>
      </c>
      <c r="S163" s="10" t="str">
        <f>Tabela2[[#This Row],[Coluna8]]</f>
        <v>CARTÃO HIPERCARD</v>
      </c>
      <c r="T163" s="10" t="e">
        <f>Tabela2[[#This Row],[Coluna72]]</f>
        <v>#REF!</v>
      </c>
      <c r="U163" s="10">
        <f>SUM(Tabela2[[#This Row],[Coluna9]],Tabela2[[#This Row],[Coluna10]])</f>
        <v>32.49</v>
      </c>
      <c r="V163" s="2">
        <f>Tabela2[[#This Row],[Coluna4]]</f>
        <v>45975</v>
      </c>
      <c r="W163" s="2">
        <f>Tabela2[[#This Row],[Coluna6]]</f>
        <v>45975</v>
      </c>
    </row>
    <row r="164" spans="2:23" x14ac:dyDescent="0.2">
      <c r="B164" t="s">
        <v>18</v>
      </c>
      <c r="C164" t="s">
        <v>95</v>
      </c>
      <c r="D164" t="s">
        <v>13</v>
      </c>
      <c r="E164" s="8">
        <v>45975</v>
      </c>
      <c r="F164" t="s">
        <v>42</v>
      </c>
      <c r="G164" s="8">
        <v>45975</v>
      </c>
      <c r="H164" t="s">
        <v>469</v>
      </c>
      <c r="I164" t="e">
        <f>VLOOKUP(Tabela2[[#This Row],[Coluna7]],[1]!Tabela1[#All],2,0)</f>
        <v>#REF!</v>
      </c>
      <c r="J164" t="s">
        <v>742</v>
      </c>
      <c r="L164">
        <v>59.95</v>
      </c>
      <c r="Q164" s="10" t="str">
        <f>Tabela2[[#This Row],[Coluna5]]</f>
        <v>11/2025</v>
      </c>
      <c r="R164" s="10" t="str">
        <f>IF(Tabela2[[#This Row],[Coluna9]]&gt;0,"Entrada","Saída")</f>
        <v>Saída</v>
      </c>
      <c r="S164" s="10" t="str">
        <f>Tabela2[[#This Row],[Coluna8]]</f>
        <v>CARTÃO HIPERCARD</v>
      </c>
      <c r="T164" s="10" t="e">
        <f>Tabela2[[#This Row],[Coluna72]]</f>
        <v>#REF!</v>
      </c>
      <c r="U164" s="10">
        <f>SUM(Tabela2[[#This Row],[Coluna9]],Tabela2[[#This Row],[Coluna10]])</f>
        <v>59.95</v>
      </c>
      <c r="V164" s="2">
        <f>Tabela2[[#This Row],[Coluna4]]</f>
        <v>45975</v>
      </c>
      <c r="W164" s="2">
        <f>Tabela2[[#This Row],[Coluna6]]</f>
        <v>45975</v>
      </c>
    </row>
    <row r="165" spans="2:23" x14ac:dyDescent="0.2">
      <c r="B165" t="s">
        <v>18</v>
      </c>
      <c r="C165" t="s">
        <v>95</v>
      </c>
      <c r="D165" t="s">
        <v>13</v>
      </c>
      <c r="E165" s="8">
        <v>45975</v>
      </c>
      <c r="F165" t="s">
        <v>42</v>
      </c>
      <c r="G165" s="8">
        <v>45975</v>
      </c>
      <c r="H165" t="s">
        <v>693</v>
      </c>
      <c r="I165" t="e">
        <f>VLOOKUP(Tabela2[[#This Row],[Coluna7]],[1]!Tabela1[#All],2,0)</f>
        <v>#REF!</v>
      </c>
      <c r="J165" t="s">
        <v>742</v>
      </c>
      <c r="L165">
        <v>10.47</v>
      </c>
      <c r="Q165" s="10" t="str">
        <f>Tabela2[[#This Row],[Coluna5]]</f>
        <v>11/2025</v>
      </c>
      <c r="R165" s="10" t="str">
        <f>IF(Tabela2[[#This Row],[Coluna9]]&gt;0,"Entrada","Saída")</f>
        <v>Saída</v>
      </c>
      <c r="S165" s="10" t="str">
        <f>Tabela2[[#This Row],[Coluna8]]</f>
        <v>CARTÃO HIPERCARD</v>
      </c>
      <c r="T165" s="10" t="e">
        <f>Tabela2[[#This Row],[Coluna72]]</f>
        <v>#REF!</v>
      </c>
      <c r="U165" s="10">
        <f>SUM(Tabela2[[#This Row],[Coluna9]],Tabela2[[#This Row],[Coluna10]])</f>
        <v>10.47</v>
      </c>
      <c r="V165" s="2">
        <f>Tabela2[[#This Row],[Coluna4]]</f>
        <v>45975</v>
      </c>
      <c r="W165" s="2">
        <f>Tabela2[[#This Row],[Coluna6]]</f>
        <v>45975</v>
      </c>
    </row>
    <row r="166" spans="2:23" x14ac:dyDescent="0.2">
      <c r="B166" t="s">
        <v>18</v>
      </c>
      <c r="C166" t="s">
        <v>95</v>
      </c>
      <c r="D166" t="s">
        <v>13</v>
      </c>
      <c r="E166" s="8">
        <v>45978</v>
      </c>
      <c r="F166" t="s">
        <v>42</v>
      </c>
      <c r="G166" s="8">
        <v>45978</v>
      </c>
      <c r="H166" t="s">
        <v>693</v>
      </c>
      <c r="I166" t="e">
        <f>VLOOKUP(Tabela2[[#This Row],[Coluna7]],[1]!Tabela1[#All],2,0)</f>
        <v>#REF!</v>
      </c>
      <c r="J166" t="s">
        <v>743</v>
      </c>
      <c r="L166">
        <v>16.989999999999998</v>
      </c>
      <c r="Q166" s="10" t="str">
        <f>Tabela2[[#This Row],[Coluna5]]</f>
        <v>11/2025</v>
      </c>
      <c r="R166" s="10" t="str">
        <f>IF(Tabela2[[#This Row],[Coluna9]]&gt;0,"Entrada","Saída")</f>
        <v>Saída</v>
      </c>
      <c r="S166" s="10" t="str">
        <f>Tabela2[[#This Row],[Coluna8]]</f>
        <v>CARTÃO CARREFOUR</v>
      </c>
      <c r="T166" s="10" t="e">
        <f>Tabela2[[#This Row],[Coluna72]]</f>
        <v>#REF!</v>
      </c>
      <c r="U166" s="10">
        <f>SUM(Tabela2[[#This Row],[Coluna9]],Tabela2[[#This Row],[Coluna10]])</f>
        <v>16.989999999999998</v>
      </c>
      <c r="V166" s="2">
        <f>Tabela2[[#This Row],[Coluna4]]</f>
        <v>45978</v>
      </c>
      <c r="W166" s="2">
        <f>Tabela2[[#This Row],[Coluna6]]</f>
        <v>45978</v>
      </c>
    </row>
    <row r="167" spans="2:23" x14ac:dyDescent="0.2">
      <c r="B167" t="s">
        <v>18</v>
      </c>
      <c r="C167" t="s">
        <v>95</v>
      </c>
      <c r="D167" t="s">
        <v>13</v>
      </c>
      <c r="E167" s="8">
        <v>45978</v>
      </c>
      <c r="F167" t="s">
        <v>42</v>
      </c>
      <c r="G167" s="8">
        <v>45978</v>
      </c>
      <c r="H167" t="s">
        <v>435</v>
      </c>
      <c r="I167" t="e">
        <f>VLOOKUP(Tabela2[[#This Row],[Coluna7]],[1]!Tabela1[#All],2,0)</f>
        <v>#REF!</v>
      </c>
      <c r="J167" t="s">
        <v>743</v>
      </c>
      <c r="L167">
        <v>221.08</v>
      </c>
      <c r="Q167" s="10" t="str">
        <f>Tabela2[[#This Row],[Coluna5]]</f>
        <v>11/2025</v>
      </c>
      <c r="R167" s="10" t="str">
        <f>IF(Tabela2[[#This Row],[Coluna9]]&gt;0,"Entrada","Saída")</f>
        <v>Saída</v>
      </c>
      <c r="S167" s="10" t="str">
        <f>Tabela2[[#This Row],[Coluna8]]</f>
        <v>CARTÃO CARREFOUR</v>
      </c>
      <c r="T167" s="10" t="e">
        <f>Tabela2[[#This Row],[Coluna72]]</f>
        <v>#REF!</v>
      </c>
      <c r="U167" s="10">
        <f>SUM(Tabela2[[#This Row],[Coluna9]],Tabela2[[#This Row],[Coluna10]])</f>
        <v>221.08</v>
      </c>
      <c r="V167" s="2">
        <f>Tabela2[[#This Row],[Coluna4]]</f>
        <v>45978</v>
      </c>
      <c r="W167" s="2">
        <f>Tabela2[[#This Row],[Coluna6]]</f>
        <v>45978</v>
      </c>
    </row>
    <row r="168" spans="2:23" x14ac:dyDescent="0.2">
      <c r="B168" t="s">
        <v>18</v>
      </c>
      <c r="C168" t="s">
        <v>95</v>
      </c>
      <c r="D168" t="s">
        <v>13</v>
      </c>
      <c r="E168" s="8">
        <v>45978</v>
      </c>
      <c r="F168" t="s">
        <v>42</v>
      </c>
      <c r="G168" s="8">
        <v>45978</v>
      </c>
      <c r="H168" t="s">
        <v>445</v>
      </c>
      <c r="I168" t="e">
        <f>VLOOKUP(Tabela2[[#This Row],[Coluna7]],[1]!Tabela1[#All],2,0)</f>
        <v>#REF!</v>
      </c>
      <c r="J168" t="s">
        <v>743</v>
      </c>
      <c r="L168">
        <v>58</v>
      </c>
      <c r="Q168" s="10" t="str">
        <f>Tabela2[[#This Row],[Coluna5]]</f>
        <v>11/2025</v>
      </c>
      <c r="R168" s="10" t="str">
        <f>IF(Tabela2[[#This Row],[Coluna9]]&gt;0,"Entrada","Saída")</f>
        <v>Saída</v>
      </c>
      <c r="S168" s="10" t="str">
        <f>Tabela2[[#This Row],[Coluna8]]</f>
        <v>CARTÃO CARREFOUR</v>
      </c>
      <c r="T168" s="10" t="e">
        <f>Tabela2[[#This Row],[Coluna72]]</f>
        <v>#REF!</v>
      </c>
      <c r="U168" s="10">
        <f>SUM(Tabela2[[#This Row],[Coluna9]],Tabela2[[#This Row],[Coluna10]])</f>
        <v>58</v>
      </c>
      <c r="V168" s="2">
        <f>Tabela2[[#This Row],[Coluna4]]</f>
        <v>45978</v>
      </c>
      <c r="W168" s="2">
        <f>Tabela2[[#This Row],[Coluna6]]</f>
        <v>45978</v>
      </c>
    </row>
    <row r="169" spans="2:23" x14ac:dyDescent="0.2">
      <c r="B169" t="s">
        <v>18</v>
      </c>
      <c r="C169" t="s">
        <v>95</v>
      </c>
      <c r="D169" t="s">
        <v>13</v>
      </c>
      <c r="E169" s="8">
        <v>45978</v>
      </c>
      <c r="F169" t="s">
        <v>42</v>
      </c>
      <c r="G169" s="8">
        <v>45978</v>
      </c>
      <c r="H169" t="s">
        <v>538</v>
      </c>
      <c r="I169" t="e">
        <f>VLOOKUP(Tabela2[[#This Row],[Coluna7]],[1]!Tabela1[#All],2,0)</f>
        <v>#REF!</v>
      </c>
      <c r="J169" t="s">
        <v>743</v>
      </c>
      <c r="L169">
        <v>248.6</v>
      </c>
      <c r="Q169" s="10" t="str">
        <f>Tabela2[[#This Row],[Coluna5]]</f>
        <v>11/2025</v>
      </c>
      <c r="R169" s="10" t="str">
        <f>IF(Tabela2[[#This Row],[Coluna9]]&gt;0,"Entrada","Saída")</f>
        <v>Saída</v>
      </c>
      <c r="S169" s="10" t="str">
        <f>Tabela2[[#This Row],[Coluna8]]</f>
        <v>CARTÃO CARREFOUR</v>
      </c>
      <c r="T169" s="10" t="e">
        <f>Tabela2[[#This Row],[Coluna72]]</f>
        <v>#REF!</v>
      </c>
      <c r="U169" s="10">
        <f>SUM(Tabela2[[#This Row],[Coluna9]],Tabela2[[#This Row],[Coluna10]])</f>
        <v>248.6</v>
      </c>
      <c r="V169" s="2">
        <f>Tabela2[[#This Row],[Coluna4]]</f>
        <v>45978</v>
      </c>
      <c r="W169" s="2">
        <f>Tabela2[[#This Row],[Coluna6]]</f>
        <v>45978</v>
      </c>
    </row>
    <row r="170" spans="2:23" x14ac:dyDescent="0.2">
      <c r="B170" t="s">
        <v>18</v>
      </c>
      <c r="C170" t="s">
        <v>95</v>
      </c>
      <c r="D170" t="s">
        <v>13</v>
      </c>
      <c r="E170" s="8">
        <v>45979</v>
      </c>
      <c r="F170" t="s">
        <v>42</v>
      </c>
      <c r="G170" s="8">
        <v>45979</v>
      </c>
      <c r="H170" t="s">
        <v>538</v>
      </c>
      <c r="I170" t="e">
        <f>VLOOKUP(Tabela2[[#This Row],[Coluna7]],[1]!Tabela1[#All],2,0)</f>
        <v>#REF!</v>
      </c>
      <c r="J170" t="s">
        <v>744</v>
      </c>
      <c r="L170">
        <v>500</v>
      </c>
      <c r="Q170" s="10" t="str">
        <f>Tabela2[[#This Row],[Coluna5]]</f>
        <v>11/2025</v>
      </c>
      <c r="R170" s="10" t="str">
        <f>IF(Tabela2[[#This Row],[Coluna9]]&gt;0,"Entrada","Saída")</f>
        <v>Saída</v>
      </c>
      <c r="S170" s="10" t="str">
        <f>Tabela2[[#This Row],[Coluna8]]</f>
        <v xml:space="preserve">CARTÃO EFÍ </v>
      </c>
      <c r="T170" s="10" t="e">
        <f>Tabela2[[#This Row],[Coluna72]]</f>
        <v>#REF!</v>
      </c>
      <c r="U170" s="10">
        <f>SUM(Tabela2[[#This Row],[Coluna9]],Tabela2[[#This Row],[Coluna10]])</f>
        <v>500</v>
      </c>
      <c r="V170" s="2">
        <f>Tabela2[[#This Row],[Coluna4]]</f>
        <v>45979</v>
      </c>
      <c r="W170" s="2">
        <f>Tabela2[[#This Row],[Coluna6]]</f>
        <v>45979</v>
      </c>
    </row>
    <row r="171" spans="2:23" x14ac:dyDescent="0.2">
      <c r="B171" t="s">
        <v>18</v>
      </c>
      <c r="C171" t="s">
        <v>95</v>
      </c>
      <c r="D171" t="s">
        <v>13</v>
      </c>
      <c r="E171" s="8" t="s">
        <v>65</v>
      </c>
      <c r="F171" t="s">
        <v>64</v>
      </c>
      <c r="G171" s="8" t="s">
        <v>65</v>
      </c>
      <c r="H171" t="s">
        <v>458</v>
      </c>
      <c r="I171" t="e">
        <f>VLOOKUP(Tabela2[[#This Row],[Coluna7]],[1]!Tabela1[#All],2,0)</f>
        <v>#REF!</v>
      </c>
      <c r="J171" t="s">
        <v>737</v>
      </c>
      <c r="L171">
        <v>329.06</v>
      </c>
      <c r="Q171" s="10" t="str">
        <f>Tabela2[[#This Row],[Coluna5]]</f>
        <v>12/2025</v>
      </c>
      <c r="R171" s="10" t="str">
        <f>IF(Tabela2[[#This Row],[Coluna9]]&gt;0,"Entrada","Saída")</f>
        <v>Saída</v>
      </c>
      <c r="S171" s="10" t="str">
        <f>Tabela2[[#This Row],[Coluna8]]</f>
        <v>CARTÃO SANTANDER</v>
      </c>
      <c r="T171" s="10" t="e">
        <f>Tabela2[[#This Row],[Coluna72]]</f>
        <v>#REF!</v>
      </c>
      <c r="U171" s="10">
        <f>SUM(Tabela2[[#This Row],[Coluna9]],Tabela2[[#This Row],[Coluna10]])</f>
        <v>329.06</v>
      </c>
      <c r="V171" s="2" t="str">
        <f>Tabela2[[#This Row],[Coluna4]]</f>
        <v>03/12/2025</v>
      </c>
      <c r="W171" s="2" t="str">
        <f>Tabela2[[#This Row],[Coluna6]]</f>
        <v>03/12/2025</v>
      </c>
    </row>
    <row r="172" spans="2:23" x14ac:dyDescent="0.2">
      <c r="B172" t="s">
        <v>18</v>
      </c>
      <c r="C172" t="s">
        <v>95</v>
      </c>
      <c r="D172" t="s">
        <v>13</v>
      </c>
      <c r="E172" s="8" t="s">
        <v>65</v>
      </c>
      <c r="F172" t="s">
        <v>64</v>
      </c>
      <c r="G172" s="8" t="s">
        <v>65</v>
      </c>
      <c r="H172" t="s">
        <v>570</v>
      </c>
      <c r="I172" t="e">
        <f>VLOOKUP(Tabela2[[#This Row],[Coluna7]],[1]!Tabela1[#All],2,0)</f>
        <v>#REF!</v>
      </c>
      <c r="J172" t="s">
        <v>737</v>
      </c>
      <c r="L172">
        <v>127.85</v>
      </c>
      <c r="Q172" s="10" t="str">
        <f>Tabela2[[#This Row],[Coluna5]]</f>
        <v>12/2025</v>
      </c>
      <c r="R172" s="10" t="str">
        <f>IF(Tabela2[[#This Row],[Coluna9]]&gt;0,"Entrada","Saída")</f>
        <v>Saída</v>
      </c>
      <c r="S172" s="10" t="str">
        <f>Tabela2[[#This Row],[Coluna8]]</f>
        <v>CARTÃO SANTANDER</v>
      </c>
      <c r="T172" s="10" t="e">
        <f>Tabela2[[#This Row],[Coluna72]]</f>
        <v>#REF!</v>
      </c>
      <c r="U172" s="10">
        <f>SUM(Tabela2[[#This Row],[Coluna9]],Tabela2[[#This Row],[Coluna10]])</f>
        <v>127.85</v>
      </c>
      <c r="V172" s="2" t="str">
        <f>Tabela2[[#This Row],[Coluna4]]</f>
        <v>03/12/2025</v>
      </c>
      <c r="W172" s="2" t="str">
        <f>Tabela2[[#This Row],[Coluna6]]</f>
        <v>03/12/2025</v>
      </c>
    </row>
    <row r="173" spans="2:23" x14ac:dyDescent="0.2">
      <c r="B173" t="s">
        <v>18</v>
      </c>
      <c r="C173" t="s">
        <v>95</v>
      </c>
      <c r="D173" t="s">
        <v>13</v>
      </c>
      <c r="E173" s="8" t="s">
        <v>65</v>
      </c>
      <c r="F173" t="s">
        <v>64</v>
      </c>
      <c r="G173" s="8" t="s">
        <v>65</v>
      </c>
      <c r="H173" t="s">
        <v>469</v>
      </c>
      <c r="I173" t="e">
        <f>VLOOKUP(Tabela2[[#This Row],[Coluna7]],[1]!Tabela1[#All],2,0)</f>
        <v>#REF!</v>
      </c>
      <c r="J173" t="s">
        <v>737</v>
      </c>
      <c r="L173">
        <v>91.67</v>
      </c>
      <c r="Q173" s="10" t="str">
        <f>Tabela2[[#This Row],[Coluna5]]</f>
        <v>12/2025</v>
      </c>
      <c r="R173" s="10" t="str">
        <f>IF(Tabela2[[#This Row],[Coluna9]]&gt;0,"Entrada","Saída")</f>
        <v>Saída</v>
      </c>
      <c r="S173" s="10" t="str">
        <f>Tabela2[[#This Row],[Coluna8]]</f>
        <v>CARTÃO SANTANDER</v>
      </c>
      <c r="T173" s="10" t="e">
        <f>Tabela2[[#This Row],[Coluna72]]</f>
        <v>#REF!</v>
      </c>
      <c r="U173" s="10">
        <f>SUM(Tabela2[[#This Row],[Coluna9]],Tabela2[[#This Row],[Coluna10]])</f>
        <v>91.67</v>
      </c>
      <c r="V173" s="2" t="str">
        <f>Tabela2[[#This Row],[Coluna4]]</f>
        <v>03/12/2025</v>
      </c>
      <c r="W173" s="2" t="str">
        <f>Tabela2[[#This Row],[Coluna6]]</f>
        <v>03/12/2025</v>
      </c>
    </row>
    <row r="174" spans="2:23" x14ac:dyDescent="0.2">
      <c r="B174" t="s">
        <v>18</v>
      </c>
      <c r="C174" t="s">
        <v>95</v>
      </c>
      <c r="D174" t="s">
        <v>13</v>
      </c>
      <c r="E174" s="8" t="s">
        <v>65</v>
      </c>
      <c r="F174" t="s">
        <v>64</v>
      </c>
      <c r="G174" s="8" t="s">
        <v>65</v>
      </c>
      <c r="H174" t="s">
        <v>538</v>
      </c>
      <c r="I174" t="e">
        <f>VLOOKUP(Tabela2[[#This Row],[Coluna7]],[1]!Tabela1[#All],2,0)</f>
        <v>#REF!</v>
      </c>
      <c r="J174" t="s">
        <v>737</v>
      </c>
      <c r="L174">
        <v>24.34</v>
      </c>
      <c r="Q174" s="10" t="str">
        <f>Tabela2[[#This Row],[Coluna5]]</f>
        <v>12/2025</v>
      </c>
      <c r="R174" s="10" t="str">
        <f>IF(Tabela2[[#This Row],[Coluna9]]&gt;0,"Entrada","Saída")</f>
        <v>Saída</v>
      </c>
      <c r="S174" s="10" t="str">
        <f>Tabela2[[#This Row],[Coluna8]]</f>
        <v>CARTÃO SANTANDER</v>
      </c>
      <c r="T174" s="10" t="e">
        <f>Tabela2[[#This Row],[Coluna72]]</f>
        <v>#REF!</v>
      </c>
      <c r="U174" s="10">
        <f>SUM(Tabela2[[#This Row],[Coluna9]],Tabela2[[#This Row],[Coluna10]])</f>
        <v>24.34</v>
      </c>
      <c r="V174" s="2" t="str">
        <f>Tabela2[[#This Row],[Coluna4]]</f>
        <v>03/12/2025</v>
      </c>
      <c r="W174" s="2" t="str">
        <f>Tabela2[[#This Row],[Coluna6]]</f>
        <v>03/12/2025</v>
      </c>
    </row>
    <row r="175" spans="2:23" x14ac:dyDescent="0.2">
      <c r="B175" t="s">
        <v>18</v>
      </c>
      <c r="C175" t="s">
        <v>95</v>
      </c>
      <c r="D175" t="s">
        <v>13</v>
      </c>
      <c r="E175" s="8" t="s">
        <v>65</v>
      </c>
      <c r="F175" t="s">
        <v>64</v>
      </c>
      <c r="G175" s="8" t="s">
        <v>65</v>
      </c>
      <c r="H175" t="s">
        <v>570</v>
      </c>
      <c r="I175" t="e">
        <f>VLOOKUP(Tabela2[[#This Row],[Coluna7]],[1]!Tabela1[#All],2,0)</f>
        <v>#REF!</v>
      </c>
      <c r="J175" t="s">
        <v>737</v>
      </c>
      <c r="L175">
        <v>54.31</v>
      </c>
      <c r="Q175" s="10" t="str">
        <f>Tabela2[[#This Row],[Coluna5]]</f>
        <v>12/2025</v>
      </c>
      <c r="R175" s="10" t="str">
        <f>IF(Tabela2[[#This Row],[Coluna9]]&gt;0,"Entrada","Saída")</f>
        <v>Saída</v>
      </c>
      <c r="S175" s="10" t="str">
        <f>Tabela2[[#This Row],[Coluna8]]</f>
        <v>CARTÃO SANTANDER</v>
      </c>
      <c r="T175" s="10" t="e">
        <f>Tabela2[[#This Row],[Coluna72]]</f>
        <v>#REF!</v>
      </c>
      <c r="U175" s="10">
        <f>SUM(Tabela2[[#This Row],[Coluna9]],Tabela2[[#This Row],[Coluna10]])</f>
        <v>54.31</v>
      </c>
      <c r="V175" s="2" t="str">
        <f>Tabela2[[#This Row],[Coluna4]]</f>
        <v>03/12/2025</v>
      </c>
      <c r="W175" s="2" t="str">
        <f>Tabela2[[#This Row],[Coluna6]]</f>
        <v>03/12/2025</v>
      </c>
    </row>
    <row r="176" spans="2:23" x14ac:dyDescent="0.2">
      <c r="B176" t="s">
        <v>18</v>
      </c>
      <c r="C176" t="s">
        <v>95</v>
      </c>
      <c r="D176" t="s">
        <v>13</v>
      </c>
      <c r="E176" s="8" t="s">
        <v>65</v>
      </c>
      <c r="F176" t="s">
        <v>64</v>
      </c>
      <c r="G176" s="8" t="s">
        <v>65</v>
      </c>
      <c r="H176" t="s">
        <v>458</v>
      </c>
      <c r="I176" t="e">
        <f>VLOOKUP(Tabela2[[#This Row],[Coluna7]],[1]!Tabela1[#All],2,0)</f>
        <v>#REF!</v>
      </c>
      <c r="J176" t="s">
        <v>737</v>
      </c>
      <c r="L176">
        <v>263.01</v>
      </c>
      <c r="Q176" s="10" t="str">
        <f>Tabela2[[#This Row],[Coluna5]]</f>
        <v>12/2025</v>
      </c>
      <c r="R176" s="10" t="str">
        <f>IF(Tabela2[[#This Row],[Coluna9]]&gt;0,"Entrada","Saída")</f>
        <v>Saída</v>
      </c>
      <c r="S176" s="10" t="str">
        <f>Tabela2[[#This Row],[Coluna8]]</f>
        <v>CARTÃO SANTANDER</v>
      </c>
      <c r="T176" s="10" t="e">
        <f>Tabela2[[#This Row],[Coluna72]]</f>
        <v>#REF!</v>
      </c>
      <c r="U176" s="10">
        <f>SUM(Tabela2[[#This Row],[Coluna9]],Tabela2[[#This Row],[Coluna10]])</f>
        <v>263.01</v>
      </c>
      <c r="V176" s="2" t="str">
        <f>Tabela2[[#This Row],[Coluna4]]</f>
        <v>03/12/2025</v>
      </c>
      <c r="W176" s="2" t="str">
        <f>Tabela2[[#This Row],[Coluna6]]</f>
        <v>03/12/2025</v>
      </c>
    </row>
    <row r="177" spans="2:23" x14ac:dyDescent="0.2">
      <c r="B177" t="s">
        <v>18</v>
      </c>
      <c r="C177" t="s">
        <v>95</v>
      </c>
      <c r="D177" t="s">
        <v>13</v>
      </c>
      <c r="E177" s="8" t="s">
        <v>65</v>
      </c>
      <c r="F177" t="s">
        <v>64</v>
      </c>
      <c r="G177" s="8" t="s">
        <v>65</v>
      </c>
      <c r="H177" t="s">
        <v>693</v>
      </c>
      <c r="I177" t="e">
        <f>VLOOKUP(Tabela2[[#This Row],[Coluna7]],[1]!Tabela1[#All],2,0)</f>
        <v>#REF!</v>
      </c>
      <c r="J177" t="s">
        <v>737</v>
      </c>
      <c r="L177">
        <v>39</v>
      </c>
      <c r="Q177" s="10" t="str">
        <f>Tabela2[[#This Row],[Coluna5]]</f>
        <v>12/2025</v>
      </c>
      <c r="R177" s="10" t="str">
        <f>IF(Tabela2[[#This Row],[Coluna9]]&gt;0,"Entrada","Saída")</f>
        <v>Saída</v>
      </c>
      <c r="S177" s="10" t="str">
        <f>Tabela2[[#This Row],[Coluna8]]</f>
        <v>CARTÃO SANTANDER</v>
      </c>
      <c r="T177" s="10" t="e">
        <f>Tabela2[[#This Row],[Coluna72]]</f>
        <v>#REF!</v>
      </c>
      <c r="U177" s="10">
        <f>SUM(Tabela2[[#This Row],[Coluna9]],Tabela2[[#This Row],[Coluna10]])</f>
        <v>39</v>
      </c>
      <c r="V177" s="2" t="str">
        <f>Tabela2[[#This Row],[Coluna4]]</f>
        <v>03/12/2025</v>
      </c>
      <c r="W177" s="2" t="str">
        <f>Tabela2[[#This Row],[Coluna6]]</f>
        <v>03/12/2025</v>
      </c>
    </row>
    <row r="178" spans="2:23" x14ac:dyDescent="0.2">
      <c r="B178" t="s">
        <v>18</v>
      </c>
      <c r="C178" t="s">
        <v>95</v>
      </c>
      <c r="D178" t="s">
        <v>13</v>
      </c>
      <c r="E178" s="8" t="s">
        <v>65</v>
      </c>
      <c r="F178" t="s">
        <v>64</v>
      </c>
      <c r="G178" s="8" t="s">
        <v>65</v>
      </c>
      <c r="H178" t="s">
        <v>435</v>
      </c>
      <c r="I178" t="e">
        <f>VLOOKUP(Tabela2[[#This Row],[Coluna7]],[1]!Tabela1[#All],2,0)</f>
        <v>#REF!</v>
      </c>
      <c r="J178" t="s">
        <v>737</v>
      </c>
      <c r="L178">
        <v>33.65</v>
      </c>
      <c r="Q178" s="10" t="str">
        <f>Tabela2[[#This Row],[Coluna5]]</f>
        <v>12/2025</v>
      </c>
      <c r="R178" s="10" t="str">
        <f>IF(Tabela2[[#This Row],[Coluna9]]&gt;0,"Entrada","Saída")</f>
        <v>Saída</v>
      </c>
      <c r="S178" s="10" t="str">
        <f>Tabela2[[#This Row],[Coluna8]]</f>
        <v>CARTÃO SANTANDER</v>
      </c>
      <c r="T178" s="10" t="e">
        <f>Tabela2[[#This Row],[Coluna72]]</f>
        <v>#REF!</v>
      </c>
      <c r="U178" s="10">
        <f>SUM(Tabela2[[#This Row],[Coluna9]],Tabela2[[#This Row],[Coluna10]])</f>
        <v>33.65</v>
      </c>
      <c r="V178" s="2" t="str">
        <f>Tabela2[[#This Row],[Coluna4]]</f>
        <v>03/12/2025</v>
      </c>
      <c r="W178" s="2" t="str">
        <f>Tabela2[[#This Row],[Coluna6]]</f>
        <v>03/12/2025</v>
      </c>
    </row>
    <row r="179" spans="2:23" x14ac:dyDescent="0.2">
      <c r="B179" t="s">
        <v>18</v>
      </c>
      <c r="C179" t="s">
        <v>95</v>
      </c>
      <c r="D179" t="s">
        <v>13</v>
      </c>
      <c r="E179" s="8" t="s">
        <v>65</v>
      </c>
      <c r="F179" t="s">
        <v>64</v>
      </c>
      <c r="G179" s="8" t="s">
        <v>65</v>
      </c>
      <c r="H179" t="s">
        <v>435</v>
      </c>
      <c r="I179" t="e">
        <f>VLOOKUP(Tabela2[[#This Row],[Coluna7]],[1]!Tabela1[#All],2,0)</f>
        <v>#REF!</v>
      </c>
      <c r="J179" t="s">
        <v>737</v>
      </c>
      <c r="L179">
        <v>40.28</v>
      </c>
      <c r="Q179" s="10" t="str">
        <f>Tabela2[[#This Row],[Coluna5]]</f>
        <v>12/2025</v>
      </c>
      <c r="R179" s="10" t="str">
        <f>IF(Tabela2[[#This Row],[Coluna9]]&gt;0,"Entrada","Saída")</f>
        <v>Saída</v>
      </c>
      <c r="S179" s="10" t="str">
        <f>Tabela2[[#This Row],[Coluna8]]</f>
        <v>CARTÃO SANTANDER</v>
      </c>
      <c r="T179" s="10" t="e">
        <f>Tabela2[[#This Row],[Coluna72]]</f>
        <v>#REF!</v>
      </c>
      <c r="U179" s="10">
        <f>SUM(Tabela2[[#This Row],[Coluna9]],Tabela2[[#This Row],[Coluna10]])</f>
        <v>40.28</v>
      </c>
      <c r="V179" s="2" t="str">
        <f>Tabela2[[#This Row],[Coluna4]]</f>
        <v>03/12/2025</v>
      </c>
      <c r="W179" s="2" t="str">
        <f>Tabela2[[#This Row],[Coluna6]]</f>
        <v>03/12/2025</v>
      </c>
    </row>
    <row r="180" spans="2:23" x14ac:dyDescent="0.2">
      <c r="B180" t="s">
        <v>18</v>
      </c>
      <c r="C180" t="s">
        <v>95</v>
      </c>
      <c r="D180" t="s">
        <v>13</v>
      </c>
      <c r="E180" s="8" t="s">
        <v>65</v>
      </c>
      <c r="F180" t="s">
        <v>64</v>
      </c>
      <c r="G180" s="8" t="s">
        <v>65</v>
      </c>
      <c r="H180" t="s">
        <v>528</v>
      </c>
      <c r="I180" t="e">
        <f>VLOOKUP(Tabela2[[#This Row],[Coluna7]],[1]!Tabela1[#All],2,0)</f>
        <v>#REF!</v>
      </c>
      <c r="J180" t="s">
        <v>737</v>
      </c>
      <c r="L180">
        <v>80.91</v>
      </c>
      <c r="Q180" s="10" t="str">
        <f>Tabela2[[#This Row],[Coluna5]]</f>
        <v>12/2025</v>
      </c>
      <c r="R180" s="10" t="str">
        <f>IF(Tabela2[[#This Row],[Coluna9]]&gt;0,"Entrada","Saída")</f>
        <v>Saída</v>
      </c>
      <c r="S180" s="10" t="str">
        <f>Tabela2[[#This Row],[Coluna8]]</f>
        <v>CARTÃO SANTANDER</v>
      </c>
      <c r="T180" s="10" t="e">
        <f>Tabela2[[#This Row],[Coluna72]]</f>
        <v>#REF!</v>
      </c>
      <c r="U180" s="10">
        <f>SUM(Tabela2[[#This Row],[Coluna9]],Tabela2[[#This Row],[Coluna10]])</f>
        <v>80.91</v>
      </c>
      <c r="V180" s="2" t="str">
        <f>Tabela2[[#This Row],[Coluna4]]</f>
        <v>03/12/2025</v>
      </c>
      <c r="W180" s="2" t="str">
        <f>Tabela2[[#This Row],[Coluna6]]</f>
        <v>03/12/2025</v>
      </c>
    </row>
    <row r="181" spans="2:23" x14ac:dyDescent="0.2">
      <c r="B181" t="s">
        <v>18</v>
      </c>
      <c r="C181" t="s">
        <v>95</v>
      </c>
      <c r="D181" t="s">
        <v>13</v>
      </c>
      <c r="E181" s="8" t="s">
        <v>65</v>
      </c>
      <c r="F181" t="s">
        <v>64</v>
      </c>
      <c r="G181" s="8" t="s">
        <v>65</v>
      </c>
      <c r="H181" t="s">
        <v>458</v>
      </c>
      <c r="I181" t="e">
        <f>VLOOKUP(Tabela2[[#This Row],[Coluna7]],[1]!Tabela1[#All],2,0)</f>
        <v>#REF!</v>
      </c>
      <c r="J181" t="s">
        <v>737</v>
      </c>
      <c r="L181">
        <v>200</v>
      </c>
      <c r="Q181" s="10" t="str">
        <f>Tabela2[[#This Row],[Coluna5]]</f>
        <v>12/2025</v>
      </c>
      <c r="R181" s="10" t="str">
        <f>IF(Tabela2[[#This Row],[Coluna9]]&gt;0,"Entrada","Saída")</f>
        <v>Saída</v>
      </c>
      <c r="S181" s="10" t="str">
        <f>Tabela2[[#This Row],[Coluna8]]</f>
        <v>CARTÃO SANTANDER</v>
      </c>
      <c r="T181" s="10" t="e">
        <f>Tabela2[[#This Row],[Coluna72]]</f>
        <v>#REF!</v>
      </c>
      <c r="U181" s="10">
        <f>SUM(Tabela2[[#This Row],[Coluna9]],Tabela2[[#This Row],[Coluna10]])</f>
        <v>200</v>
      </c>
      <c r="V181" s="2" t="str">
        <f>Tabela2[[#This Row],[Coluna4]]</f>
        <v>03/12/2025</v>
      </c>
      <c r="W181" s="2" t="str">
        <f>Tabela2[[#This Row],[Coluna6]]</f>
        <v>03/12/2025</v>
      </c>
    </row>
    <row r="182" spans="2:23" x14ac:dyDescent="0.2">
      <c r="B182" t="s">
        <v>18</v>
      </c>
      <c r="C182" t="s">
        <v>95</v>
      </c>
      <c r="D182" t="s">
        <v>13</v>
      </c>
      <c r="E182" s="8" t="s">
        <v>65</v>
      </c>
      <c r="F182" t="s">
        <v>64</v>
      </c>
      <c r="G182" s="8" t="s">
        <v>65</v>
      </c>
      <c r="H182" t="s">
        <v>458</v>
      </c>
      <c r="I182" t="e">
        <f>VLOOKUP(Tabela2[[#This Row],[Coluna7]],[1]!Tabela1[#All],2,0)</f>
        <v>#REF!</v>
      </c>
      <c r="J182" t="s">
        <v>737</v>
      </c>
      <c r="L182">
        <v>110</v>
      </c>
      <c r="Q182" s="10" t="str">
        <f>Tabela2[[#This Row],[Coluna5]]</f>
        <v>12/2025</v>
      </c>
      <c r="R182" s="10" t="str">
        <f>IF(Tabela2[[#This Row],[Coluna9]]&gt;0,"Entrada","Saída")</f>
        <v>Saída</v>
      </c>
      <c r="S182" s="10" t="str">
        <f>Tabela2[[#This Row],[Coluna8]]</f>
        <v>CARTÃO SANTANDER</v>
      </c>
      <c r="T182" s="10" t="e">
        <f>Tabela2[[#This Row],[Coluna72]]</f>
        <v>#REF!</v>
      </c>
      <c r="U182" s="10">
        <f>SUM(Tabela2[[#This Row],[Coluna9]],Tabela2[[#This Row],[Coluna10]])</f>
        <v>110</v>
      </c>
      <c r="V182" s="2" t="str">
        <f>Tabela2[[#This Row],[Coluna4]]</f>
        <v>03/12/2025</v>
      </c>
      <c r="W182" s="2" t="str">
        <f>Tabela2[[#This Row],[Coluna6]]</f>
        <v>03/12/2025</v>
      </c>
    </row>
    <row r="183" spans="2:23" x14ac:dyDescent="0.2">
      <c r="B183" t="s">
        <v>18</v>
      </c>
      <c r="C183" t="s">
        <v>95</v>
      </c>
      <c r="D183" t="s">
        <v>13</v>
      </c>
      <c r="E183" s="8" t="s">
        <v>65</v>
      </c>
      <c r="F183" t="s">
        <v>64</v>
      </c>
      <c r="G183" s="8" t="s">
        <v>65</v>
      </c>
      <c r="H183" t="s">
        <v>469</v>
      </c>
      <c r="I183" t="e">
        <f>VLOOKUP(Tabela2[[#This Row],[Coluna7]],[1]!Tabela1[#All],2,0)</f>
        <v>#REF!</v>
      </c>
      <c r="J183" t="s">
        <v>737</v>
      </c>
      <c r="L183">
        <v>53.7</v>
      </c>
      <c r="Q183" s="10" t="str">
        <f>Tabela2[[#This Row],[Coluna5]]</f>
        <v>12/2025</v>
      </c>
      <c r="R183" s="10" t="str">
        <f>IF(Tabela2[[#This Row],[Coluna9]]&gt;0,"Entrada","Saída")</f>
        <v>Saída</v>
      </c>
      <c r="S183" s="10" t="str">
        <f>Tabela2[[#This Row],[Coluna8]]</f>
        <v>CARTÃO SANTANDER</v>
      </c>
      <c r="T183" s="10" t="e">
        <f>Tabela2[[#This Row],[Coluna72]]</f>
        <v>#REF!</v>
      </c>
      <c r="U183" s="10">
        <f>SUM(Tabela2[[#This Row],[Coluna9]],Tabela2[[#This Row],[Coluna10]])</f>
        <v>53.7</v>
      </c>
      <c r="V183" s="2" t="str">
        <f>Tabela2[[#This Row],[Coluna4]]</f>
        <v>03/12/2025</v>
      </c>
      <c r="W183" s="2" t="str">
        <f>Tabela2[[#This Row],[Coluna6]]</f>
        <v>03/12/2025</v>
      </c>
    </row>
    <row r="184" spans="2:23" x14ac:dyDescent="0.2">
      <c r="B184" t="s">
        <v>18</v>
      </c>
      <c r="C184" t="s">
        <v>95</v>
      </c>
      <c r="D184" t="s">
        <v>13</v>
      </c>
      <c r="E184" s="8" t="s">
        <v>65</v>
      </c>
      <c r="F184" t="s">
        <v>64</v>
      </c>
      <c r="G184" s="8" t="s">
        <v>65</v>
      </c>
      <c r="H184" t="s">
        <v>469</v>
      </c>
      <c r="I184" t="e">
        <f>VLOOKUP(Tabela2[[#This Row],[Coluna7]],[1]!Tabela1[#All],2,0)</f>
        <v>#REF!</v>
      </c>
      <c r="J184" t="s">
        <v>737</v>
      </c>
      <c r="L184">
        <v>66.400000000000006</v>
      </c>
      <c r="Q184" s="10" t="str">
        <f>Tabela2[[#This Row],[Coluna5]]</f>
        <v>12/2025</v>
      </c>
      <c r="R184" s="10" t="str">
        <f>IF(Tabela2[[#This Row],[Coluna9]]&gt;0,"Entrada","Saída")</f>
        <v>Saída</v>
      </c>
      <c r="S184" s="10" t="str">
        <f>Tabela2[[#This Row],[Coluna8]]</f>
        <v>CARTÃO SANTANDER</v>
      </c>
      <c r="T184" s="10" t="e">
        <f>Tabela2[[#This Row],[Coluna72]]</f>
        <v>#REF!</v>
      </c>
      <c r="U184" s="10">
        <f>SUM(Tabela2[[#This Row],[Coluna9]],Tabela2[[#This Row],[Coluna10]])</f>
        <v>66.400000000000006</v>
      </c>
      <c r="V184" s="2" t="str">
        <f>Tabela2[[#This Row],[Coluna4]]</f>
        <v>03/12/2025</v>
      </c>
      <c r="W184" s="2" t="str">
        <f>Tabela2[[#This Row],[Coluna6]]</f>
        <v>03/12/2025</v>
      </c>
    </row>
    <row r="185" spans="2:23" x14ac:dyDescent="0.2">
      <c r="B185" t="s">
        <v>18</v>
      </c>
      <c r="C185" t="s">
        <v>95</v>
      </c>
      <c r="D185" t="s">
        <v>13</v>
      </c>
      <c r="E185" s="8" t="s">
        <v>65</v>
      </c>
      <c r="F185" t="s">
        <v>64</v>
      </c>
      <c r="G185" s="8" t="s">
        <v>65</v>
      </c>
      <c r="H185" t="s">
        <v>458</v>
      </c>
      <c r="I185" t="e">
        <f>VLOOKUP(Tabela2[[#This Row],[Coluna7]],[1]!Tabela1[#All],2,0)</f>
        <v>#REF!</v>
      </c>
      <c r="J185" t="s">
        <v>737</v>
      </c>
      <c r="L185">
        <v>617.5</v>
      </c>
      <c r="Q185" s="10" t="str">
        <f>Tabela2[[#This Row],[Coluna5]]</f>
        <v>12/2025</v>
      </c>
      <c r="R185" s="10" t="str">
        <f>IF(Tabela2[[#This Row],[Coluna9]]&gt;0,"Entrada","Saída")</f>
        <v>Saída</v>
      </c>
      <c r="S185" s="10" t="str">
        <f>Tabela2[[#This Row],[Coluna8]]</f>
        <v>CARTÃO SANTANDER</v>
      </c>
      <c r="T185" s="10" t="e">
        <f>Tabela2[[#This Row],[Coluna72]]</f>
        <v>#REF!</v>
      </c>
      <c r="U185" s="10">
        <f>SUM(Tabela2[[#This Row],[Coluna9]],Tabela2[[#This Row],[Coluna10]])</f>
        <v>617.5</v>
      </c>
      <c r="V185" s="2" t="str">
        <f>Tabela2[[#This Row],[Coluna4]]</f>
        <v>03/12/2025</v>
      </c>
      <c r="W185" s="2" t="str">
        <f>Tabela2[[#This Row],[Coluna6]]</f>
        <v>03/12/2025</v>
      </c>
    </row>
    <row r="186" spans="2:23" x14ac:dyDescent="0.2">
      <c r="B186" t="s">
        <v>18</v>
      </c>
      <c r="C186" t="s">
        <v>95</v>
      </c>
      <c r="D186" t="s">
        <v>13</v>
      </c>
      <c r="E186" s="8" t="s">
        <v>65</v>
      </c>
      <c r="F186" t="s">
        <v>64</v>
      </c>
      <c r="G186" s="8" t="s">
        <v>65</v>
      </c>
      <c r="H186" t="s">
        <v>458</v>
      </c>
      <c r="I186" t="e">
        <f>VLOOKUP(Tabela2[[#This Row],[Coluna7]],[1]!Tabela1[#All],2,0)</f>
        <v>#REF!</v>
      </c>
      <c r="J186" t="s">
        <v>737</v>
      </c>
      <c r="L186">
        <v>71</v>
      </c>
      <c r="Q186" s="10" t="str">
        <f>Tabela2[[#This Row],[Coluna5]]</f>
        <v>12/2025</v>
      </c>
      <c r="R186" s="10" t="str">
        <f>IF(Tabela2[[#This Row],[Coluna9]]&gt;0,"Entrada","Saída")</f>
        <v>Saída</v>
      </c>
      <c r="S186" s="10" t="str">
        <f>Tabela2[[#This Row],[Coluna8]]</f>
        <v>CARTÃO SANTANDER</v>
      </c>
      <c r="T186" s="10" t="e">
        <f>Tabela2[[#This Row],[Coluna72]]</f>
        <v>#REF!</v>
      </c>
      <c r="U186" s="10">
        <f>SUM(Tabela2[[#This Row],[Coluna9]],Tabela2[[#This Row],[Coluna10]])</f>
        <v>71</v>
      </c>
      <c r="V186" s="2" t="str">
        <f>Tabela2[[#This Row],[Coluna4]]</f>
        <v>03/12/2025</v>
      </c>
      <c r="W186" s="2" t="str">
        <f>Tabela2[[#This Row],[Coluna6]]</f>
        <v>03/12/2025</v>
      </c>
    </row>
    <row r="187" spans="2:23" x14ac:dyDescent="0.2">
      <c r="B187" t="s">
        <v>18</v>
      </c>
      <c r="C187" t="s">
        <v>95</v>
      </c>
      <c r="D187" t="s">
        <v>13</v>
      </c>
      <c r="E187" s="8" t="s">
        <v>65</v>
      </c>
      <c r="F187" t="s">
        <v>64</v>
      </c>
      <c r="G187" s="8" t="s">
        <v>65</v>
      </c>
      <c r="H187" t="s">
        <v>570</v>
      </c>
      <c r="I187" t="e">
        <f>VLOOKUP(Tabela2[[#This Row],[Coluna7]],[1]!Tabela1[#All],2,0)</f>
        <v>#REF!</v>
      </c>
      <c r="J187" t="s">
        <v>737</v>
      </c>
      <c r="L187">
        <v>0.56999999999999995</v>
      </c>
      <c r="Q187" s="10" t="str">
        <f>Tabela2[[#This Row],[Coluna5]]</f>
        <v>12/2025</v>
      </c>
      <c r="R187" s="10" t="str">
        <f>IF(Tabela2[[#This Row],[Coluna9]]&gt;0,"Entrada","Saída")</f>
        <v>Saída</v>
      </c>
      <c r="S187" s="10" t="str">
        <f>Tabela2[[#This Row],[Coluna8]]</f>
        <v>CARTÃO SANTANDER</v>
      </c>
      <c r="T187" s="10" t="e">
        <f>Tabela2[[#This Row],[Coluna72]]</f>
        <v>#REF!</v>
      </c>
      <c r="U187" s="10">
        <f>SUM(Tabela2[[#This Row],[Coluna9]],Tabela2[[#This Row],[Coluna10]])</f>
        <v>0.56999999999999995</v>
      </c>
      <c r="V187" s="2" t="str">
        <f>Tabela2[[#This Row],[Coluna4]]</f>
        <v>03/12/2025</v>
      </c>
      <c r="W187" s="2" t="str">
        <f>Tabela2[[#This Row],[Coluna6]]</f>
        <v>03/12/2025</v>
      </c>
    </row>
    <row r="188" spans="2:23" x14ac:dyDescent="0.2">
      <c r="B188" t="s">
        <v>18</v>
      </c>
      <c r="C188" t="s">
        <v>95</v>
      </c>
      <c r="D188" t="s">
        <v>13</v>
      </c>
      <c r="E188" s="8" t="s">
        <v>65</v>
      </c>
      <c r="F188" t="s">
        <v>64</v>
      </c>
      <c r="G188" s="8" t="s">
        <v>65</v>
      </c>
      <c r="H188" t="s">
        <v>156</v>
      </c>
      <c r="I188" t="e">
        <f>VLOOKUP(Tabela2[[#This Row],[Coluna7]],[1]!Tabela1[#All],2,0)</f>
        <v>#REF!</v>
      </c>
      <c r="J188" t="s">
        <v>737</v>
      </c>
      <c r="L188">
        <v>0.08</v>
      </c>
      <c r="Q188" s="10" t="str">
        <f>Tabela2[[#This Row],[Coluna5]]</f>
        <v>12/2025</v>
      </c>
      <c r="R188" s="10" t="str">
        <f>IF(Tabela2[[#This Row],[Coluna9]]&gt;0,"Entrada","Saída")</f>
        <v>Saída</v>
      </c>
      <c r="S188" s="10" t="str">
        <f>Tabela2[[#This Row],[Coluna8]]</f>
        <v>CARTÃO SANTANDER</v>
      </c>
      <c r="T188" s="10" t="e">
        <f>Tabela2[[#This Row],[Coluna72]]</f>
        <v>#REF!</v>
      </c>
      <c r="U188" s="10">
        <f>SUM(Tabela2[[#This Row],[Coluna9]],Tabela2[[#This Row],[Coluna10]])</f>
        <v>0.08</v>
      </c>
      <c r="V188" s="2" t="str">
        <f>Tabela2[[#This Row],[Coluna4]]</f>
        <v>03/12/2025</v>
      </c>
      <c r="W188" s="2" t="str">
        <f>Tabela2[[#This Row],[Coluna6]]</f>
        <v>03/12/2025</v>
      </c>
    </row>
    <row r="189" spans="2:23" x14ac:dyDescent="0.2">
      <c r="B189" t="s">
        <v>18</v>
      </c>
      <c r="C189" t="s">
        <v>95</v>
      </c>
      <c r="D189" t="s">
        <v>13</v>
      </c>
      <c r="E189" s="8" t="s">
        <v>65</v>
      </c>
      <c r="F189" t="s">
        <v>64</v>
      </c>
      <c r="G189" s="8" t="s">
        <v>65</v>
      </c>
      <c r="H189" t="s">
        <v>570</v>
      </c>
      <c r="I189" t="e">
        <f>VLOOKUP(Tabela2[[#This Row],[Coluna7]],[1]!Tabela1[#All],2,0)</f>
        <v>#REF!</v>
      </c>
      <c r="J189" t="s">
        <v>737</v>
      </c>
      <c r="L189">
        <v>5.91</v>
      </c>
      <c r="Q189" s="10" t="str">
        <f>Tabela2[[#This Row],[Coluna5]]</f>
        <v>12/2025</v>
      </c>
      <c r="R189" s="10" t="str">
        <f>IF(Tabela2[[#This Row],[Coluna9]]&gt;0,"Entrada","Saída")</f>
        <v>Saída</v>
      </c>
      <c r="S189" s="10" t="str">
        <f>Tabela2[[#This Row],[Coluna8]]</f>
        <v>CARTÃO SANTANDER</v>
      </c>
      <c r="T189" s="10" t="e">
        <f>Tabela2[[#This Row],[Coluna72]]</f>
        <v>#REF!</v>
      </c>
      <c r="U189" s="10">
        <f>SUM(Tabela2[[#This Row],[Coluna9]],Tabela2[[#This Row],[Coluna10]])</f>
        <v>5.91</v>
      </c>
      <c r="V189" s="2" t="str">
        <f>Tabela2[[#This Row],[Coluna4]]</f>
        <v>03/12/2025</v>
      </c>
      <c r="W189" s="2" t="str">
        <f>Tabela2[[#This Row],[Coluna6]]</f>
        <v>03/12/2025</v>
      </c>
    </row>
    <row r="190" spans="2:23" x14ac:dyDescent="0.2">
      <c r="B190" t="s">
        <v>18</v>
      </c>
      <c r="C190" t="s">
        <v>95</v>
      </c>
      <c r="D190" t="s">
        <v>13</v>
      </c>
      <c r="E190" s="8" t="s">
        <v>65</v>
      </c>
      <c r="F190" t="s">
        <v>64</v>
      </c>
      <c r="G190" s="8" t="s">
        <v>65</v>
      </c>
      <c r="H190" t="s">
        <v>570</v>
      </c>
      <c r="I190" t="e">
        <f>VLOOKUP(Tabela2[[#This Row],[Coluna7]],[1]!Tabela1[#All],2,0)</f>
        <v>#REF!</v>
      </c>
      <c r="J190" t="s">
        <v>737</v>
      </c>
      <c r="L190">
        <v>299.99</v>
      </c>
      <c r="Q190" s="10" t="str">
        <f>Tabela2[[#This Row],[Coluna5]]</f>
        <v>12/2025</v>
      </c>
      <c r="R190" s="10" t="str">
        <f>IF(Tabela2[[#This Row],[Coluna9]]&gt;0,"Entrada","Saída")</f>
        <v>Saída</v>
      </c>
      <c r="S190" s="10" t="str">
        <f>Tabela2[[#This Row],[Coluna8]]</f>
        <v>CARTÃO SANTANDER</v>
      </c>
      <c r="T190" s="10" t="e">
        <f>Tabela2[[#This Row],[Coluna72]]</f>
        <v>#REF!</v>
      </c>
      <c r="U190" s="10">
        <f>SUM(Tabela2[[#This Row],[Coluna9]],Tabela2[[#This Row],[Coluna10]])</f>
        <v>299.99</v>
      </c>
      <c r="V190" s="2" t="str">
        <f>Tabela2[[#This Row],[Coluna4]]</f>
        <v>03/12/2025</v>
      </c>
      <c r="W190" s="2" t="str">
        <f>Tabela2[[#This Row],[Coluna6]]</f>
        <v>03/12/2025</v>
      </c>
    </row>
    <row r="191" spans="2:23" x14ac:dyDescent="0.2">
      <c r="B191" t="s">
        <v>18</v>
      </c>
      <c r="C191" t="s">
        <v>95</v>
      </c>
      <c r="D191" t="s">
        <v>13</v>
      </c>
      <c r="E191" s="8" t="s">
        <v>65</v>
      </c>
      <c r="F191" t="s">
        <v>64</v>
      </c>
      <c r="G191" s="8" t="s">
        <v>65</v>
      </c>
      <c r="H191" t="s">
        <v>445</v>
      </c>
      <c r="I191" t="e">
        <f>VLOOKUP(Tabela2[[#This Row],[Coluna7]],[1]!Tabela1[#All],2,0)</f>
        <v>#REF!</v>
      </c>
      <c r="J191" t="s">
        <v>737</v>
      </c>
      <c r="L191">
        <v>125</v>
      </c>
      <c r="Q191" s="10" t="str">
        <f>Tabela2[[#This Row],[Coluna5]]</f>
        <v>12/2025</v>
      </c>
      <c r="R191" s="10" t="str">
        <f>IF(Tabela2[[#This Row],[Coluna9]]&gt;0,"Entrada","Saída")</f>
        <v>Saída</v>
      </c>
      <c r="S191" s="10" t="str">
        <f>Tabela2[[#This Row],[Coluna8]]</f>
        <v>CARTÃO SANTANDER</v>
      </c>
      <c r="T191" s="10" t="e">
        <f>Tabela2[[#This Row],[Coluna72]]</f>
        <v>#REF!</v>
      </c>
      <c r="U191" s="10">
        <f>SUM(Tabela2[[#This Row],[Coluna9]],Tabela2[[#This Row],[Coluna10]])</f>
        <v>125</v>
      </c>
      <c r="V191" s="2" t="str">
        <f>Tabela2[[#This Row],[Coluna4]]</f>
        <v>03/12/2025</v>
      </c>
      <c r="W191" s="2" t="str">
        <f>Tabela2[[#This Row],[Coluna6]]</f>
        <v>03/12/2025</v>
      </c>
    </row>
    <row r="192" spans="2:23" x14ac:dyDescent="0.2">
      <c r="B192" t="s">
        <v>18</v>
      </c>
      <c r="C192" t="s">
        <v>95</v>
      </c>
      <c r="D192" t="s">
        <v>13</v>
      </c>
      <c r="E192" s="8" t="s">
        <v>65</v>
      </c>
      <c r="F192" t="s">
        <v>64</v>
      </c>
      <c r="G192" s="8" t="s">
        <v>65</v>
      </c>
      <c r="H192" t="s">
        <v>458</v>
      </c>
      <c r="I192" t="e">
        <f>VLOOKUP(Tabela2[[#This Row],[Coluna7]],[1]!Tabela1[#All],2,0)</f>
        <v>#REF!</v>
      </c>
      <c r="J192" t="s">
        <v>737</v>
      </c>
      <c r="L192">
        <v>175</v>
      </c>
      <c r="Q192" s="10" t="str">
        <f>Tabela2[[#This Row],[Coluna5]]</f>
        <v>12/2025</v>
      </c>
      <c r="R192" s="10" t="str">
        <f>IF(Tabela2[[#This Row],[Coluna9]]&gt;0,"Entrada","Saída")</f>
        <v>Saída</v>
      </c>
      <c r="S192" s="10" t="str">
        <f>Tabela2[[#This Row],[Coluna8]]</f>
        <v>CARTÃO SANTANDER</v>
      </c>
      <c r="T192" s="10" t="e">
        <f>Tabela2[[#This Row],[Coluna72]]</f>
        <v>#REF!</v>
      </c>
      <c r="U192" s="10">
        <f>SUM(Tabela2[[#This Row],[Coluna9]],Tabela2[[#This Row],[Coluna10]])</f>
        <v>175</v>
      </c>
      <c r="V192" s="2" t="str">
        <f>Tabela2[[#This Row],[Coluna4]]</f>
        <v>03/12/2025</v>
      </c>
      <c r="W192" s="2" t="str">
        <f>Tabela2[[#This Row],[Coluna6]]</f>
        <v>03/12/2025</v>
      </c>
    </row>
    <row r="193" spans="2:23" x14ac:dyDescent="0.2">
      <c r="B193" t="s">
        <v>18</v>
      </c>
      <c r="C193" t="s">
        <v>95</v>
      </c>
      <c r="D193" t="s">
        <v>13</v>
      </c>
      <c r="E193" s="8" t="s">
        <v>65</v>
      </c>
      <c r="F193" t="s">
        <v>64</v>
      </c>
      <c r="G193" s="8" t="s">
        <v>65</v>
      </c>
      <c r="H193" t="s">
        <v>435</v>
      </c>
      <c r="I193" t="e">
        <f>VLOOKUP(Tabela2[[#This Row],[Coluna7]],[1]!Tabela1[#All],2,0)</f>
        <v>#REF!</v>
      </c>
      <c r="J193" t="s">
        <v>737</v>
      </c>
      <c r="L193">
        <v>63.39</v>
      </c>
      <c r="Q193" s="10" t="str">
        <f>Tabela2[[#This Row],[Coluna5]]</f>
        <v>12/2025</v>
      </c>
      <c r="R193" s="10" t="str">
        <f>IF(Tabela2[[#This Row],[Coluna9]]&gt;0,"Entrada","Saída")</f>
        <v>Saída</v>
      </c>
      <c r="S193" s="10" t="str">
        <f>Tabela2[[#This Row],[Coluna8]]</f>
        <v>CARTÃO SANTANDER</v>
      </c>
      <c r="T193" s="10" t="e">
        <f>Tabela2[[#This Row],[Coluna72]]</f>
        <v>#REF!</v>
      </c>
      <c r="U193" s="10">
        <f>SUM(Tabela2[[#This Row],[Coluna9]],Tabela2[[#This Row],[Coluna10]])</f>
        <v>63.39</v>
      </c>
      <c r="V193" s="2" t="str">
        <f>Tabela2[[#This Row],[Coluna4]]</f>
        <v>03/12/2025</v>
      </c>
      <c r="W193" s="2" t="str">
        <f>Tabela2[[#This Row],[Coluna6]]</f>
        <v>03/12/2025</v>
      </c>
    </row>
    <row r="194" spans="2:23" x14ac:dyDescent="0.2">
      <c r="B194" t="s">
        <v>18</v>
      </c>
      <c r="C194" t="s">
        <v>95</v>
      </c>
      <c r="D194" t="s">
        <v>13</v>
      </c>
      <c r="E194" s="8" t="s">
        <v>65</v>
      </c>
      <c r="F194" t="s">
        <v>64</v>
      </c>
      <c r="G194" s="8" t="s">
        <v>65</v>
      </c>
      <c r="H194" t="s">
        <v>435</v>
      </c>
      <c r="I194" t="e">
        <f>VLOOKUP(Tabela2[[#This Row],[Coluna7]],[1]!Tabela1[#All],2,0)</f>
        <v>#REF!</v>
      </c>
      <c r="J194" t="s">
        <v>737</v>
      </c>
      <c r="L194">
        <v>30</v>
      </c>
      <c r="Q194" s="10" t="str">
        <f>Tabela2[[#This Row],[Coluna5]]</f>
        <v>12/2025</v>
      </c>
      <c r="R194" s="10" t="str">
        <f>IF(Tabela2[[#This Row],[Coluna9]]&gt;0,"Entrada","Saída")</f>
        <v>Saída</v>
      </c>
      <c r="S194" s="10" t="str">
        <f>Tabela2[[#This Row],[Coluna8]]</f>
        <v>CARTÃO SANTANDER</v>
      </c>
      <c r="T194" s="10" t="e">
        <f>Tabela2[[#This Row],[Coluna72]]</f>
        <v>#REF!</v>
      </c>
      <c r="U194" s="10">
        <f>SUM(Tabela2[[#This Row],[Coluna9]],Tabela2[[#This Row],[Coluna10]])</f>
        <v>30</v>
      </c>
      <c r="V194" s="2" t="str">
        <f>Tabela2[[#This Row],[Coluna4]]</f>
        <v>03/12/2025</v>
      </c>
      <c r="W194" s="2" t="str">
        <f>Tabela2[[#This Row],[Coluna6]]</f>
        <v>03/12/2025</v>
      </c>
    </row>
    <row r="195" spans="2:23" x14ac:dyDescent="0.2">
      <c r="B195" t="s">
        <v>18</v>
      </c>
      <c r="C195" t="s">
        <v>95</v>
      </c>
      <c r="D195" t="s">
        <v>13</v>
      </c>
      <c r="E195" s="8" t="s">
        <v>65</v>
      </c>
      <c r="F195" t="s">
        <v>64</v>
      </c>
      <c r="G195" s="8" t="s">
        <v>65</v>
      </c>
      <c r="H195" t="s">
        <v>435</v>
      </c>
      <c r="I195" t="e">
        <f>VLOOKUP(Tabela2[[#This Row],[Coluna7]],[1]!Tabela1[#All],2,0)</f>
        <v>#REF!</v>
      </c>
      <c r="J195" t="s">
        <v>737</v>
      </c>
      <c r="L195">
        <v>110</v>
      </c>
      <c r="Q195" s="10" t="str">
        <f>Tabela2[[#This Row],[Coluna5]]</f>
        <v>12/2025</v>
      </c>
      <c r="R195" s="10" t="str">
        <f>IF(Tabela2[[#This Row],[Coluna9]]&gt;0,"Entrada","Saída")</f>
        <v>Saída</v>
      </c>
      <c r="S195" s="10" t="str">
        <f>Tabela2[[#This Row],[Coluna8]]</f>
        <v>CARTÃO SANTANDER</v>
      </c>
      <c r="T195" s="10" t="e">
        <f>Tabela2[[#This Row],[Coluna72]]</f>
        <v>#REF!</v>
      </c>
      <c r="U195" s="10">
        <f>SUM(Tabela2[[#This Row],[Coluna9]],Tabela2[[#This Row],[Coluna10]])</f>
        <v>110</v>
      </c>
      <c r="V195" s="2" t="str">
        <f>Tabela2[[#This Row],[Coluna4]]</f>
        <v>03/12/2025</v>
      </c>
      <c r="W195" s="2" t="str">
        <f>Tabela2[[#This Row],[Coluna6]]</f>
        <v>03/12/2025</v>
      </c>
    </row>
    <row r="196" spans="2:23" x14ac:dyDescent="0.2">
      <c r="B196" t="s">
        <v>18</v>
      </c>
      <c r="C196" t="s">
        <v>95</v>
      </c>
      <c r="D196" t="s">
        <v>13</v>
      </c>
      <c r="E196" s="8" t="s">
        <v>65</v>
      </c>
      <c r="F196" t="s">
        <v>64</v>
      </c>
      <c r="G196" s="8" t="s">
        <v>65</v>
      </c>
      <c r="H196" t="s">
        <v>435</v>
      </c>
      <c r="I196" t="e">
        <f>VLOOKUP(Tabela2[[#This Row],[Coluna7]],[1]!Tabela1[#All],2,0)</f>
        <v>#REF!</v>
      </c>
      <c r="J196" t="s">
        <v>745</v>
      </c>
      <c r="L196">
        <v>34.99</v>
      </c>
      <c r="Q196" s="10" t="str">
        <f>Tabela2[[#This Row],[Coluna5]]</f>
        <v>12/2025</v>
      </c>
      <c r="R196" s="10" t="str">
        <f>IF(Tabela2[[#This Row],[Coluna9]]&gt;0,"Entrada","Saída")</f>
        <v>Saída</v>
      </c>
      <c r="S196" s="10" t="str">
        <f>Tabela2[[#This Row],[Coluna8]]</f>
        <v xml:space="preserve">CARTÃO INTER </v>
      </c>
      <c r="T196" s="10" t="e">
        <f>Tabela2[[#This Row],[Coluna72]]</f>
        <v>#REF!</v>
      </c>
      <c r="U196" s="10">
        <f>SUM(Tabela2[[#This Row],[Coluna9]],Tabela2[[#This Row],[Coluna10]])</f>
        <v>34.99</v>
      </c>
      <c r="V196" s="2" t="str">
        <f>Tabela2[[#This Row],[Coluna4]]</f>
        <v>03/12/2025</v>
      </c>
      <c r="W196" s="2" t="str">
        <f>Tabela2[[#This Row],[Coluna6]]</f>
        <v>03/12/2025</v>
      </c>
    </row>
    <row r="197" spans="2:23" x14ac:dyDescent="0.2">
      <c r="B197" t="s">
        <v>18</v>
      </c>
      <c r="C197" t="s">
        <v>95</v>
      </c>
      <c r="D197" t="s">
        <v>13</v>
      </c>
      <c r="E197" s="8" t="s">
        <v>65</v>
      </c>
      <c r="F197" t="s">
        <v>64</v>
      </c>
      <c r="G197" s="8" t="s">
        <v>65</v>
      </c>
      <c r="H197" t="s">
        <v>435</v>
      </c>
      <c r="I197" t="e">
        <f>VLOOKUP(Tabela2[[#This Row],[Coluna7]],[1]!Tabela1[#All],2,0)</f>
        <v>#REF!</v>
      </c>
      <c r="J197" t="s">
        <v>745</v>
      </c>
      <c r="L197">
        <v>112.77</v>
      </c>
      <c r="Q197" s="10" t="str">
        <f>Tabela2[[#This Row],[Coluna5]]</f>
        <v>12/2025</v>
      </c>
      <c r="R197" s="10" t="str">
        <f>IF(Tabela2[[#This Row],[Coluna9]]&gt;0,"Entrada","Saída")</f>
        <v>Saída</v>
      </c>
      <c r="S197" s="10" t="str">
        <f>Tabela2[[#This Row],[Coluna8]]</f>
        <v xml:space="preserve">CARTÃO INTER </v>
      </c>
      <c r="T197" s="10" t="e">
        <f>Tabela2[[#This Row],[Coluna72]]</f>
        <v>#REF!</v>
      </c>
      <c r="U197" s="10">
        <f>SUM(Tabela2[[#This Row],[Coluna9]],Tabela2[[#This Row],[Coluna10]])</f>
        <v>112.77</v>
      </c>
      <c r="V197" s="2" t="str">
        <f>Tabela2[[#This Row],[Coluna4]]</f>
        <v>03/12/2025</v>
      </c>
      <c r="W197" s="2" t="str">
        <f>Tabela2[[#This Row],[Coluna6]]</f>
        <v>03/12/2025</v>
      </c>
    </row>
    <row r="198" spans="2:23" x14ac:dyDescent="0.2">
      <c r="B198" t="s">
        <v>18</v>
      </c>
      <c r="C198" t="s">
        <v>95</v>
      </c>
      <c r="D198" t="s">
        <v>13</v>
      </c>
      <c r="E198" s="8" t="s">
        <v>65</v>
      </c>
      <c r="F198" t="s">
        <v>64</v>
      </c>
      <c r="G198" s="8" t="s">
        <v>65</v>
      </c>
      <c r="H198" t="s">
        <v>469</v>
      </c>
      <c r="I198" t="e">
        <f>VLOOKUP(Tabela2[[#This Row],[Coluna7]],[1]!Tabela1[#All],2,0)</f>
        <v>#REF!</v>
      </c>
      <c r="J198" t="s">
        <v>745</v>
      </c>
      <c r="L198">
        <v>43.12</v>
      </c>
      <c r="Q198" s="10" t="str">
        <f>Tabela2[[#This Row],[Coluna5]]</f>
        <v>12/2025</v>
      </c>
      <c r="R198" s="10" t="str">
        <f>IF(Tabela2[[#This Row],[Coluna9]]&gt;0,"Entrada","Saída")</f>
        <v>Saída</v>
      </c>
      <c r="S198" s="10" t="str">
        <f>Tabela2[[#This Row],[Coluna8]]</f>
        <v xml:space="preserve">CARTÃO INTER </v>
      </c>
      <c r="T198" s="10" t="e">
        <f>Tabela2[[#This Row],[Coluna72]]</f>
        <v>#REF!</v>
      </c>
      <c r="U198" s="10">
        <f>SUM(Tabela2[[#This Row],[Coluna9]],Tabela2[[#This Row],[Coluna10]])</f>
        <v>43.12</v>
      </c>
      <c r="V198" s="2" t="str">
        <f>Tabela2[[#This Row],[Coluna4]]</f>
        <v>03/12/2025</v>
      </c>
      <c r="W198" s="2" t="str">
        <f>Tabela2[[#This Row],[Coluna6]]</f>
        <v>03/12/2025</v>
      </c>
    </row>
    <row r="199" spans="2:23" x14ac:dyDescent="0.2">
      <c r="B199" t="s">
        <v>27</v>
      </c>
      <c r="C199" t="s">
        <v>95</v>
      </c>
      <c r="D199" t="s">
        <v>13</v>
      </c>
      <c r="E199" s="8">
        <v>45995</v>
      </c>
      <c r="F199" t="s">
        <v>64</v>
      </c>
      <c r="G199" s="8">
        <v>45995</v>
      </c>
      <c r="H199" t="s">
        <v>538</v>
      </c>
      <c r="I199" t="e">
        <f>VLOOKUP(Tabela2[[#This Row],[Coluna7]],[1]!Tabela1[#All],2,0)</f>
        <v>#REF!</v>
      </c>
      <c r="J199" t="s">
        <v>741</v>
      </c>
      <c r="L199">
        <v>31.29</v>
      </c>
      <c r="Q199" s="10" t="str">
        <f>Tabela2[[#This Row],[Coluna5]]</f>
        <v>12/2025</v>
      </c>
      <c r="R199" s="10" t="str">
        <f>IF(Tabela2[[#This Row],[Coluna9]]&gt;0,"Entrada","Saída")</f>
        <v>Saída</v>
      </c>
      <c r="S199" s="10" t="str">
        <f>Tabela2[[#This Row],[Coluna8]]</f>
        <v>CARTÃO NUBANK</v>
      </c>
      <c r="T199" s="10" t="e">
        <f>Tabela2[[#This Row],[Coluna72]]</f>
        <v>#REF!</v>
      </c>
      <c r="U199" s="10">
        <f>SUM(Tabela2[[#This Row],[Coluna9]],Tabela2[[#This Row],[Coluna10]])</f>
        <v>31.29</v>
      </c>
      <c r="V199" s="2">
        <f>Tabela2[[#This Row],[Coluna4]]</f>
        <v>45995</v>
      </c>
      <c r="W199" s="2">
        <f>Tabela2[[#This Row],[Coluna6]]</f>
        <v>45995</v>
      </c>
    </row>
    <row r="200" spans="2:23" x14ac:dyDescent="0.2">
      <c r="B200" t="s">
        <v>27</v>
      </c>
      <c r="C200" t="s">
        <v>95</v>
      </c>
      <c r="D200" t="s">
        <v>13</v>
      </c>
      <c r="E200" s="8">
        <v>45995</v>
      </c>
      <c r="F200" t="s">
        <v>64</v>
      </c>
      <c r="G200" s="8">
        <v>45995</v>
      </c>
      <c r="H200" t="s">
        <v>469</v>
      </c>
      <c r="I200" t="e">
        <f>VLOOKUP(Tabela2[[#This Row],[Coluna7]],[1]!Tabela1[#All],2,0)</f>
        <v>#REF!</v>
      </c>
      <c r="J200" t="s">
        <v>741</v>
      </c>
      <c r="L200">
        <v>87.2</v>
      </c>
      <c r="Q200" s="10" t="str">
        <f>Tabela2[[#This Row],[Coluna5]]</f>
        <v>12/2025</v>
      </c>
      <c r="R200" s="10" t="str">
        <f>IF(Tabela2[[#This Row],[Coluna9]]&gt;0,"Entrada","Saída")</f>
        <v>Saída</v>
      </c>
      <c r="S200" s="10" t="str">
        <f>Tabela2[[#This Row],[Coluna8]]</f>
        <v>CARTÃO NUBANK</v>
      </c>
      <c r="T200" s="10" t="e">
        <f>Tabela2[[#This Row],[Coluna72]]</f>
        <v>#REF!</v>
      </c>
      <c r="U200" s="10">
        <f>SUM(Tabela2[[#This Row],[Coluna9]],Tabela2[[#This Row],[Coluna10]])</f>
        <v>87.2</v>
      </c>
      <c r="V200" s="2">
        <f>Tabela2[[#This Row],[Coluna4]]</f>
        <v>45995</v>
      </c>
      <c r="W200" s="2">
        <f>Tabela2[[#This Row],[Coluna6]]</f>
        <v>45995</v>
      </c>
    </row>
    <row r="201" spans="2:23" x14ac:dyDescent="0.2">
      <c r="B201" t="s">
        <v>27</v>
      </c>
      <c r="C201" t="s">
        <v>95</v>
      </c>
      <c r="D201" t="s">
        <v>13</v>
      </c>
      <c r="E201" s="8">
        <v>45995</v>
      </c>
      <c r="F201" t="s">
        <v>64</v>
      </c>
      <c r="G201" s="8">
        <v>45995</v>
      </c>
      <c r="H201" t="s">
        <v>570</v>
      </c>
      <c r="I201" t="e">
        <f>VLOOKUP(Tabela2[[#This Row],[Coluna7]],[1]!Tabela1[#All],2,0)</f>
        <v>#REF!</v>
      </c>
      <c r="J201" t="s">
        <v>741</v>
      </c>
      <c r="L201">
        <v>200.03</v>
      </c>
      <c r="Q201" s="10" t="str">
        <f>Tabela2[[#This Row],[Coluna5]]</f>
        <v>12/2025</v>
      </c>
      <c r="R201" s="10" t="str">
        <f>IF(Tabela2[[#This Row],[Coluna9]]&gt;0,"Entrada","Saída")</f>
        <v>Saída</v>
      </c>
      <c r="S201" s="10" t="str">
        <f>Tabela2[[#This Row],[Coluna8]]</f>
        <v>CARTÃO NUBANK</v>
      </c>
      <c r="T201" s="10" t="e">
        <f>Tabela2[[#This Row],[Coluna72]]</f>
        <v>#REF!</v>
      </c>
      <c r="U201" s="10">
        <f>SUM(Tabela2[[#This Row],[Coluna9]],Tabela2[[#This Row],[Coluna10]])</f>
        <v>200.03</v>
      </c>
      <c r="V201" s="2">
        <f>Tabela2[[#This Row],[Coluna4]]</f>
        <v>45995</v>
      </c>
      <c r="W201" s="2">
        <f>Tabela2[[#This Row],[Coluna6]]</f>
        <v>45995</v>
      </c>
    </row>
    <row r="202" spans="2:23" x14ac:dyDescent="0.2">
      <c r="B202" t="s">
        <v>27</v>
      </c>
      <c r="C202" t="s">
        <v>95</v>
      </c>
      <c r="D202" t="s">
        <v>13</v>
      </c>
      <c r="E202" s="8">
        <v>45995</v>
      </c>
      <c r="F202" t="s">
        <v>64</v>
      </c>
      <c r="G202" s="8">
        <v>45995</v>
      </c>
      <c r="H202" t="s">
        <v>538</v>
      </c>
      <c r="I202" t="e">
        <f>VLOOKUP(Tabela2[[#This Row],[Coluna7]],[1]!Tabela1[#All],2,0)</f>
        <v>#REF!</v>
      </c>
      <c r="J202" t="s">
        <v>741</v>
      </c>
      <c r="L202">
        <v>153.83000000000001</v>
      </c>
      <c r="Q202" s="10" t="str">
        <f>Tabela2[[#This Row],[Coluna5]]</f>
        <v>12/2025</v>
      </c>
      <c r="R202" s="10" t="str">
        <f>IF(Tabela2[[#This Row],[Coluna9]]&gt;0,"Entrada","Saída")</f>
        <v>Saída</v>
      </c>
      <c r="S202" s="10" t="str">
        <f>Tabela2[[#This Row],[Coluna8]]</f>
        <v>CARTÃO NUBANK</v>
      </c>
      <c r="T202" s="10" t="e">
        <f>Tabela2[[#This Row],[Coluna72]]</f>
        <v>#REF!</v>
      </c>
      <c r="U202" s="10">
        <f>SUM(Tabela2[[#This Row],[Coluna9]],Tabela2[[#This Row],[Coluna10]])</f>
        <v>153.83000000000001</v>
      </c>
      <c r="V202" s="2">
        <f>Tabela2[[#This Row],[Coluna4]]</f>
        <v>45995</v>
      </c>
      <c r="W202" s="2">
        <f>Tabela2[[#This Row],[Coluna6]]</f>
        <v>45995</v>
      </c>
    </row>
    <row r="203" spans="2:23" x14ac:dyDescent="0.2">
      <c r="B203" t="s">
        <v>27</v>
      </c>
      <c r="C203" t="s">
        <v>95</v>
      </c>
      <c r="D203" t="s">
        <v>13</v>
      </c>
      <c r="E203" s="8">
        <v>45995</v>
      </c>
      <c r="F203" t="s">
        <v>64</v>
      </c>
      <c r="G203" s="8">
        <v>45995</v>
      </c>
      <c r="H203" t="s">
        <v>458</v>
      </c>
      <c r="I203" t="e">
        <f>VLOOKUP(Tabela2[[#This Row],[Coluna7]],[1]!Tabela1[#All],2,0)</f>
        <v>#REF!</v>
      </c>
      <c r="J203" t="s">
        <v>741</v>
      </c>
      <c r="L203">
        <v>198.5</v>
      </c>
      <c r="Q203" s="10" t="str">
        <f>Tabela2[[#This Row],[Coluna5]]</f>
        <v>12/2025</v>
      </c>
      <c r="R203" s="10" t="str">
        <f>IF(Tabela2[[#This Row],[Coluna9]]&gt;0,"Entrada","Saída")</f>
        <v>Saída</v>
      </c>
      <c r="S203" s="10" t="str">
        <f>Tabela2[[#This Row],[Coluna8]]</f>
        <v>CARTÃO NUBANK</v>
      </c>
      <c r="T203" s="10" t="e">
        <f>Tabela2[[#This Row],[Coluna72]]</f>
        <v>#REF!</v>
      </c>
      <c r="U203" s="10">
        <f>SUM(Tabela2[[#This Row],[Coluna9]],Tabela2[[#This Row],[Coluna10]])</f>
        <v>198.5</v>
      </c>
      <c r="V203" s="2">
        <f>Tabela2[[#This Row],[Coluna4]]</f>
        <v>45995</v>
      </c>
      <c r="W203" s="2">
        <f>Tabela2[[#This Row],[Coluna6]]</f>
        <v>45995</v>
      </c>
    </row>
    <row r="204" spans="2:23" x14ac:dyDescent="0.2">
      <c r="B204" t="s">
        <v>27</v>
      </c>
      <c r="C204" t="s">
        <v>95</v>
      </c>
      <c r="D204" t="s">
        <v>13</v>
      </c>
      <c r="E204" s="8">
        <v>45995</v>
      </c>
      <c r="F204" t="s">
        <v>64</v>
      </c>
      <c r="G204" s="8">
        <v>45995</v>
      </c>
      <c r="H204" t="s">
        <v>538</v>
      </c>
      <c r="I204" t="e">
        <f>VLOOKUP(Tabela2[[#This Row],[Coluna7]],[1]!Tabela1[#All],2,0)</f>
        <v>#REF!</v>
      </c>
      <c r="J204" t="s">
        <v>741</v>
      </c>
      <c r="L204">
        <v>16.64</v>
      </c>
      <c r="Q204" s="10" t="str">
        <f>Tabela2[[#This Row],[Coluna5]]</f>
        <v>12/2025</v>
      </c>
      <c r="R204" s="10" t="str">
        <f>IF(Tabela2[[#This Row],[Coluna9]]&gt;0,"Entrada","Saída")</f>
        <v>Saída</v>
      </c>
      <c r="S204" s="10" t="str">
        <f>Tabela2[[#This Row],[Coluna8]]</f>
        <v>CARTÃO NUBANK</v>
      </c>
      <c r="T204" s="10" t="e">
        <f>Tabela2[[#This Row],[Coluna72]]</f>
        <v>#REF!</v>
      </c>
      <c r="U204" s="10">
        <f>SUM(Tabela2[[#This Row],[Coluna9]],Tabela2[[#This Row],[Coluna10]])</f>
        <v>16.64</v>
      </c>
      <c r="V204" s="2">
        <f>Tabela2[[#This Row],[Coluna4]]</f>
        <v>45995</v>
      </c>
      <c r="W204" s="2">
        <f>Tabela2[[#This Row],[Coluna6]]</f>
        <v>45995</v>
      </c>
    </row>
    <row r="205" spans="2:23" x14ac:dyDescent="0.2">
      <c r="B205" t="s">
        <v>27</v>
      </c>
      <c r="C205" t="s">
        <v>95</v>
      </c>
      <c r="D205" t="s">
        <v>13</v>
      </c>
      <c r="E205" s="8">
        <v>45995</v>
      </c>
      <c r="F205" t="s">
        <v>64</v>
      </c>
      <c r="G205" s="8">
        <v>45995</v>
      </c>
      <c r="H205" t="s">
        <v>538</v>
      </c>
      <c r="I205" t="e">
        <f>VLOOKUP(Tabela2[[#This Row],[Coluna7]],[1]!Tabela1[#All],2,0)</f>
        <v>#REF!</v>
      </c>
      <c r="J205" t="s">
        <v>741</v>
      </c>
      <c r="L205">
        <v>75.34</v>
      </c>
      <c r="Q205" s="10" t="str">
        <f>Tabela2[[#This Row],[Coluna5]]</f>
        <v>12/2025</v>
      </c>
      <c r="R205" s="10" t="str">
        <f>IF(Tabela2[[#This Row],[Coluna9]]&gt;0,"Entrada","Saída")</f>
        <v>Saída</v>
      </c>
      <c r="S205" s="10" t="str">
        <f>Tabela2[[#This Row],[Coluna8]]</f>
        <v>CARTÃO NUBANK</v>
      </c>
      <c r="T205" s="10" t="e">
        <f>Tabela2[[#This Row],[Coluna72]]</f>
        <v>#REF!</v>
      </c>
      <c r="U205" s="10">
        <f>SUM(Tabela2[[#This Row],[Coluna9]],Tabela2[[#This Row],[Coluna10]])</f>
        <v>75.34</v>
      </c>
      <c r="V205" s="2">
        <f>Tabela2[[#This Row],[Coluna4]]</f>
        <v>45995</v>
      </c>
      <c r="W205" s="2">
        <f>Tabela2[[#This Row],[Coluna6]]</f>
        <v>45995</v>
      </c>
    </row>
    <row r="206" spans="2:23" x14ac:dyDescent="0.2">
      <c r="B206" t="s">
        <v>27</v>
      </c>
      <c r="C206" t="s">
        <v>95</v>
      </c>
      <c r="D206" t="s">
        <v>13</v>
      </c>
      <c r="E206" s="8">
        <v>45995</v>
      </c>
      <c r="F206" t="s">
        <v>64</v>
      </c>
      <c r="G206" s="8">
        <v>45995</v>
      </c>
      <c r="H206" t="s">
        <v>538</v>
      </c>
      <c r="I206" t="e">
        <f>VLOOKUP(Tabela2[[#This Row],[Coluna7]],[1]!Tabela1[#All],2,0)</f>
        <v>#REF!</v>
      </c>
      <c r="J206" t="s">
        <v>741</v>
      </c>
      <c r="L206">
        <v>53.09</v>
      </c>
      <c r="Q206" s="10" t="str">
        <f>Tabela2[[#This Row],[Coluna5]]</f>
        <v>12/2025</v>
      </c>
      <c r="R206" s="10" t="str">
        <f>IF(Tabela2[[#This Row],[Coluna9]]&gt;0,"Entrada","Saída")</f>
        <v>Saída</v>
      </c>
      <c r="S206" s="10" t="str">
        <f>Tabela2[[#This Row],[Coluna8]]</f>
        <v>CARTÃO NUBANK</v>
      </c>
      <c r="T206" s="10" t="e">
        <f>Tabela2[[#This Row],[Coluna72]]</f>
        <v>#REF!</v>
      </c>
      <c r="U206" s="10">
        <f>SUM(Tabela2[[#This Row],[Coluna9]],Tabela2[[#This Row],[Coluna10]])</f>
        <v>53.09</v>
      </c>
      <c r="V206" s="2">
        <f>Tabela2[[#This Row],[Coluna4]]</f>
        <v>45995</v>
      </c>
      <c r="W206" s="2">
        <f>Tabela2[[#This Row],[Coluna6]]</f>
        <v>45995</v>
      </c>
    </row>
    <row r="207" spans="2:23" x14ac:dyDescent="0.2">
      <c r="B207" t="s">
        <v>27</v>
      </c>
      <c r="C207" t="s">
        <v>95</v>
      </c>
      <c r="D207" t="s">
        <v>13</v>
      </c>
      <c r="E207" s="8">
        <v>45995</v>
      </c>
      <c r="F207" t="s">
        <v>64</v>
      </c>
      <c r="G207" s="8">
        <v>45995</v>
      </c>
      <c r="H207" t="s">
        <v>538</v>
      </c>
      <c r="I207" t="e">
        <f>VLOOKUP(Tabela2[[#This Row],[Coluna7]],[1]!Tabela1[#All],2,0)</f>
        <v>#REF!</v>
      </c>
      <c r="J207" t="s">
        <v>741</v>
      </c>
      <c r="L207">
        <v>64.010000000000005</v>
      </c>
      <c r="Q207" s="10" t="str">
        <f>Tabela2[[#This Row],[Coluna5]]</f>
        <v>12/2025</v>
      </c>
      <c r="R207" s="10" t="str">
        <f>IF(Tabela2[[#This Row],[Coluna9]]&gt;0,"Entrada","Saída")</f>
        <v>Saída</v>
      </c>
      <c r="S207" s="10" t="str">
        <f>Tabela2[[#This Row],[Coluna8]]</f>
        <v>CARTÃO NUBANK</v>
      </c>
      <c r="T207" s="10" t="e">
        <f>Tabela2[[#This Row],[Coluna72]]</f>
        <v>#REF!</v>
      </c>
      <c r="U207" s="10">
        <f>SUM(Tabela2[[#This Row],[Coluna9]],Tabela2[[#This Row],[Coluna10]])</f>
        <v>64.010000000000005</v>
      </c>
      <c r="V207" s="2">
        <f>Tabela2[[#This Row],[Coluna4]]</f>
        <v>45995</v>
      </c>
      <c r="W207" s="2">
        <f>Tabela2[[#This Row],[Coluna6]]</f>
        <v>45995</v>
      </c>
    </row>
    <row r="208" spans="2:23" x14ac:dyDescent="0.2">
      <c r="B208" t="s">
        <v>27</v>
      </c>
      <c r="C208" t="s">
        <v>95</v>
      </c>
      <c r="D208" t="s">
        <v>13</v>
      </c>
      <c r="E208" s="8">
        <v>45995</v>
      </c>
      <c r="F208" t="s">
        <v>64</v>
      </c>
      <c r="G208" s="8">
        <v>45995</v>
      </c>
      <c r="H208" t="s">
        <v>538</v>
      </c>
      <c r="I208" t="e">
        <f>VLOOKUP(Tabela2[[#This Row],[Coluna7]],[1]!Tabela1[#All],2,0)</f>
        <v>#REF!</v>
      </c>
      <c r="J208" t="s">
        <v>741</v>
      </c>
      <c r="L208">
        <v>70.790000000000006</v>
      </c>
      <c r="Q208" s="10" t="str">
        <f>Tabela2[[#This Row],[Coluna5]]</f>
        <v>12/2025</v>
      </c>
      <c r="R208" s="10" t="str">
        <f>IF(Tabela2[[#This Row],[Coluna9]]&gt;0,"Entrada","Saída")</f>
        <v>Saída</v>
      </c>
      <c r="S208" s="10" t="str">
        <f>Tabela2[[#This Row],[Coluna8]]</f>
        <v>CARTÃO NUBANK</v>
      </c>
      <c r="T208" s="10" t="e">
        <f>Tabela2[[#This Row],[Coluna72]]</f>
        <v>#REF!</v>
      </c>
      <c r="U208" s="10">
        <f>SUM(Tabela2[[#This Row],[Coluna9]],Tabela2[[#This Row],[Coluna10]])</f>
        <v>70.790000000000006</v>
      </c>
      <c r="V208" s="2">
        <f>Tabela2[[#This Row],[Coluna4]]</f>
        <v>45995</v>
      </c>
      <c r="W208" s="2">
        <f>Tabela2[[#This Row],[Coluna6]]</f>
        <v>45995</v>
      </c>
    </row>
    <row r="209" spans="2:23" x14ac:dyDescent="0.2">
      <c r="B209" t="s">
        <v>27</v>
      </c>
      <c r="C209" t="s">
        <v>95</v>
      </c>
      <c r="D209" t="s">
        <v>13</v>
      </c>
      <c r="E209" s="8">
        <v>45995</v>
      </c>
      <c r="F209" t="s">
        <v>64</v>
      </c>
      <c r="G209" s="8">
        <v>45995</v>
      </c>
      <c r="H209" t="s">
        <v>435</v>
      </c>
      <c r="I209" t="e">
        <f>VLOOKUP(Tabela2[[#This Row],[Coluna7]],[1]!Tabela1[#All],2,0)</f>
        <v>#REF!</v>
      </c>
      <c r="J209" t="s">
        <v>741</v>
      </c>
      <c r="L209">
        <v>229.9</v>
      </c>
      <c r="Q209" s="10" t="str">
        <f>Tabela2[[#This Row],[Coluna5]]</f>
        <v>12/2025</v>
      </c>
      <c r="R209" s="10" t="str">
        <f>IF(Tabela2[[#This Row],[Coluna9]]&gt;0,"Entrada","Saída")</f>
        <v>Saída</v>
      </c>
      <c r="S209" s="10" t="str">
        <f>Tabela2[[#This Row],[Coluna8]]</f>
        <v>CARTÃO NUBANK</v>
      </c>
      <c r="T209" s="10" t="e">
        <f>Tabela2[[#This Row],[Coluna72]]</f>
        <v>#REF!</v>
      </c>
      <c r="U209" s="10">
        <f>SUM(Tabela2[[#This Row],[Coluna9]],Tabela2[[#This Row],[Coluna10]])</f>
        <v>229.9</v>
      </c>
      <c r="V209" s="2">
        <f>Tabela2[[#This Row],[Coluna4]]</f>
        <v>45995</v>
      </c>
      <c r="W209" s="2">
        <f>Tabela2[[#This Row],[Coluna6]]</f>
        <v>45995</v>
      </c>
    </row>
    <row r="210" spans="2:23" x14ac:dyDescent="0.2">
      <c r="B210" t="s">
        <v>18</v>
      </c>
      <c r="C210" t="s">
        <v>95</v>
      </c>
      <c r="D210" t="s">
        <v>13</v>
      </c>
      <c r="E210" s="8">
        <v>46009</v>
      </c>
      <c r="F210" t="s">
        <v>64</v>
      </c>
      <c r="G210" s="8">
        <v>46009</v>
      </c>
      <c r="H210" t="s">
        <v>469</v>
      </c>
      <c r="I210" t="e">
        <f>VLOOKUP(Tabela2[[#This Row],[Coluna7]],[1]!Tabela1[#All],2,0)</f>
        <v>#REF!</v>
      </c>
      <c r="J210" t="s">
        <v>742</v>
      </c>
      <c r="L210">
        <v>25.12</v>
      </c>
      <c r="Q210" s="10" t="str">
        <f>Tabela2[[#This Row],[Coluna5]]</f>
        <v>12/2025</v>
      </c>
      <c r="R210" s="10" t="str">
        <f>IF(Tabela2[[#This Row],[Coluna9]]&gt;0,"Entrada","Saída")</f>
        <v>Saída</v>
      </c>
      <c r="S210" s="10" t="str">
        <f>Tabela2[[#This Row],[Coluna8]]</f>
        <v>CARTÃO HIPERCARD</v>
      </c>
      <c r="T210" s="10" t="e">
        <f>Tabela2[[#This Row],[Coluna72]]</f>
        <v>#REF!</v>
      </c>
      <c r="U210" s="10">
        <f>SUM(Tabela2[[#This Row],[Coluna9]],Tabela2[[#This Row],[Coluna10]])</f>
        <v>25.12</v>
      </c>
      <c r="V210" s="2">
        <f>Tabela2[[#This Row],[Coluna4]]</f>
        <v>46009</v>
      </c>
      <c r="W210" s="2">
        <f>Tabela2[[#This Row],[Coluna6]]</f>
        <v>46009</v>
      </c>
    </row>
    <row r="211" spans="2:23" x14ac:dyDescent="0.2">
      <c r="B211" t="s">
        <v>18</v>
      </c>
      <c r="C211" t="s">
        <v>95</v>
      </c>
      <c r="D211" t="s">
        <v>13</v>
      </c>
      <c r="E211" s="8">
        <v>46009</v>
      </c>
      <c r="F211" t="s">
        <v>64</v>
      </c>
      <c r="G211" s="8">
        <v>46009</v>
      </c>
      <c r="H211" t="s">
        <v>469</v>
      </c>
      <c r="I211" t="e">
        <f>VLOOKUP(Tabela2[[#This Row],[Coluna7]],[1]!Tabela1[#All],2,0)</f>
        <v>#REF!</v>
      </c>
      <c r="J211" t="s">
        <v>742</v>
      </c>
      <c r="L211">
        <v>42.16</v>
      </c>
      <c r="Q211" s="10" t="str">
        <f>Tabela2[[#This Row],[Coluna5]]</f>
        <v>12/2025</v>
      </c>
      <c r="R211" s="10" t="str">
        <f>IF(Tabela2[[#This Row],[Coluna9]]&gt;0,"Entrada","Saída")</f>
        <v>Saída</v>
      </c>
      <c r="S211" s="10" t="str">
        <f>Tabela2[[#This Row],[Coluna8]]</f>
        <v>CARTÃO HIPERCARD</v>
      </c>
      <c r="T211" s="10" t="e">
        <f>Tabela2[[#This Row],[Coluna72]]</f>
        <v>#REF!</v>
      </c>
      <c r="U211" s="10">
        <f>SUM(Tabela2[[#This Row],[Coluna9]],Tabela2[[#This Row],[Coluna10]])</f>
        <v>42.16</v>
      </c>
      <c r="V211" s="2">
        <f>Tabela2[[#This Row],[Coluna4]]</f>
        <v>46009</v>
      </c>
      <c r="W211" s="2">
        <f>Tabela2[[#This Row],[Coluna6]]</f>
        <v>46009</v>
      </c>
    </row>
    <row r="212" spans="2:23" x14ac:dyDescent="0.2">
      <c r="B212" t="s">
        <v>18</v>
      </c>
      <c r="C212" t="s">
        <v>95</v>
      </c>
      <c r="D212" t="s">
        <v>13</v>
      </c>
      <c r="E212" s="8">
        <v>46009</v>
      </c>
      <c r="F212" t="s">
        <v>64</v>
      </c>
      <c r="G212" s="8">
        <v>46009</v>
      </c>
      <c r="H212" t="s">
        <v>469</v>
      </c>
      <c r="I212" t="e">
        <f>VLOOKUP(Tabela2[[#This Row],[Coluna7]],[1]!Tabela1[#All],2,0)</f>
        <v>#REF!</v>
      </c>
      <c r="J212" t="s">
        <v>742</v>
      </c>
      <c r="L212">
        <v>32.49</v>
      </c>
      <c r="Q212" s="10" t="str">
        <f>Tabela2[[#This Row],[Coluna5]]</f>
        <v>12/2025</v>
      </c>
      <c r="R212" s="10" t="str">
        <f>IF(Tabela2[[#This Row],[Coluna9]]&gt;0,"Entrada","Saída")</f>
        <v>Saída</v>
      </c>
      <c r="S212" s="10" t="str">
        <f>Tabela2[[#This Row],[Coluna8]]</f>
        <v>CARTÃO HIPERCARD</v>
      </c>
      <c r="T212" s="10" t="e">
        <f>Tabela2[[#This Row],[Coluna72]]</f>
        <v>#REF!</v>
      </c>
      <c r="U212" s="10">
        <f>SUM(Tabela2[[#This Row],[Coluna9]],Tabela2[[#This Row],[Coluna10]])</f>
        <v>32.49</v>
      </c>
      <c r="V212" s="2">
        <f>Tabela2[[#This Row],[Coluna4]]</f>
        <v>46009</v>
      </c>
      <c r="W212" s="2">
        <f>Tabela2[[#This Row],[Coluna6]]</f>
        <v>46009</v>
      </c>
    </row>
    <row r="213" spans="2:23" x14ac:dyDescent="0.2">
      <c r="B213" t="s">
        <v>18</v>
      </c>
      <c r="C213" t="s">
        <v>95</v>
      </c>
      <c r="D213" t="s">
        <v>13</v>
      </c>
      <c r="E213" s="8">
        <v>46009</v>
      </c>
      <c r="F213" t="s">
        <v>64</v>
      </c>
      <c r="G213" s="8">
        <v>46009</v>
      </c>
      <c r="H213" t="s">
        <v>469</v>
      </c>
      <c r="I213" t="e">
        <f>VLOOKUP(Tabela2[[#This Row],[Coluna7]],[1]!Tabela1[#All],2,0)</f>
        <v>#REF!</v>
      </c>
      <c r="J213" t="s">
        <v>742</v>
      </c>
      <c r="L213">
        <v>59.95</v>
      </c>
      <c r="Q213" s="10" t="str">
        <f>Tabela2[[#This Row],[Coluna5]]</f>
        <v>12/2025</v>
      </c>
      <c r="R213" s="10" t="str">
        <f>IF(Tabela2[[#This Row],[Coluna9]]&gt;0,"Entrada","Saída")</f>
        <v>Saída</v>
      </c>
      <c r="S213" s="10" t="str">
        <f>Tabela2[[#This Row],[Coluna8]]</f>
        <v>CARTÃO HIPERCARD</v>
      </c>
      <c r="T213" s="10" t="e">
        <f>Tabela2[[#This Row],[Coluna72]]</f>
        <v>#REF!</v>
      </c>
      <c r="U213" s="10">
        <f>SUM(Tabela2[[#This Row],[Coluna9]],Tabela2[[#This Row],[Coluna10]])</f>
        <v>59.95</v>
      </c>
      <c r="V213" s="2">
        <f>Tabela2[[#This Row],[Coluna4]]</f>
        <v>46009</v>
      </c>
      <c r="W213" s="2">
        <f>Tabela2[[#This Row],[Coluna6]]</f>
        <v>46009</v>
      </c>
    </row>
    <row r="214" spans="2:23" x14ac:dyDescent="0.2">
      <c r="B214" t="s">
        <v>18</v>
      </c>
      <c r="C214" t="s">
        <v>95</v>
      </c>
      <c r="D214" t="s">
        <v>13</v>
      </c>
      <c r="E214" s="8">
        <v>46009</v>
      </c>
      <c r="F214" t="s">
        <v>64</v>
      </c>
      <c r="G214" s="8">
        <v>46009</v>
      </c>
      <c r="H214" t="s">
        <v>469</v>
      </c>
      <c r="I214" t="e">
        <f>VLOOKUP(Tabela2[[#This Row],[Coluna7]],[1]!Tabela1[#All],2,0)</f>
        <v>#REF!</v>
      </c>
      <c r="J214" t="s">
        <v>742</v>
      </c>
      <c r="L214">
        <v>90</v>
      </c>
      <c r="Q214" s="10" t="str">
        <f>Tabela2[[#This Row],[Coluna5]]</f>
        <v>12/2025</v>
      </c>
      <c r="R214" s="10" t="str">
        <f>IF(Tabela2[[#This Row],[Coluna9]]&gt;0,"Entrada","Saída")</f>
        <v>Saída</v>
      </c>
      <c r="S214" s="10" t="str">
        <f>Tabela2[[#This Row],[Coluna8]]</f>
        <v>CARTÃO HIPERCARD</v>
      </c>
      <c r="T214" s="10" t="e">
        <f>Tabela2[[#This Row],[Coluna72]]</f>
        <v>#REF!</v>
      </c>
      <c r="U214" s="10">
        <f>SUM(Tabela2[[#This Row],[Coluna9]],Tabela2[[#This Row],[Coluna10]])</f>
        <v>90</v>
      </c>
      <c r="V214" s="2">
        <f>Tabela2[[#This Row],[Coluna4]]</f>
        <v>46009</v>
      </c>
      <c r="W214" s="2">
        <f>Tabela2[[#This Row],[Coluna6]]</f>
        <v>46009</v>
      </c>
    </row>
    <row r="215" spans="2:23" x14ac:dyDescent="0.2">
      <c r="B215" t="s">
        <v>18</v>
      </c>
      <c r="C215" t="s">
        <v>95</v>
      </c>
      <c r="D215" t="s">
        <v>13</v>
      </c>
      <c r="E215" s="8">
        <v>46009</v>
      </c>
      <c r="F215" t="s">
        <v>64</v>
      </c>
      <c r="G215" s="8">
        <v>46009</v>
      </c>
      <c r="H215" t="s">
        <v>469</v>
      </c>
      <c r="I215" t="e">
        <f>VLOOKUP(Tabela2[[#This Row],[Coluna7]],[1]!Tabela1[#All],2,0)</f>
        <v>#REF!</v>
      </c>
      <c r="J215" t="s">
        <v>742</v>
      </c>
      <c r="L215">
        <v>54.33</v>
      </c>
      <c r="Q215" s="10" t="str">
        <f>Tabela2[[#This Row],[Coluna5]]</f>
        <v>12/2025</v>
      </c>
      <c r="R215" s="10" t="str">
        <f>IF(Tabela2[[#This Row],[Coluna9]]&gt;0,"Entrada","Saída")</f>
        <v>Saída</v>
      </c>
      <c r="S215" s="10" t="str">
        <f>Tabela2[[#This Row],[Coluna8]]</f>
        <v>CARTÃO HIPERCARD</v>
      </c>
      <c r="T215" s="10" t="e">
        <f>Tabela2[[#This Row],[Coluna72]]</f>
        <v>#REF!</v>
      </c>
      <c r="U215" s="10">
        <f>SUM(Tabela2[[#This Row],[Coluna9]],Tabela2[[#This Row],[Coluna10]])</f>
        <v>54.33</v>
      </c>
      <c r="V215" s="2">
        <f>Tabela2[[#This Row],[Coluna4]]</f>
        <v>46009</v>
      </c>
      <c r="W215" s="2">
        <f>Tabela2[[#This Row],[Coluna6]]</f>
        <v>46009</v>
      </c>
    </row>
    <row r="216" spans="2:23" x14ac:dyDescent="0.2">
      <c r="B216" t="s">
        <v>18</v>
      </c>
      <c r="C216" t="s">
        <v>95</v>
      </c>
      <c r="D216" t="s">
        <v>13</v>
      </c>
      <c r="E216" s="8">
        <v>46009</v>
      </c>
      <c r="F216" t="s">
        <v>64</v>
      </c>
      <c r="G216" s="8">
        <v>46009</v>
      </c>
      <c r="H216" t="s">
        <v>693</v>
      </c>
      <c r="I216" t="e">
        <f>VLOOKUP(Tabela2[[#This Row],[Coluna7]],[1]!Tabela1[#All],2,0)</f>
        <v>#REF!</v>
      </c>
      <c r="J216" t="s">
        <v>742</v>
      </c>
      <c r="L216">
        <v>7.99</v>
      </c>
      <c r="Q216" s="10" t="str">
        <f>Tabela2[[#This Row],[Coluna5]]</f>
        <v>12/2025</v>
      </c>
      <c r="R216" s="10" t="str">
        <f>IF(Tabela2[[#This Row],[Coluna9]]&gt;0,"Entrada","Saída")</f>
        <v>Saída</v>
      </c>
      <c r="S216" s="10" t="str">
        <f>Tabela2[[#This Row],[Coluna8]]</f>
        <v>CARTÃO HIPERCARD</v>
      </c>
      <c r="T216" s="10" t="e">
        <f>Tabela2[[#This Row],[Coluna72]]</f>
        <v>#REF!</v>
      </c>
      <c r="U216" s="10">
        <f>SUM(Tabela2[[#This Row],[Coluna9]],Tabela2[[#This Row],[Coluna10]])</f>
        <v>7.99</v>
      </c>
      <c r="V216" s="2">
        <f>Tabela2[[#This Row],[Coluna4]]</f>
        <v>46009</v>
      </c>
      <c r="W216" s="2">
        <f>Tabela2[[#This Row],[Coluna6]]</f>
        <v>46009</v>
      </c>
    </row>
    <row r="217" spans="2:23" x14ac:dyDescent="0.2">
      <c r="B217" t="s">
        <v>18</v>
      </c>
      <c r="C217" t="s">
        <v>95</v>
      </c>
      <c r="D217" t="s">
        <v>13</v>
      </c>
      <c r="E217" s="8">
        <v>46009</v>
      </c>
      <c r="F217" t="s">
        <v>64</v>
      </c>
      <c r="G217" s="8">
        <v>46009</v>
      </c>
      <c r="H217" t="s">
        <v>693</v>
      </c>
      <c r="I217" t="e">
        <f>VLOOKUP(Tabela2[[#This Row],[Coluna7]],[1]!Tabela1[#All],2,0)</f>
        <v>#REF!</v>
      </c>
      <c r="J217" t="s">
        <v>742</v>
      </c>
      <c r="L217">
        <v>10.47</v>
      </c>
      <c r="Q217" s="10" t="str">
        <f>Tabela2[[#This Row],[Coluna5]]</f>
        <v>12/2025</v>
      </c>
      <c r="R217" s="10" t="str">
        <f>IF(Tabela2[[#This Row],[Coluna9]]&gt;0,"Entrada","Saída")</f>
        <v>Saída</v>
      </c>
      <c r="S217" s="10" t="str">
        <f>Tabela2[[#This Row],[Coluna8]]</f>
        <v>CARTÃO HIPERCARD</v>
      </c>
      <c r="T217" s="10" t="e">
        <f>Tabela2[[#This Row],[Coluna72]]</f>
        <v>#REF!</v>
      </c>
      <c r="U217" s="10">
        <f>SUM(Tabela2[[#This Row],[Coluna9]],Tabela2[[#This Row],[Coluna10]])</f>
        <v>10.47</v>
      </c>
      <c r="V217" s="2">
        <f>Tabela2[[#This Row],[Coluna4]]</f>
        <v>46009</v>
      </c>
      <c r="W217" s="2">
        <f>Tabela2[[#This Row],[Coluna6]]</f>
        <v>46009</v>
      </c>
    </row>
    <row r="218" spans="2:23" x14ac:dyDescent="0.2">
      <c r="B218" t="s">
        <v>12</v>
      </c>
      <c r="C218" t="s">
        <v>95</v>
      </c>
      <c r="D218" t="s">
        <v>13</v>
      </c>
      <c r="E218" s="8">
        <v>46014</v>
      </c>
      <c r="F218" t="s">
        <v>64</v>
      </c>
      <c r="G218" s="8">
        <v>46014</v>
      </c>
      <c r="H218" t="s">
        <v>693</v>
      </c>
      <c r="I218" t="e">
        <f>VLOOKUP(Tabela2[[#This Row],[Coluna7]],[1]!Tabela1[#All],2,0)</f>
        <v>#REF!</v>
      </c>
      <c r="J218" t="s">
        <v>743</v>
      </c>
      <c r="L218">
        <v>16.989999999999998</v>
      </c>
      <c r="Q218" s="10" t="str">
        <f>Tabela2[[#This Row],[Coluna5]]</f>
        <v>12/2025</v>
      </c>
      <c r="R218" s="10" t="str">
        <f>IF(Tabela2[[#This Row],[Coluna9]]&gt;0,"Entrada","Saída")</f>
        <v>Saída</v>
      </c>
      <c r="S218" s="10" t="str">
        <f>Tabela2[[#This Row],[Coluna8]]</f>
        <v>CARTÃO CARREFOUR</v>
      </c>
      <c r="T218" s="10" t="e">
        <f>Tabela2[[#This Row],[Coluna72]]</f>
        <v>#REF!</v>
      </c>
      <c r="U218" s="10">
        <f>SUM(Tabela2[[#This Row],[Coluna9]],Tabela2[[#This Row],[Coluna10]])</f>
        <v>16.989999999999998</v>
      </c>
      <c r="V218" s="2">
        <f>Tabela2[[#This Row],[Coluna4]]</f>
        <v>46014</v>
      </c>
      <c r="W218" s="2">
        <f>Tabela2[[#This Row],[Coluna6]]</f>
        <v>46014</v>
      </c>
    </row>
    <row r="219" spans="2:23" x14ac:dyDescent="0.2">
      <c r="B219" t="s">
        <v>12</v>
      </c>
      <c r="C219" t="s">
        <v>95</v>
      </c>
      <c r="D219" t="s">
        <v>13</v>
      </c>
      <c r="E219" s="8">
        <v>46014</v>
      </c>
      <c r="F219" t="s">
        <v>64</v>
      </c>
      <c r="G219" s="8">
        <v>46014</v>
      </c>
      <c r="H219" t="s">
        <v>435</v>
      </c>
      <c r="I219" t="e">
        <f>VLOOKUP(Tabela2[[#This Row],[Coluna7]],[1]!Tabela1[#All],2,0)</f>
        <v>#REF!</v>
      </c>
      <c r="J219" t="s">
        <v>743</v>
      </c>
      <c r="L219">
        <v>221.08</v>
      </c>
      <c r="Q219" s="10" t="str">
        <f>Tabela2[[#This Row],[Coluna5]]</f>
        <v>12/2025</v>
      </c>
      <c r="R219" s="10" t="str">
        <f>IF(Tabela2[[#This Row],[Coluna9]]&gt;0,"Entrada","Saída")</f>
        <v>Saída</v>
      </c>
      <c r="S219" s="10" t="str">
        <f>Tabela2[[#This Row],[Coluna8]]</f>
        <v>CARTÃO CARREFOUR</v>
      </c>
      <c r="T219" s="10" t="e">
        <f>Tabela2[[#This Row],[Coluna72]]</f>
        <v>#REF!</v>
      </c>
      <c r="U219" s="10">
        <f>SUM(Tabela2[[#This Row],[Coluna9]],Tabela2[[#This Row],[Coluna10]])</f>
        <v>221.08</v>
      </c>
      <c r="V219" s="2">
        <f>Tabela2[[#This Row],[Coluna4]]</f>
        <v>46014</v>
      </c>
      <c r="W219" s="2">
        <f>Tabela2[[#This Row],[Coluna6]]</f>
        <v>46014</v>
      </c>
    </row>
    <row r="220" spans="2:23" x14ac:dyDescent="0.2">
      <c r="B220" t="s">
        <v>12</v>
      </c>
      <c r="C220" t="s">
        <v>95</v>
      </c>
      <c r="D220" t="s">
        <v>13</v>
      </c>
      <c r="E220" s="8">
        <v>46014</v>
      </c>
      <c r="F220" t="s">
        <v>64</v>
      </c>
      <c r="G220" s="8">
        <v>46014</v>
      </c>
      <c r="H220" t="s">
        <v>445</v>
      </c>
      <c r="I220" t="e">
        <f>VLOOKUP(Tabela2[[#This Row],[Coluna7]],[1]!Tabela1[#All],2,0)</f>
        <v>#REF!</v>
      </c>
      <c r="J220" t="s">
        <v>743</v>
      </c>
      <c r="L220">
        <v>58</v>
      </c>
      <c r="Q220" s="10" t="str">
        <f>Tabela2[[#This Row],[Coluna5]]</f>
        <v>12/2025</v>
      </c>
      <c r="R220" s="10" t="str">
        <f>IF(Tabela2[[#This Row],[Coluna9]]&gt;0,"Entrada","Saída")</f>
        <v>Saída</v>
      </c>
      <c r="S220" s="10" t="str">
        <f>Tabela2[[#This Row],[Coluna8]]</f>
        <v>CARTÃO CARREFOUR</v>
      </c>
      <c r="T220" s="10" t="e">
        <f>Tabela2[[#This Row],[Coluna72]]</f>
        <v>#REF!</v>
      </c>
      <c r="U220" s="10">
        <f>SUM(Tabela2[[#This Row],[Coluna9]],Tabela2[[#This Row],[Coluna10]])</f>
        <v>58</v>
      </c>
      <c r="V220" s="2">
        <f>Tabela2[[#This Row],[Coluna4]]</f>
        <v>46014</v>
      </c>
      <c r="W220" s="2">
        <f>Tabela2[[#This Row],[Coluna6]]</f>
        <v>46014</v>
      </c>
    </row>
    <row r="221" spans="2:23" x14ac:dyDescent="0.2">
      <c r="B221" t="s">
        <v>71</v>
      </c>
      <c r="C221" t="s">
        <v>95</v>
      </c>
      <c r="D221" t="s">
        <v>13</v>
      </c>
      <c r="E221" s="8">
        <v>46018</v>
      </c>
      <c r="F221" t="s">
        <v>64</v>
      </c>
      <c r="G221" s="8">
        <v>46018</v>
      </c>
      <c r="H221" t="s">
        <v>570</v>
      </c>
      <c r="I221" t="e">
        <f>VLOOKUP(Tabela2[[#This Row],[Coluna7]],[1]!Tabela1[#All],2,0)</f>
        <v>#REF!</v>
      </c>
      <c r="J221" t="s">
        <v>744</v>
      </c>
      <c r="L221">
        <v>55</v>
      </c>
      <c r="Q221" s="10" t="str">
        <f>Tabela2[[#This Row],[Coluna5]]</f>
        <v>12/2025</v>
      </c>
      <c r="R221" s="10" t="str">
        <f>IF(Tabela2[[#This Row],[Coluna9]]&gt;0,"Entrada","Saída")</f>
        <v>Saída</v>
      </c>
      <c r="S221" s="10" t="str">
        <f>Tabela2[[#This Row],[Coluna8]]</f>
        <v xml:space="preserve">CARTÃO EFÍ </v>
      </c>
      <c r="T221" s="10" t="e">
        <f>Tabela2[[#This Row],[Coluna72]]</f>
        <v>#REF!</v>
      </c>
      <c r="U221" s="10">
        <f>SUM(Tabela2[[#This Row],[Coluna9]],Tabela2[[#This Row],[Coluna10]])</f>
        <v>55</v>
      </c>
      <c r="V221" s="2">
        <f>Tabela2[[#This Row],[Coluna4]]</f>
        <v>46018</v>
      </c>
      <c r="W221" s="2">
        <f>Tabela2[[#This Row],[Coluna6]]</f>
        <v>46018</v>
      </c>
    </row>
    <row r="222" spans="2:23" x14ac:dyDescent="0.2">
      <c r="B222" t="s">
        <v>71</v>
      </c>
      <c r="C222" t="s">
        <v>95</v>
      </c>
      <c r="D222" t="s">
        <v>13</v>
      </c>
      <c r="E222" s="8">
        <v>46018</v>
      </c>
      <c r="F222" t="s">
        <v>64</v>
      </c>
      <c r="G222" s="8">
        <v>46018</v>
      </c>
      <c r="H222" t="s">
        <v>570</v>
      </c>
      <c r="I222" t="e">
        <f>VLOOKUP(Tabela2[[#This Row],[Coluna7]],[1]!Tabela1[#All],2,0)</f>
        <v>#REF!</v>
      </c>
      <c r="J222" t="s">
        <v>744</v>
      </c>
      <c r="L222">
        <v>64</v>
      </c>
      <c r="Q222" s="10" t="str">
        <f>Tabela2[[#This Row],[Coluna5]]</f>
        <v>12/2025</v>
      </c>
      <c r="R222" s="10" t="str">
        <f>IF(Tabela2[[#This Row],[Coluna9]]&gt;0,"Entrada","Saída")</f>
        <v>Saída</v>
      </c>
      <c r="S222" s="10" t="str">
        <f>Tabela2[[#This Row],[Coluna8]]</f>
        <v xml:space="preserve">CARTÃO EFÍ </v>
      </c>
      <c r="T222" s="10" t="e">
        <f>Tabela2[[#This Row],[Coluna72]]</f>
        <v>#REF!</v>
      </c>
      <c r="U222" s="10">
        <f>SUM(Tabela2[[#This Row],[Coluna9]],Tabela2[[#This Row],[Coluna10]])</f>
        <v>64</v>
      </c>
      <c r="V222" s="2">
        <f>Tabela2[[#This Row],[Coluna4]]</f>
        <v>46018</v>
      </c>
      <c r="W222" s="2">
        <f>Tabela2[[#This Row],[Coluna6]]</f>
        <v>46018</v>
      </c>
    </row>
    <row r="223" spans="2:23" x14ac:dyDescent="0.2">
      <c r="B223" t="s">
        <v>71</v>
      </c>
      <c r="C223" t="s">
        <v>95</v>
      </c>
      <c r="D223" t="s">
        <v>13</v>
      </c>
      <c r="E223" s="8">
        <v>46018</v>
      </c>
      <c r="F223" t="s">
        <v>64</v>
      </c>
      <c r="G223" s="8">
        <v>46018</v>
      </c>
      <c r="H223" t="s">
        <v>443</v>
      </c>
      <c r="I223" t="e">
        <f>VLOOKUP(Tabela2[[#This Row],[Coluna7]],[1]!Tabela1[#All],2,0)</f>
        <v>#REF!</v>
      </c>
      <c r="J223" t="s">
        <v>744</v>
      </c>
      <c r="L223">
        <v>3.98</v>
      </c>
      <c r="Q223" s="10" t="str">
        <f>Tabela2[[#This Row],[Coluna5]]</f>
        <v>12/2025</v>
      </c>
      <c r="R223" s="10" t="str">
        <f>IF(Tabela2[[#This Row],[Coluna9]]&gt;0,"Entrada","Saída")</f>
        <v>Saída</v>
      </c>
      <c r="S223" s="10" t="str">
        <f>Tabela2[[#This Row],[Coluna8]]</f>
        <v xml:space="preserve">CARTÃO EFÍ </v>
      </c>
      <c r="T223" s="10" t="e">
        <f>Tabela2[[#This Row],[Coluna72]]</f>
        <v>#REF!</v>
      </c>
      <c r="U223" s="10">
        <f>SUM(Tabela2[[#This Row],[Coluna9]],Tabela2[[#This Row],[Coluna10]])</f>
        <v>3.98</v>
      </c>
      <c r="V223" s="2">
        <f>Tabela2[[#This Row],[Coluna4]]</f>
        <v>46018</v>
      </c>
      <c r="W223" s="2">
        <f>Tabela2[[#This Row],[Coluna6]]</f>
        <v>46018</v>
      </c>
    </row>
    <row r="224" spans="2:23" x14ac:dyDescent="0.2">
      <c r="B224" t="s">
        <v>71</v>
      </c>
      <c r="C224" t="s">
        <v>95</v>
      </c>
      <c r="D224" t="s">
        <v>13</v>
      </c>
      <c r="E224" s="8">
        <v>46018</v>
      </c>
      <c r="F224" t="s">
        <v>64</v>
      </c>
      <c r="G224" s="8">
        <v>46018</v>
      </c>
      <c r="H224" t="s">
        <v>570</v>
      </c>
      <c r="I224" t="e">
        <f>VLOOKUP(Tabela2[[#This Row],[Coluna7]],[1]!Tabela1[#All],2,0)</f>
        <v>#REF!</v>
      </c>
      <c r="J224" t="s">
        <v>744</v>
      </c>
      <c r="L224">
        <v>38</v>
      </c>
      <c r="Q224" s="10" t="str">
        <f>Tabela2[[#This Row],[Coluna5]]</f>
        <v>12/2025</v>
      </c>
      <c r="R224" s="10" t="str">
        <f>IF(Tabela2[[#This Row],[Coluna9]]&gt;0,"Entrada","Saída")</f>
        <v>Saída</v>
      </c>
      <c r="S224" s="10" t="str">
        <f>Tabela2[[#This Row],[Coluna8]]</f>
        <v xml:space="preserve">CARTÃO EFÍ </v>
      </c>
      <c r="T224" s="10" t="e">
        <f>Tabela2[[#This Row],[Coluna72]]</f>
        <v>#REF!</v>
      </c>
      <c r="U224" s="10">
        <f>SUM(Tabela2[[#This Row],[Coluna9]],Tabela2[[#This Row],[Coluna10]])</f>
        <v>38</v>
      </c>
      <c r="V224" s="2">
        <f>Tabela2[[#This Row],[Coluna4]]</f>
        <v>46018</v>
      </c>
      <c r="W224" s="2">
        <f>Tabela2[[#This Row],[Coluna6]]</f>
        <v>46018</v>
      </c>
    </row>
    <row r="225" spans="2:23" x14ac:dyDescent="0.2">
      <c r="B225" t="s">
        <v>71</v>
      </c>
      <c r="C225" t="s">
        <v>95</v>
      </c>
      <c r="D225" t="s">
        <v>13</v>
      </c>
      <c r="E225" s="8">
        <v>46018</v>
      </c>
      <c r="F225" t="s">
        <v>64</v>
      </c>
      <c r="G225" s="8">
        <v>46018</v>
      </c>
      <c r="H225" t="s">
        <v>443</v>
      </c>
      <c r="I225" t="e">
        <f>VLOOKUP(Tabela2[[#This Row],[Coluna7]],[1]!Tabela1[#All],2,0)</f>
        <v>#REF!</v>
      </c>
      <c r="J225" t="s">
        <v>744</v>
      </c>
      <c r="L225">
        <v>47.96</v>
      </c>
      <c r="Q225" s="10" t="str">
        <f>Tabela2[[#This Row],[Coluna5]]</f>
        <v>12/2025</v>
      </c>
      <c r="R225" s="10" t="str">
        <f>IF(Tabela2[[#This Row],[Coluna9]]&gt;0,"Entrada","Saída")</f>
        <v>Saída</v>
      </c>
      <c r="S225" s="10" t="str">
        <f>Tabela2[[#This Row],[Coluna8]]</f>
        <v xml:space="preserve">CARTÃO EFÍ </v>
      </c>
      <c r="T225" s="10" t="e">
        <f>Tabela2[[#This Row],[Coluna72]]</f>
        <v>#REF!</v>
      </c>
      <c r="U225" s="10">
        <f>SUM(Tabela2[[#This Row],[Coluna9]],Tabela2[[#This Row],[Coluna10]])</f>
        <v>47.96</v>
      </c>
      <c r="V225" s="2">
        <f>Tabela2[[#This Row],[Coluna4]]</f>
        <v>46018</v>
      </c>
      <c r="W225" s="2">
        <f>Tabela2[[#This Row],[Coluna6]]</f>
        <v>46018</v>
      </c>
    </row>
    <row r="226" spans="2:23" x14ac:dyDescent="0.2">
      <c r="B226" t="s">
        <v>71</v>
      </c>
      <c r="C226" t="s">
        <v>95</v>
      </c>
      <c r="D226" t="s">
        <v>13</v>
      </c>
      <c r="E226" s="8">
        <v>46018</v>
      </c>
      <c r="F226" t="s">
        <v>64</v>
      </c>
      <c r="G226" s="8">
        <v>46018</v>
      </c>
      <c r="H226" t="s">
        <v>443</v>
      </c>
      <c r="I226" t="e">
        <f>VLOOKUP(Tabela2[[#This Row],[Coluna7]],[1]!Tabela1[#All],2,0)</f>
        <v>#REF!</v>
      </c>
      <c r="J226" t="s">
        <v>744</v>
      </c>
      <c r="L226">
        <v>5.68</v>
      </c>
      <c r="Q226" s="10" t="str">
        <f>Tabela2[[#This Row],[Coluna5]]</f>
        <v>12/2025</v>
      </c>
      <c r="R226" s="10" t="str">
        <f>IF(Tabela2[[#This Row],[Coluna9]]&gt;0,"Entrada","Saída")</f>
        <v>Saída</v>
      </c>
      <c r="S226" s="10" t="str">
        <f>Tabela2[[#This Row],[Coluna8]]</f>
        <v xml:space="preserve">CARTÃO EFÍ </v>
      </c>
      <c r="T226" s="10" t="e">
        <f>Tabela2[[#This Row],[Coluna72]]</f>
        <v>#REF!</v>
      </c>
      <c r="U226" s="10">
        <f>SUM(Tabela2[[#This Row],[Coluna9]],Tabela2[[#This Row],[Coluna10]])</f>
        <v>5.68</v>
      </c>
      <c r="V226" s="2">
        <f>Tabela2[[#This Row],[Coluna4]]</f>
        <v>46018</v>
      </c>
      <c r="W226" s="2">
        <f>Tabela2[[#This Row],[Coluna6]]</f>
        <v>46018</v>
      </c>
    </row>
    <row r="227" spans="2:23" x14ac:dyDescent="0.2">
      <c r="B227" t="s">
        <v>71</v>
      </c>
      <c r="C227" t="s">
        <v>95</v>
      </c>
      <c r="D227" t="s">
        <v>13</v>
      </c>
      <c r="E227" s="8">
        <v>46018</v>
      </c>
      <c r="F227" t="s">
        <v>64</v>
      </c>
      <c r="G227" s="8">
        <v>46018</v>
      </c>
      <c r="H227" t="s">
        <v>443</v>
      </c>
      <c r="I227" t="e">
        <f>VLOOKUP(Tabela2[[#This Row],[Coluna7]],[1]!Tabela1[#All],2,0)</f>
        <v>#REF!</v>
      </c>
      <c r="J227" t="s">
        <v>744</v>
      </c>
      <c r="L227">
        <v>7.58</v>
      </c>
      <c r="Q227" s="10" t="str">
        <f>Tabela2[[#This Row],[Coluna5]]</f>
        <v>12/2025</v>
      </c>
      <c r="R227" s="10" t="str">
        <f>IF(Tabela2[[#This Row],[Coluna9]]&gt;0,"Entrada","Saída")</f>
        <v>Saída</v>
      </c>
      <c r="S227" s="10" t="str">
        <f>Tabela2[[#This Row],[Coluna8]]</f>
        <v xml:space="preserve">CARTÃO EFÍ </v>
      </c>
      <c r="T227" s="10" t="e">
        <f>Tabela2[[#This Row],[Coluna72]]</f>
        <v>#REF!</v>
      </c>
      <c r="U227" s="10">
        <f>SUM(Tabela2[[#This Row],[Coluna9]],Tabela2[[#This Row],[Coluna10]])</f>
        <v>7.58</v>
      </c>
      <c r="V227" s="2">
        <f>Tabela2[[#This Row],[Coluna4]]</f>
        <v>46018</v>
      </c>
      <c r="W227" s="2">
        <f>Tabela2[[#This Row],[Coluna6]]</f>
        <v>46018</v>
      </c>
    </row>
    <row r="228" spans="2:23" x14ac:dyDescent="0.2">
      <c r="B228" t="s">
        <v>71</v>
      </c>
      <c r="C228" t="s">
        <v>95</v>
      </c>
      <c r="D228" t="s">
        <v>13</v>
      </c>
      <c r="E228" s="8">
        <v>46018</v>
      </c>
      <c r="F228" t="s">
        <v>64</v>
      </c>
      <c r="G228" s="8">
        <v>46018</v>
      </c>
      <c r="H228" t="s">
        <v>443</v>
      </c>
      <c r="I228" t="e">
        <f>VLOOKUP(Tabela2[[#This Row],[Coluna7]],[1]!Tabela1[#All],2,0)</f>
        <v>#REF!</v>
      </c>
      <c r="J228" t="s">
        <v>744</v>
      </c>
      <c r="L228">
        <v>113.97</v>
      </c>
      <c r="Q228" s="10" t="str">
        <f>Tabela2[[#This Row],[Coluna5]]</f>
        <v>12/2025</v>
      </c>
      <c r="R228" s="10" t="str">
        <f>IF(Tabela2[[#This Row],[Coluna9]]&gt;0,"Entrada","Saída")</f>
        <v>Saída</v>
      </c>
      <c r="S228" s="10" t="str">
        <f>Tabela2[[#This Row],[Coluna8]]</f>
        <v xml:space="preserve">CARTÃO EFÍ </v>
      </c>
      <c r="T228" s="10" t="e">
        <f>Tabela2[[#This Row],[Coluna72]]</f>
        <v>#REF!</v>
      </c>
      <c r="U228" s="10">
        <f>SUM(Tabela2[[#This Row],[Coluna9]],Tabela2[[#This Row],[Coluna10]])</f>
        <v>113.97</v>
      </c>
      <c r="V228" s="2">
        <f>Tabela2[[#This Row],[Coluna4]]</f>
        <v>46018</v>
      </c>
      <c r="W228" s="2">
        <f>Tabela2[[#This Row],[Coluna6]]</f>
        <v>46018</v>
      </c>
    </row>
    <row r="229" spans="2:23" x14ac:dyDescent="0.2">
      <c r="B229" t="s">
        <v>71</v>
      </c>
      <c r="C229" t="s">
        <v>95</v>
      </c>
      <c r="D229" t="s">
        <v>13</v>
      </c>
      <c r="E229" s="8">
        <v>46018</v>
      </c>
      <c r="F229" t="s">
        <v>64</v>
      </c>
      <c r="G229" s="8">
        <v>46018</v>
      </c>
      <c r="H229" t="s">
        <v>443</v>
      </c>
      <c r="I229" t="e">
        <f>VLOOKUP(Tabela2[[#This Row],[Coluna7]],[1]!Tabela1[#All],2,0)</f>
        <v>#REF!</v>
      </c>
      <c r="J229" t="s">
        <v>744</v>
      </c>
      <c r="L229">
        <v>36.61</v>
      </c>
      <c r="Q229" s="10" t="str">
        <f>Tabela2[[#This Row],[Coluna5]]</f>
        <v>12/2025</v>
      </c>
      <c r="R229" s="10" t="str">
        <f>IF(Tabela2[[#This Row],[Coluna9]]&gt;0,"Entrada","Saída")</f>
        <v>Saída</v>
      </c>
      <c r="S229" s="10" t="str">
        <f>Tabela2[[#This Row],[Coluna8]]</f>
        <v xml:space="preserve">CARTÃO EFÍ </v>
      </c>
      <c r="T229" s="10" t="e">
        <f>Tabela2[[#This Row],[Coluna72]]</f>
        <v>#REF!</v>
      </c>
      <c r="U229" s="10">
        <f>SUM(Tabela2[[#This Row],[Coluna9]],Tabela2[[#This Row],[Coluna10]])</f>
        <v>36.61</v>
      </c>
      <c r="V229" s="2">
        <f>Tabela2[[#This Row],[Coluna4]]</f>
        <v>46018</v>
      </c>
      <c r="W229" s="2">
        <f>Tabela2[[#This Row],[Coluna6]]</f>
        <v>46018</v>
      </c>
    </row>
    <row r="230" spans="2:23" x14ac:dyDescent="0.2">
      <c r="B230" t="s">
        <v>71</v>
      </c>
      <c r="C230" t="s">
        <v>95</v>
      </c>
      <c r="D230" t="s">
        <v>13</v>
      </c>
      <c r="E230" s="8">
        <v>46018</v>
      </c>
      <c r="F230" t="s">
        <v>64</v>
      </c>
      <c r="G230" s="8">
        <v>46018</v>
      </c>
      <c r="H230" t="s">
        <v>570</v>
      </c>
      <c r="I230" t="e">
        <f>VLOOKUP(Tabela2[[#This Row],[Coluna7]],[1]!Tabela1[#All],2,0)</f>
        <v>#REF!</v>
      </c>
      <c r="J230" t="s">
        <v>744</v>
      </c>
      <c r="L230">
        <v>38</v>
      </c>
      <c r="Q230" s="10" t="str">
        <f>Tabela2[[#This Row],[Coluna5]]</f>
        <v>12/2025</v>
      </c>
      <c r="R230" s="10" t="str">
        <f>IF(Tabela2[[#This Row],[Coluna9]]&gt;0,"Entrada","Saída")</f>
        <v>Saída</v>
      </c>
      <c r="S230" s="10" t="str">
        <f>Tabela2[[#This Row],[Coluna8]]</f>
        <v xml:space="preserve">CARTÃO EFÍ </v>
      </c>
      <c r="T230" s="10" t="e">
        <f>Tabela2[[#This Row],[Coluna72]]</f>
        <v>#REF!</v>
      </c>
      <c r="U230" s="10">
        <f>SUM(Tabela2[[#This Row],[Coluna9]],Tabela2[[#This Row],[Coluna10]])</f>
        <v>38</v>
      </c>
      <c r="V230" s="2">
        <f>Tabela2[[#This Row],[Coluna4]]</f>
        <v>46018</v>
      </c>
      <c r="W230" s="2">
        <f>Tabela2[[#This Row],[Coluna6]]</f>
        <v>46018</v>
      </c>
    </row>
    <row r="231" spans="2:23" x14ac:dyDescent="0.2">
      <c r="B231" t="s">
        <v>71</v>
      </c>
      <c r="C231" t="s">
        <v>95</v>
      </c>
      <c r="D231" t="s">
        <v>13</v>
      </c>
      <c r="E231" s="8">
        <v>46018</v>
      </c>
      <c r="F231" t="s">
        <v>64</v>
      </c>
      <c r="G231" s="8">
        <v>46018</v>
      </c>
      <c r="H231" t="s">
        <v>570</v>
      </c>
      <c r="I231" t="e">
        <f>VLOOKUP(Tabela2[[#This Row],[Coluna7]],[1]!Tabela1[#All],2,0)</f>
        <v>#REF!</v>
      </c>
      <c r="J231" t="s">
        <v>744</v>
      </c>
      <c r="L231">
        <v>89.02</v>
      </c>
      <c r="Q231" s="10" t="str">
        <f>Tabela2[[#This Row],[Coluna5]]</f>
        <v>12/2025</v>
      </c>
      <c r="R231" s="10" t="str">
        <f>IF(Tabela2[[#This Row],[Coluna9]]&gt;0,"Entrada","Saída")</f>
        <v>Saída</v>
      </c>
      <c r="S231" s="10" t="str">
        <f>Tabela2[[#This Row],[Coluna8]]</f>
        <v xml:space="preserve">CARTÃO EFÍ </v>
      </c>
      <c r="T231" s="10" t="e">
        <f>Tabela2[[#This Row],[Coluna72]]</f>
        <v>#REF!</v>
      </c>
      <c r="U231" s="10">
        <f>SUM(Tabela2[[#This Row],[Coluna9]],Tabela2[[#This Row],[Coluna10]])</f>
        <v>89.02</v>
      </c>
      <c r="V231" s="2">
        <f>Tabela2[[#This Row],[Coluna4]]</f>
        <v>46018</v>
      </c>
      <c r="W231" s="2">
        <f>Tabela2[[#This Row],[Coluna6]]</f>
        <v>46018</v>
      </c>
    </row>
    <row r="232" spans="2:23" x14ac:dyDescent="0.2">
      <c r="B232" t="s">
        <v>71</v>
      </c>
      <c r="C232" t="s">
        <v>95</v>
      </c>
      <c r="D232" t="s">
        <v>13</v>
      </c>
      <c r="E232" s="8">
        <v>46018</v>
      </c>
      <c r="F232" t="s">
        <v>64</v>
      </c>
      <c r="G232" s="8">
        <v>46018</v>
      </c>
      <c r="H232" t="s">
        <v>443</v>
      </c>
      <c r="I232" t="e">
        <f>VLOOKUP(Tabela2[[#This Row],[Coluna7]],[1]!Tabela1[#All],2,0)</f>
        <v>#REF!</v>
      </c>
      <c r="J232" t="s">
        <v>744</v>
      </c>
      <c r="L232">
        <v>4.3899999999999997</v>
      </c>
      <c r="Q232" s="10" t="str">
        <f>Tabela2[[#This Row],[Coluna5]]</f>
        <v>12/2025</v>
      </c>
      <c r="R232" s="10" t="str">
        <f>IF(Tabela2[[#This Row],[Coluna9]]&gt;0,"Entrada","Saída")</f>
        <v>Saída</v>
      </c>
      <c r="S232" s="10" t="str">
        <f>Tabela2[[#This Row],[Coluna8]]</f>
        <v xml:space="preserve">CARTÃO EFÍ </v>
      </c>
      <c r="T232" s="10" t="e">
        <f>Tabela2[[#This Row],[Coluna72]]</f>
        <v>#REF!</v>
      </c>
      <c r="U232" s="10">
        <f>SUM(Tabela2[[#This Row],[Coluna9]],Tabela2[[#This Row],[Coluna10]])</f>
        <v>4.3899999999999997</v>
      </c>
      <c r="V232" s="2">
        <f>Tabela2[[#This Row],[Coluna4]]</f>
        <v>46018</v>
      </c>
      <c r="W232" s="2">
        <f>Tabela2[[#This Row],[Coluna6]]</f>
        <v>46018</v>
      </c>
    </row>
    <row r="233" spans="2:23" x14ac:dyDescent="0.2">
      <c r="B233" t="s">
        <v>71</v>
      </c>
      <c r="C233" t="s">
        <v>95</v>
      </c>
      <c r="D233" t="s">
        <v>13</v>
      </c>
      <c r="E233" s="8">
        <v>46018</v>
      </c>
      <c r="F233" t="s">
        <v>64</v>
      </c>
      <c r="G233" s="8">
        <v>46018</v>
      </c>
      <c r="H233" t="s">
        <v>570</v>
      </c>
      <c r="I233" t="e">
        <f>VLOOKUP(Tabela2[[#This Row],[Coluna7]],[1]!Tabela1[#All],2,0)</f>
        <v>#REF!</v>
      </c>
      <c r="J233" t="s">
        <v>744</v>
      </c>
      <c r="L233">
        <v>15</v>
      </c>
      <c r="Q233" s="10" t="str">
        <f>Tabela2[[#This Row],[Coluna5]]</f>
        <v>12/2025</v>
      </c>
      <c r="R233" s="10" t="str">
        <f>IF(Tabela2[[#This Row],[Coluna9]]&gt;0,"Entrada","Saída")</f>
        <v>Saída</v>
      </c>
      <c r="S233" s="10" t="str">
        <f>Tabela2[[#This Row],[Coluna8]]</f>
        <v xml:space="preserve">CARTÃO EFÍ </v>
      </c>
      <c r="T233" s="10" t="e">
        <f>Tabela2[[#This Row],[Coluna72]]</f>
        <v>#REF!</v>
      </c>
      <c r="U233" s="10">
        <f>SUM(Tabela2[[#This Row],[Coluna9]],Tabela2[[#This Row],[Coluna10]])</f>
        <v>15</v>
      </c>
      <c r="V233" s="2">
        <f>Tabela2[[#This Row],[Coluna4]]</f>
        <v>46018</v>
      </c>
      <c r="W233" s="2">
        <f>Tabela2[[#This Row],[Coluna6]]</f>
        <v>46018</v>
      </c>
    </row>
    <row r="234" spans="2:23" x14ac:dyDescent="0.2">
      <c r="B234" t="s">
        <v>71</v>
      </c>
      <c r="C234" t="s">
        <v>95</v>
      </c>
      <c r="D234" t="s">
        <v>13</v>
      </c>
      <c r="E234" s="8">
        <v>46018</v>
      </c>
      <c r="F234" t="s">
        <v>64</v>
      </c>
      <c r="G234" s="8">
        <v>46018</v>
      </c>
      <c r="H234" t="s">
        <v>443</v>
      </c>
      <c r="I234" t="e">
        <f>VLOOKUP(Tabela2[[#This Row],[Coluna7]],[1]!Tabela1[#All],2,0)</f>
        <v>#REF!</v>
      </c>
      <c r="J234" t="s">
        <v>744</v>
      </c>
      <c r="L234">
        <v>13</v>
      </c>
      <c r="Q234" s="10" t="str">
        <f>Tabela2[[#This Row],[Coluna5]]</f>
        <v>12/2025</v>
      </c>
      <c r="R234" s="10" t="str">
        <f>IF(Tabela2[[#This Row],[Coluna9]]&gt;0,"Entrada","Saída")</f>
        <v>Saída</v>
      </c>
      <c r="S234" s="10" t="str">
        <f>Tabela2[[#This Row],[Coluna8]]</f>
        <v xml:space="preserve">CARTÃO EFÍ </v>
      </c>
      <c r="T234" s="10" t="e">
        <f>Tabela2[[#This Row],[Coluna72]]</f>
        <v>#REF!</v>
      </c>
      <c r="U234" s="10">
        <f>SUM(Tabela2[[#This Row],[Coluna9]],Tabela2[[#This Row],[Coluna10]])</f>
        <v>13</v>
      </c>
      <c r="V234" s="2">
        <f>Tabela2[[#This Row],[Coluna4]]</f>
        <v>46018</v>
      </c>
      <c r="W234" s="2">
        <f>Tabela2[[#This Row],[Coluna6]]</f>
        <v>46018</v>
      </c>
    </row>
    <row r="235" spans="2:23" x14ac:dyDescent="0.2">
      <c r="B235" t="s">
        <v>71</v>
      </c>
      <c r="C235" t="s">
        <v>95</v>
      </c>
      <c r="D235" t="s">
        <v>13</v>
      </c>
      <c r="E235" s="8">
        <v>46018</v>
      </c>
      <c r="F235" t="s">
        <v>64</v>
      </c>
      <c r="G235" s="8">
        <v>46018</v>
      </c>
      <c r="H235" t="s">
        <v>443</v>
      </c>
      <c r="I235" t="e">
        <f>VLOOKUP(Tabela2[[#This Row],[Coluna7]],[1]!Tabela1[#All],2,0)</f>
        <v>#REF!</v>
      </c>
      <c r="J235" t="s">
        <v>744</v>
      </c>
      <c r="L235">
        <v>31.16</v>
      </c>
      <c r="Q235" s="10" t="str">
        <f>Tabela2[[#This Row],[Coluna5]]</f>
        <v>12/2025</v>
      </c>
      <c r="R235" s="10" t="str">
        <f>IF(Tabela2[[#This Row],[Coluna9]]&gt;0,"Entrada","Saída")</f>
        <v>Saída</v>
      </c>
      <c r="S235" s="10" t="str">
        <f>Tabela2[[#This Row],[Coluna8]]</f>
        <v xml:space="preserve">CARTÃO EFÍ </v>
      </c>
      <c r="T235" s="10" t="e">
        <f>Tabela2[[#This Row],[Coluna72]]</f>
        <v>#REF!</v>
      </c>
      <c r="U235" s="10">
        <f>SUM(Tabela2[[#This Row],[Coluna9]],Tabela2[[#This Row],[Coluna10]])</f>
        <v>31.16</v>
      </c>
      <c r="V235" s="2">
        <f>Tabela2[[#This Row],[Coluna4]]</f>
        <v>46018</v>
      </c>
      <c r="W235" s="2">
        <f>Tabela2[[#This Row],[Coluna6]]</f>
        <v>46018</v>
      </c>
    </row>
    <row r="236" spans="2:23" x14ac:dyDescent="0.2">
      <c r="B236" t="s">
        <v>71</v>
      </c>
      <c r="C236" t="s">
        <v>95</v>
      </c>
      <c r="D236" t="s">
        <v>13</v>
      </c>
      <c r="E236" s="8">
        <v>46018</v>
      </c>
      <c r="F236" t="s">
        <v>64</v>
      </c>
      <c r="G236" s="8">
        <v>46018</v>
      </c>
      <c r="H236" t="s">
        <v>443</v>
      </c>
      <c r="I236" t="e">
        <f>VLOOKUP(Tabela2[[#This Row],[Coluna7]],[1]!Tabela1[#All],2,0)</f>
        <v>#REF!</v>
      </c>
      <c r="J236" t="s">
        <v>744</v>
      </c>
      <c r="L236">
        <v>38</v>
      </c>
      <c r="Q236" s="10" t="str">
        <f>Tabela2[[#This Row],[Coluna5]]</f>
        <v>12/2025</v>
      </c>
      <c r="R236" s="10" t="str">
        <f>IF(Tabela2[[#This Row],[Coluna9]]&gt;0,"Entrada","Saída")</f>
        <v>Saída</v>
      </c>
      <c r="S236" s="10" t="str">
        <f>Tabela2[[#This Row],[Coluna8]]</f>
        <v xml:space="preserve">CARTÃO EFÍ </v>
      </c>
      <c r="T236" s="10" t="e">
        <f>Tabela2[[#This Row],[Coluna72]]</f>
        <v>#REF!</v>
      </c>
      <c r="U236" s="10">
        <f>SUM(Tabela2[[#This Row],[Coluna9]],Tabela2[[#This Row],[Coluna10]])</f>
        <v>38</v>
      </c>
      <c r="V236" s="2">
        <f>Tabela2[[#This Row],[Coluna4]]</f>
        <v>46018</v>
      </c>
      <c r="W236" s="2">
        <f>Tabela2[[#This Row],[Coluna6]]</f>
        <v>46018</v>
      </c>
    </row>
    <row r="237" spans="2:23" x14ac:dyDescent="0.2">
      <c r="B237" t="s">
        <v>71</v>
      </c>
      <c r="C237" t="s">
        <v>95</v>
      </c>
      <c r="D237" t="s">
        <v>13</v>
      </c>
      <c r="E237" s="8">
        <v>46018</v>
      </c>
      <c r="F237" t="s">
        <v>64</v>
      </c>
      <c r="G237" s="8">
        <v>46018</v>
      </c>
      <c r="H237" t="s">
        <v>443</v>
      </c>
      <c r="I237" t="e">
        <f>VLOOKUP(Tabela2[[#This Row],[Coluna7]],[1]!Tabela1[#All],2,0)</f>
        <v>#REF!</v>
      </c>
      <c r="J237" t="s">
        <v>744</v>
      </c>
      <c r="L237">
        <v>32.729999999999997</v>
      </c>
      <c r="Q237" s="10" t="str">
        <f>Tabela2[[#This Row],[Coluna5]]</f>
        <v>12/2025</v>
      </c>
      <c r="R237" s="10" t="str">
        <f>IF(Tabela2[[#This Row],[Coluna9]]&gt;0,"Entrada","Saída")</f>
        <v>Saída</v>
      </c>
      <c r="S237" s="10" t="str">
        <f>Tabela2[[#This Row],[Coluna8]]</f>
        <v xml:space="preserve">CARTÃO EFÍ </v>
      </c>
      <c r="T237" s="10" t="e">
        <f>Tabela2[[#This Row],[Coluna72]]</f>
        <v>#REF!</v>
      </c>
      <c r="U237" s="10">
        <f>SUM(Tabela2[[#This Row],[Coluna9]],Tabela2[[#This Row],[Coluna10]])</f>
        <v>32.729999999999997</v>
      </c>
      <c r="V237" s="2">
        <f>Tabela2[[#This Row],[Coluna4]]</f>
        <v>46018</v>
      </c>
      <c r="W237" s="2">
        <f>Tabela2[[#This Row],[Coluna6]]</f>
        <v>46018</v>
      </c>
    </row>
    <row r="238" spans="2:23" x14ac:dyDescent="0.2">
      <c r="B238" t="s">
        <v>71</v>
      </c>
      <c r="C238" t="s">
        <v>95</v>
      </c>
      <c r="D238" t="s">
        <v>13</v>
      </c>
      <c r="E238" s="8">
        <v>46018</v>
      </c>
      <c r="F238" t="s">
        <v>64</v>
      </c>
      <c r="G238" s="8">
        <v>46018</v>
      </c>
      <c r="H238" t="s">
        <v>443</v>
      </c>
      <c r="I238" t="e">
        <f>VLOOKUP(Tabela2[[#This Row],[Coluna7]],[1]!Tabela1[#All],2,0)</f>
        <v>#REF!</v>
      </c>
      <c r="J238" t="s">
        <v>744</v>
      </c>
      <c r="L238">
        <v>20.100000000000001</v>
      </c>
      <c r="Q238" s="10" t="str">
        <f>Tabela2[[#This Row],[Coluna5]]</f>
        <v>12/2025</v>
      </c>
      <c r="R238" s="10" t="str">
        <f>IF(Tabela2[[#This Row],[Coluna9]]&gt;0,"Entrada","Saída")</f>
        <v>Saída</v>
      </c>
      <c r="S238" s="10" t="str">
        <f>Tabela2[[#This Row],[Coluna8]]</f>
        <v xml:space="preserve">CARTÃO EFÍ </v>
      </c>
      <c r="T238" s="10" t="e">
        <f>Tabela2[[#This Row],[Coluna72]]</f>
        <v>#REF!</v>
      </c>
      <c r="U238" s="10">
        <f>SUM(Tabela2[[#This Row],[Coluna9]],Tabela2[[#This Row],[Coluna10]])</f>
        <v>20.100000000000001</v>
      </c>
      <c r="V238" s="2">
        <f>Tabela2[[#This Row],[Coluna4]]</f>
        <v>46018</v>
      </c>
      <c r="W238" s="2">
        <f>Tabela2[[#This Row],[Coluna6]]</f>
        <v>46018</v>
      </c>
    </row>
    <row r="239" spans="2:23" x14ac:dyDescent="0.2">
      <c r="B239" t="s">
        <v>71</v>
      </c>
      <c r="C239" t="s">
        <v>95</v>
      </c>
      <c r="D239" t="s">
        <v>13</v>
      </c>
      <c r="E239" s="8">
        <v>46018</v>
      </c>
      <c r="F239" t="s">
        <v>64</v>
      </c>
      <c r="G239" s="8">
        <v>46018</v>
      </c>
      <c r="H239" t="s">
        <v>443</v>
      </c>
      <c r="I239" t="e">
        <f>VLOOKUP(Tabela2[[#This Row],[Coluna7]],[1]!Tabela1[#All],2,0)</f>
        <v>#REF!</v>
      </c>
      <c r="J239" t="s">
        <v>744</v>
      </c>
      <c r="L239">
        <v>23.98</v>
      </c>
      <c r="Q239" s="10" t="str">
        <f>Tabela2[[#This Row],[Coluna5]]</f>
        <v>12/2025</v>
      </c>
      <c r="R239" s="10" t="str">
        <f>IF(Tabela2[[#This Row],[Coluna9]]&gt;0,"Entrada","Saída")</f>
        <v>Saída</v>
      </c>
      <c r="S239" s="10" t="str">
        <f>Tabela2[[#This Row],[Coluna8]]</f>
        <v xml:space="preserve">CARTÃO EFÍ </v>
      </c>
      <c r="T239" s="10" t="e">
        <f>Tabela2[[#This Row],[Coluna72]]</f>
        <v>#REF!</v>
      </c>
      <c r="U239" s="10">
        <f>SUM(Tabela2[[#This Row],[Coluna9]],Tabela2[[#This Row],[Coluna10]])</f>
        <v>23.98</v>
      </c>
      <c r="V239" s="2">
        <f>Tabela2[[#This Row],[Coluna4]]</f>
        <v>46018</v>
      </c>
      <c r="W239" s="2">
        <f>Tabela2[[#This Row],[Coluna6]]</f>
        <v>46018</v>
      </c>
    </row>
    <row r="240" spans="2:23" x14ac:dyDescent="0.2">
      <c r="B240" t="s">
        <v>71</v>
      </c>
      <c r="C240" t="s">
        <v>95</v>
      </c>
      <c r="D240" t="s">
        <v>13</v>
      </c>
      <c r="E240" s="8">
        <v>46018</v>
      </c>
      <c r="F240" t="s">
        <v>64</v>
      </c>
      <c r="G240" s="8">
        <v>46018</v>
      </c>
      <c r="H240" t="s">
        <v>570</v>
      </c>
      <c r="I240" t="e">
        <f>VLOOKUP(Tabela2[[#This Row],[Coluna7]],[1]!Tabela1[#All],2,0)</f>
        <v>#REF!</v>
      </c>
      <c r="J240" t="s">
        <v>744</v>
      </c>
      <c r="L240">
        <v>18.52</v>
      </c>
      <c r="Q240" s="10" t="str">
        <f>Tabela2[[#This Row],[Coluna5]]</f>
        <v>12/2025</v>
      </c>
      <c r="R240" s="10" t="str">
        <f>IF(Tabela2[[#This Row],[Coluna9]]&gt;0,"Entrada","Saída")</f>
        <v>Saída</v>
      </c>
      <c r="S240" s="10" t="str">
        <f>Tabela2[[#This Row],[Coluna8]]</f>
        <v xml:space="preserve">CARTÃO EFÍ </v>
      </c>
      <c r="T240" s="10" t="e">
        <f>Tabela2[[#This Row],[Coluna72]]</f>
        <v>#REF!</v>
      </c>
      <c r="U240" s="10">
        <f>SUM(Tabela2[[#This Row],[Coluna9]],Tabela2[[#This Row],[Coluna10]])</f>
        <v>18.52</v>
      </c>
      <c r="V240" s="2">
        <f>Tabela2[[#This Row],[Coluna4]]</f>
        <v>46018</v>
      </c>
      <c r="W240" s="2">
        <f>Tabela2[[#This Row],[Coluna6]]</f>
        <v>46018</v>
      </c>
    </row>
    <row r="241" spans="2:23" x14ac:dyDescent="0.2">
      <c r="B241" t="s">
        <v>71</v>
      </c>
      <c r="C241" t="s">
        <v>95</v>
      </c>
      <c r="D241" t="s">
        <v>13</v>
      </c>
      <c r="E241" s="8">
        <v>46018</v>
      </c>
      <c r="F241" t="s">
        <v>64</v>
      </c>
      <c r="G241" s="8">
        <v>46018</v>
      </c>
      <c r="H241" t="s">
        <v>443</v>
      </c>
      <c r="I241" t="e">
        <f>VLOOKUP(Tabela2[[#This Row],[Coluna7]],[1]!Tabela1[#All],2,0)</f>
        <v>#REF!</v>
      </c>
      <c r="J241" t="s">
        <v>744</v>
      </c>
      <c r="L241">
        <v>69.78</v>
      </c>
      <c r="Q241" s="10" t="str">
        <f>Tabela2[[#This Row],[Coluna5]]</f>
        <v>12/2025</v>
      </c>
      <c r="R241" s="10" t="str">
        <f>IF(Tabela2[[#This Row],[Coluna9]]&gt;0,"Entrada","Saída")</f>
        <v>Saída</v>
      </c>
      <c r="S241" s="10" t="str">
        <f>Tabela2[[#This Row],[Coluna8]]</f>
        <v xml:space="preserve">CARTÃO EFÍ </v>
      </c>
      <c r="T241" s="10" t="e">
        <f>Tabela2[[#This Row],[Coluna72]]</f>
        <v>#REF!</v>
      </c>
      <c r="U241" s="10">
        <f>SUM(Tabela2[[#This Row],[Coluna9]],Tabela2[[#This Row],[Coluna10]])</f>
        <v>69.78</v>
      </c>
      <c r="V241" s="2">
        <f>Tabela2[[#This Row],[Coluna4]]</f>
        <v>46018</v>
      </c>
      <c r="W241" s="2">
        <f>Tabela2[[#This Row],[Coluna6]]</f>
        <v>46018</v>
      </c>
    </row>
    <row r="242" spans="2:23" x14ac:dyDescent="0.2">
      <c r="B242" t="s">
        <v>71</v>
      </c>
      <c r="C242" t="s">
        <v>95</v>
      </c>
      <c r="D242" t="s">
        <v>13</v>
      </c>
      <c r="E242" s="8">
        <v>46018</v>
      </c>
      <c r="F242" t="s">
        <v>64</v>
      </c>
      <c r="G242" s="8">
        <v>46018</v>
      </c>
      <c r="H242" t="s">
        <v>443</v>
      </c>
      <c r="I242" t="e">
        <f>VLOOKUP(Tabela2[[#This Row],[Coluna7]],[1]!Tabela1[#All],2,0)</f>
        <v>#REF!</v>
      </c>
      <c r="J242" t="s">
        <v>744</v>
      </c>
      <c r="L242">
        <v>27.98</v>
      </c>
      <c r="Q242" s="10" t="str">
        <f>Tabela2[[#This Row],[Coluna5]]</f>
        <v>12/2025</v>
      </c>
      <c r="R242" s="10" t="str">
        <f>IF(Tabela2[[#This Row],[Coluna9]]&gt;0,"Entrada","Saída")</f>
        <v>Saída</v>
      </c>
      <c r="S242" s="10" t="str">
        <f>Tabela2[[#This Row],[Coluna8]]</f>
        <v xml:space="preserve">CARTÃO EFÍ </v>
      </c>
      <c r="T242" s="10" t="e">
        <f>Tabela2[[#This Row],[Coluna72]]</f>
        <v>#REF!</v>
      </c>
      <c r="U242" s="10">
        <f>SUM(Tabela2[[#This Row],[Coluna9]],Tabela2[[#This Row],[Coluna10]])</f>
        <v>27.98</v>
      </c>
      <c r="V242" s="2">
        <f>Tabela2[[#This Row],[Coluna4]]</f>
        <v>46018</v>
      </c>
      <c r="W242" s="2">
        <f>Tabela2[[#This Row],[Coluna6]]</f>
        <v>46018</v>
      </c>
    </row>
    <row r="243" spans="2:23" x14ac:dyDescent="0.2">
      <c r="B243" t="s">
        <v>71</v>
      </c>
      <c r="C243" t="s">
        <v>95</v>
      </c>
      <c r="D243" t="s">
        <v>13</v>
      </c>
      <c r="E243" s="8">
        <v>46018</v>
      </c>
      <c r="F243" t="s">
        <v>64</v>
      </c>
      <c r="G243" s="8">
        <v>46018</v>
      </c>
      <c r="H243" t="s">
        <v>443</v>
      </c>
      <c r="I243" t="e">
        <f>VLOOKUP(Tabela2[[#This Row],[Coluna7]],[1]!Tabela1[#All],2,0)</f>
        <v>#REF!</v>
      </c>
      <c r="J243" t="s">
        <v>744</v>
      </c>
      <c r="L243">
        <v>46.92</v>
      </c>
      <c r="Q243" s="10" t="str">
        <f>Tabela2[[#This Row],[Coluna5]]</f>
        <v>12/2025</v>
      </c>
      <c r="R243" s="10" t="str">
        <f>IF(Tabela2[[#This Row],[Coluna9]]&gt;0,"Entrada","Saída")</f>
        <v>Saída</v>
      </c>
      <c r="S243" s="10" t="str">
        <f>Tabela2[[#This Row],[Coluna8]]</f>
        <v xml:space="preserve">CARTÃO EFÍ </v>
      </c>
      <c r="T243" s="10" t="e">
        <f>Tabela2[[#This Row],[Coluna72]]</f>
        <v>#REF!</v>
      </c>
      <c r="U243" s="10">
        <f>SUM(Tabela2[[#This Row],[Coluna9]],Tabela2[[#This Row],[Coluna10]])</f>
        <v>46.92</v>
      </c>
      <c r="V243" s="2">
        <f>Tabela2[[#This Row],[Coluna4]]</f>
        <v>46018</v>
      </c>
      <c r="W243" s="2">
        <f>Tabela2[[#This Row],[Coluna6]]</f>
        <v>46018</v>
      </c>
    </row>
    <row r="244" spans="2:23" x14ac:dyDescent="0.2">
      <c r="B244" t="s">
        <v>71</v>
      </c>
      <c r="C244" t="s">
        <v>95</v>
      </c>
      <c r="D244" t="s">
        <v>13</v>
      </c>
      <c r="E244" s="8">
        <v>46018</v>
      </c>
      <c r="F244" t="s">
        <v>64</v>
      </c>
      <c r="G244" s="8">
        <v>46018</v>
      </c>
      <c r="H244" t="s">
        <v>443</v>
      </c>
      <c r="I244" t="e">
        <f>VLOOKUP(Tabela2[[#This Row],[Coluna7]],[1]!Tabela1[#All],2,0)</f>
        <v>#REF!</v>
      </c>
      <c r="J244" t="s">
        <v>744</v>
      </c>
      <c r="L244">
        <v>44.11</v>
      </c>
      <c r="Q244" s="10" t="str">
        <f>Tabela2[[#This Row],[Coluna5]]</f>
        <v>12/2025</v>
      </c>
      <c r="R244" s="10" t="str">
        <f>IF(Tabela2[[#This Row],[Coluna9]]&gt;0,"Entrada","Saída")</f>
        <v>Saída</v>
      </c>
      <c r="S244" s="10" t="str">
        <f>Tabela2[[#This Row],[Coluna8]]</f>
        <v xml:space="preserve">CARTÃO EFÍ </v>
      </c>
      <c r="T244" s="10" t="e">
        <f>Tabela2[[#This Row],[Coluna72]]</f>
        <v>#REF!</v>
      </c>
      <c r="U244" s="10">
        <f>SUM(Tabela2[[#This Row],[Coluna9]],Tabela2[[#This Row],[Coluna10]])</f>
        <v>44.11</v>
      </c>
      <c r="V244" s="2">
        <f>Tabela2[[#This Row],[Coluna4]]</f>
        <v>46018</v>
      </c>
      <c r="W244" s="2">
        <f>Tabela2[[#This Row],[Coluna6]]</f>
        <v>46018</v>
      </c>
    </row>
    <row r="245" spans="2:23" x14ac:dyDescent="0.2">
      <c r="B245" t="s">
        <v>71</v>
      </c>
      <c r="C245" t="s">
        <v>95</v>
      </c>
      <c r="D245" t="s">
        <v>13</v>
      </c>
      <c r="E245" s="8">
        <v>46018</v>
      </c>
      <c r="F245" t="s">
        <v>64</v>
      </c>
      <c r="G245" s="8">
        <v>46018</v>
      </c>
      <c r="H245" t="s">
        <v>443</v>
      </c>
      <c r="I245" t="e">
        <f>VLOOKUP(Tabela2[[#This Row],[Coluna7]],[1]!Tabela1[#All],2,0)</f>
        <v>#REF!</v>
      </c>
      <c r="J245" t="s">
        <v>744</v>
      </c>
      <c r="L245">
        <v>11.97</v>
      </c>
      <c r="Q245" s="10" t="str">
        <f>Tabela2[[#This Row],[Coluna5]]</f>
        <v>12/2025</v>
      </c>
      <c r="R245" s="10" t="str">
        <f>IF(Tabela2[[#This Row],[Coluna9]]&gt;0,"Entrada","Saída")</f>
        <v>Saída</v>
      </c>
      <c r="S245" s="10" t="str">
        <f>Tabela2[[#This Row],[Coluna8]]</f>
        <v xml:space="preserve">CARTÃO EFÍ </v>
      </c>
      <c r="T245" s="10" t="e">
        <f>Tabela2[[#This Row],[Coluna72]]</f>
        <v>#REF!</v>
      </c>
      <c r="U245" s="10">
        <f>SUM(Tabela2[[#This Row],[Coluna9]],Tabela2[[#This Row],[Coluna10]])</f>
        <v>11.97</v>
      </c>
      <c r="V245" s="2">
        <f>Tabela2[[#This Row],[Coluna4]]</f>
        <v>46018</v>
      </c>
      <c r="W245" s="2">
        <f>Tabela2[[#This Row],[Coluna6]]</f>
        <v>46018</v>
      </c>
    </row>
    <row r="246" spans="2:23" x14ac:dyDescent="0.2">
      <c r="B246" t="s">
        <v>71</v>
      </c>
      <c r="C246" t="s">
        <v>95</v>
      </c>
      <c r="D246" t="s">
        <v>13</v>
      </c>
      <c r="E246" s="8">
        <v>46018</v>
      </c>
      <c r="F246" t="s">
        <v>64</v>
      </c>
      <c r="G246" s="8">
        <v>46018</v>
      </c>
      <c r="H246" t="s">
        <v>443</v>
      </c>
      <c r="I246" t="e">
        <f>VLOOKUP(Tabela2[[#This Row],[Coluna7]],[1]!Tabela1[#All],2,0)</f>
        <v>#REF!</v>
      </c>
      <c r="J246" t="s">
        <v>744</v>
      </c>
      <c r="L246">
        <v>47</v>
      </c>
      <c r="Q246" s="10" t="str">
        <f>Tabela2[[#This Row],[Coluna5]]</f>
        <v>12/2025</v>
      </c>
      <c r="R246" s="10" t="str">
        <f>IF(Tabela2[[#This Row],[Coluna9]]&gt;0,"Entrada","Saída")</f>
        <v>Saída</v>
      </c>
      <c r="S246" s="10" t="str">
        <f>Tabela2[[#This Row],[Coluna8]]</f>
        <v xml:space="preserve">CARTÃO EFÍ </v>
      </c>
      <c r="T246" s="10" t="e">
        <f>Tabela2[[#This Row],[Coluna72]]</f>
        <v>#REF!</v>
      </c>
      <c r="U246" s="10">
        <f>SUM(Tabela2[[#This Row],[Coluna9]],Tabela2[[#This Row],[Coluna10]])</f>
        <v>47</v>
      </c>
      <c r="V246" s="2">
        <f>Tabela2[[#This Row],[Coluna4]]</f>
        <v>46018</v>
      </c>
      <c r="W246" s="2">
        <f>Tabela2[[#This Row],[Coluna6]]</f>
        <v>46018</v>
      </c>
    </row>
    <row r="247" spans="2:23" x14ac:dyDescent="0.2">
      <c r="B247" t="s">
        <v>71</v>
      </c>
      <c r="C247" t="s">
        <v>95</v>
      </c>
      <c r="D247" t="s">
        <v>13</v>
      </c>
      <c r="E247" s="8">
        <v>46018</v>
      </c>
      <c r="F247" t="s">
        <v>64</v>
      </c>
      <c r="G247" s="8">
        <v>46018</v>
      </c>
      <c r="H247" t="s">
        <v>469</v>
      </c>
      <c r="I247" t="e">
        <f>VLOOKUP(Tabela2[[#This Row],[Coluna7]],[1]!Tabela1[#All],2,0)</f>
        <v>#REF!</v>
      </c>
      <c r="J247" t="s">
        <v>744</v>
      </c>
      <c r="L247">
        <v>13</v>
      </c>
      <c r="Q247" s="10" t="str">
        <f>Tabela2[[#This Row],[Coluna5]]</f>
        <v>12/2025</v>
      </c>
      <c r="R247" s="10" t="str">
        <f>IF(Tabela2[[#This Row],[Coluna9]]&gt;0,"Entrada","Saída")</f>
        <v>Saída</v>
      </c>
      <c r="S247" s="10" t="str">
        <f>Tabela2[[#This Row],[Coluna8]]</f>
        <v xml:space="preserve">CARTÃO EFÍ </v>
      </c>
      <c r="T247" s="10" t="e">
        <f>Tabela2[[#This Row],[Coluna72]]</f>
        <v>#REF!</v>
      </c>
      <c r="U247" s="10">
        <f>SUM(Tabela2[[#This Row],[Coluna9]],Tabela2[[#This Row],[Coluna10]])</f>
        <v>13</v>
      </c>
      <c r="V247" s="2">
        <f>Tabela2[[#This Row],[Coluna4]]</f>
        <v>46018</v>
      </c>
      <c r="W247" s="2">
        <f>Tabela2[[#This Row],[Coluna6]]</f>
        <v>46018</v>
      </c>
    </row>
    <row r="248" spans="2:23" x14ac:dyDescent="0.2">
      <c r="B248" t="s">
        <v>71</v>
      </c>
      <c r="C248" t="s">
        <v>95</v>
      </c>
      <c r="D248" t="s">
        <v>13</v>
      </c>
      <c r="E248" s="8">
        <v>46018</v>
      </c>
      <c r="F248" t="s">
        <v>64</v>
      </c>
      <c r="G248" s="8">
        <v>46018</v>
      </c>
      <c r="H248" t="s">
        <v>443</v>
      </c>
      <c r="I248" t="e">
        <f>VLOOKUP(Tabela2[[#This Row],[Coluna7]],[1]!Tabela1[#All],2,0)</f>
        <v>#REF!</v>
      </c>
      <c r="J248" t="s">
        <v>744</v>
      </c>
      <c r="L248">
        <v>83.08</v>
      </c>
      <c r="Q248" s="10" t="str">
        <f>Tabela2[[#This Row],[Coluna5]]</f>
        <v>12/2025</v>
      </c>
      <c r="R248" s="10" t="str">
        <f>IF(Tabela2[[#This Row],[Coluna9]]&gt;0,"Entrada","Saída")</f>
        <v>Saída</v>
      </c>
      <c r="S248" s="10" t="str">
        <f>Tabela2[[#This Row],[Coluna8]]</f>
        <v xml:space="preserve">CARTÃO EFÍ </v>
      </c>
      <c r="T248" s="10" t="e">
        <f>Tabela2[[#This Row],[Coluna72]]</f>
        <v>#REF!</v>
      </c>
      <c r="U248" s="10">
        <f>SUM(Tabela2[[#This Row],[Coluna9]],Tabela2[[#This Row],[Coluna10]])</f>
        <v>83.08</v>
      </c>
      <c r="V248" s="2">
        <f>Tabela2[[#This Row],[Coluna4]]</f>
        <v>46018</v>
      </c>
      <c r="W248" s="2">
        <f>Tabela2[[#This Row],[Coluna6]]</f>
        <v>46018</v>
      </c>
    </row>
    <row r="249" spans="2:23" x14ac:dyDescent="0.2">
      <c r="B249" t="s">
        <v>71</v>
      </c>
      <c r="C249" t="s">
        <v>95</v>
      </c>
      <c r="D249" t="s">
        <v>13</v>
      </c>
      <c r="E249" s="8">
        <v>46018</v>
      </c>
      <c r="F249" t="s">
        <v>64</v>
      </c>
      <c r="G249" s="8">
        <v>46018</v>
      </c>
      <c r="H249" t="s">
        <v>570</v>
      </c>
      <c r="I249" t="e">
        <f>VLOOKUP(Tabela2[[#This Row],[Coluna7]],[1]!Tabela1[#All],2,0)</f>
        <v>#REF!</v>
      </c>
      <c r="J249" t="s">
        <v>744</v>
      </c>
      <c r="L249">
        <v>50.8</v>
      </c>
      <c r="Q249" s="10" t="str">
        <f>Tabela2[[#This Row],[Coluna5]]</f>
        <v>12/2025</v>
      </c>
      <c r="R249" s="10" t="str">
        <f>IF(Tabela2[[#This Row],[Coluna9]]&gt;0,"Entrada","Saída")</f>
        <v>Saída</v>
      </c>
      <c r="S249" s="10" t="str">
        <f>Tabela2[[#This Row],[Coluna8]]</f>
        <v xml:space="preserve">CARTÃO EFÍ </v>
      </c>
      <c r="T249" s="10" t="e">
        <f>Tabela2[[#This Row],[Coluna72]]</f>
        <v>#REF!</v>
      </c>
      <c r="U249" s="10">
        <f>SUM(Tabela2[[#This Row],[Coluna9]],Tabela2[[#This Row],[Coluna10]])</f>
        <v>50.8</v>
      </c>
      <c r="V249" s="2">
        <f>Tabela2[[#This Row],[Coluna4]]</f>
        <v>46018</v>
      </c>
      <c r="W249" s="2">
        <f>Tabela2[[#This Row],[Coluna6]]</f>
        <v>46018</v>
      </c>
    </row>
    <row r="250" spans="2:23" x14ac:dyDescent="0.2">
      <c r="B250" t="s">
        <v>71</v>
      </c>
      <c r="C250" t="s">
        <v>95</v>
      </c>
      <c r="D250" t="s">
        <v>13</v>
      </c>
      <c r="E250" s="8">
        <v>46018</v>
      </c>
      <c r="F250" t="s">
        <v>64</v>
      </c>
      <c r="G250" s="8">
        <v>46018</v>
      </c>
      <c r="H250" t="s">
        <v>570</v>
      </c>
      <c r="I250" t="e">
        <f>VLOOKUP(Tabela2[[#This Row],[Coluna7]],[1]!Tabela1[#All],2,0)</f>
        <v>#REF!</v>
      </c>
      <c r="J250" t="s">
        <v>744</v>
      </c>
      <c r="L250">
        <v>10.88</v>
      </c>
      <c r="Q250" s="10" t="str">
        <f>Tabela2[[#This Row],[Coluna5]]</f>
        <v>12/2025</v>
      </c>
      <c r="R250" s="10" t="str">
        <f>IF(Tabela2[[#This Row],[Coluna9]]&gt;0,"Entrada","Saída")</f>
        <v>Saída</v>
      </c>
      <c r="S250" s="10" t="str">
        <f>Tabela2[[#This Row],[Coluna8]]</f>
        <v xml:space="preserve">CARTÃO EFÍ </v>
      </c>
      <c r="T250" s="10" t="e">
        <f>Tabela2[[#This Row],[Coluna72]]</f>
        <v>#REF!</v>
      </c>
      <c r="U250" s="10">
        <f>SUM(Tabela2[[#This Row],[Coluna9]],Tabela2[[#This Row],[Coluna10]])</f>
        <v>10.88</v>
      </c>
      <c r="V250" s="2">
        <f>Tabela2[[#This Row],[Coluna4]]</f>
        <v>46018</v>
      </c>
      <c r="W250" s="2">
        <f>Tabela2[[#This Row],[Coluna6]]</f>
        <v>46018</v>
      </c>
    </row>
    <row r="251" spans="2:23" x14ac:dyDescent="0.2">
      <c r="B251" t="s">
        <v>71</v>
      </c>
      <c r="C251" t="s">
        <v>95</v>
      </c>
      <c r="D251" t="s">
        <v>13</v>
      </c>
      <c r="E251" s="8">
        <v>46018</v>
      </c>
      <c r="F251" t="s">
        <v>64</v>
      </c>
      <c r="G251" s="8">
        <v>46018</v>
      </c>
      <c r="H251" t="s">
        <v>443</v>
      </c>
      <c r="I251" t="e">
        <f>VLOOKUP(Tabela2[[#This Row],[Coluna7]],[1]!Tabela1[#All],2,0)</f>
        <v>#REF!</v>
      </c>
      <c r="J251" t="s">
        <v>744</v>
      </c>
      <c r="L251">
        <v>60.86</v>
      </c>
      <c r="Q251" s="10" t="str">
        <f>Tabela2[[#This Row],[Coluna5]]</f>
        <v>12/2025</v>
      </c>
      <c r="R251" s="10" t="str">
        <f>IF(Tabela2[[#This Row],[Coluna9]]&gt;0,"Entrada","Saída")</f>
        <v>Saída</v>
      </c>
      <c r="S251" s="10" t="str">
        <f>Tabela2[[#This Row],[Coluna8]]</f>
        <v xml:space="preserve">CARTÃO EFÍ </v>
      </c>
      <c r="T251" s="10" t="e">
        <f>Tabela2[[#This Row],[Coluna72]]</f>
        <v>#REF!</v>
      </c>
      <c r="U251" s="10">
        <f>SUM(Tabela2[[#This Row],[Coluna9]],Tabela2[[#This Row],[Coluna10]])</f>
        <v>60.86</v>
      </c>
      <c r="V251" s="2">
        <f>Tabela2[[#This Row],[Coluna4]]</f>
        <v>46018</v>
      </c>
      <c r="W251" s="2">
        <f>Tabela2[[#This Row],[Coluna6]]</f>
        <v>46018</v>
      </c>
    </row>
    <row r="252" spans="2:23" x14ac:dyDescent="0.2">
      <c r="B252" t="s">
        <v>71</v>
      </c>
      <c r="C252" t="s">
        <v>95</v>
      </c>
      <c r="D252" t="s">
        <v>13</v>
      </c>
      <c r="E252" s="8">
        <v>46018</v>
      </c>
      <c r="F252" t="s">
        <v>64</v>
      </c>
      <c r="G252" s="8">
        <v>46018</v>
      </c>
      <c r="H252" t="s">
        <v>443</v>
      </c>
      <c r="I252" t="e">
        <f>VLOOKUP(Tabela2[[#This Row],[Coluna7]],[1]!Tabela1[#All],2,0)</f>
        <v>#REF!</v>
      </c>
      <c r="J252" t="s">
        <v>744</v>
      </c>
      <c r="L252">
        <v>55.32</v>
      </c>
      <c r="Q252" s="10" t="str">
        <f>Tabela2[[#This Row],[Coluna5]]</f>
        <v>12/2025</v>
      </c>
      <c r="R252" s="10" t="str">
        <f>IF(Tabela2[[#This Row],[Coluna9]]&gt;0,"Entrada","Saída")</f>
        <v>Saída</v>
      </c>
      <c r="S252" s="10" t="str">
        <f>Tabela2[[#This Row],[Coluna8]]</f>
        <v xml:space="preserve">CARTÃO EFÍ </v>
      </c>
      <c r="T252" s="10" t="e">
        <f>Tabela2[[#This Row],[Coluna72]]</f>
        <v>#REF!</v>
      </c>
      <c r="U252" s="10">
        <f>SUM(Tabela2[[#This Row],[Coluna9]],Tabela2[[#This Row],[Coluna10]])</f>
        <v>55.32</v>
      </c>
      <c r="V252" s="2">
        <f>Tabela2[[#This Row],[Coluna4]]</f>
        <v>46018</v>
      </c>
      <c r="W252" s="2">
        <f>Tabela2[[#This Row],[Coluna6]]</f>
        <v>46018</v>
      </c>
    </row>
    <row r="253" spans="2:23" x14ac:dyDescent="0.2">
      <c r="B253" t="s">
        <v>71</v>
      </c>
      <c r="C253" t="s">
        <v>95</v>
      </c>
      <c r="D253" t="s">
        <v>13</v>
      </c>
      <c r="E253" s="8">
        <v>46018</v>
      </c>
      <c r="F253" t="s">
        <v>64</v>
      </c>
      <c r="G253" s="8">
        <v>46018</v>
      </c>
      <c r="H253" t="s">
        <v>570</v>
      </c>
      <c r="I253" t="e">
        <f>VLOOKUP(Tabela2[[#This Row],[Coluna7]],[1]!Tabela1[#All],2,0)</f>
        <v>#REF!</v>
      </c>
      <c r="J253" t="s">
        <v>744</v>
      </c>
      <c r="L253">
        <v>10</v>
      </c>
      <c r="Q253" s="10" t="str">
        <f>Tabela2[[#This Row],[Coluna5]]</f>
        <v>12/2025</v>
      </c>
      <c r="R253" s="10" t="str">
        <f>IF(Tabela2[[#This Row],[Coluna9]]&gt;0,"Entrada","Saída")</f>
        <v>Saída</v>
      </c>
      <c r="S253" s="10" t="str">
        <f>Tabela2[[#This Row],[Coluna8]]</f>
        <v xml:space="preserve">CARTÃO EFÍ </v>
      </c>
      <c r="T253" s="10" t="e">
        <f>Tabela2[[#This Row],[Coluna72]]</f>
        <v>#REF!</v>
      </c>
      <c r="U253" s="10">
        <f>SUM(Tabela2[[#This Row],[Coluna9]],Tabela2[[#This Row],[Coluna10]])</f>
        <v>10</v>
      </c>
      <c r="V253" s="2">
        <f>Tabela2[[#This Row],[Coluna4]]</f>
        <v>46018</v>
      </c>
      <c r="W253" s="2">
        <f>Tabela2[[#This Row],[Coluna6]]</f>
        <v>46018</v>
      </c>
    </row>
    <row r="254" spans="2:23" x14ac:dyDescent="0.2">
      <c r="B254" t="s">
        <v>71</v>
      </c>
      <c r="C254" t="s">
        <v>95</v>
      </c>
      <c r="D254" t="s">
        <v>13</v>
      </c>
      <c r="E254" s="8">
        <v>46018</v>
      </c>
      <c r="F254" t="s">
        <v>64</v>
      </c>
      <c r="G254" s="8">
        <v>46018</v>
      </c>
      <c r="H254" t="s">
        <v>443</v>
      </c>
      <c r="I254" t="e">
        <f>VLOOKUP(Tabela2[[#This Row],[Coluna7]],[1]!Tabela1[#All],2,0)</f>
        <v>#REF!</v>
      </c>
      <c r="J254" t="s">
        <v>744</v>
      </c>
      <c r="L254">
        <v>52.52</v>
      </c>
      <c r="Q254" s="10" t="str">
        <f>Tabela2[[#This Row],[Coluna5]]</f>
        <v>12/2025</v>
      </c>
      <c r="R254" s="10" t="str">
        <f>IF(Tabela2[[#This Row],[Coluna9]]&gt;0,"Entrada","Saída")</f>
        <v>Saída</v>
      </c>
      <c r="S254" s="10" t="str">
        <f>Tabela2[[#This Row],[Coluna8]]</f>
        <v xml:space="preserve">CARTÃO EFÍ </v>
      </c>
      <c r="T254" s="10" t="e">
        <f>Tabela2[[#This Row],[Coluna72]]</f>
        <v>#REF!</v>
      </c>
      <c r="U254" s="10">
        <f>SUM(Tabela2[[#This Row],[Coluna9]],Tabela2[[#This Row],[Coluna10]])</f>
        <v>52.52</v>
      </c>
      <c r="V254" s="2">
        <f>Tabela2[[#This Row],[Coluna4]]</f>
        <v>46018</v>
      </c>
      <c r="W254" s="2">
        <f>Tabela2[[#This Row],[Coluna6]]</f>
        <v>46018</v>
      </c>
    </row>
    <row r="255" spans="2:23" x14ac:dyDescent="0.2">
      <c r="B255" t="s">
        <v>71</v>
      </c>
      <c r="C255" t="s">
        <v>95</v>
      </c>
      <c r="D255" t="s">
        <v>13</v>
      </c>
      <c r="E255" s="8">
        <v>46018</v>
      </c>
      <c r="F255" t="s">
        <v>64</v>
      </c>
      <c r="G255" s="8">
        <v>46018</v>
      </c>
      <c r="H255" t="s">
        <v>443</v>
      </c>
      <c r="I255" t="e">
        <f>VLOOKUP(Tabela2[[#This Row],[Coluna7]],[1]!Tabela1[#All],2,0)</f>
        <v>#REF!</v>
      </c>
      <c r="J255" t="s">
        <v>744</v>
      </c>
      <c r="L255">
        <v>11.04</v>
      </c>
      <c r="Q255" s="10" t="str">
        <f>Tabela2[[#This Row],[Coluna5]]</f>
        <v>12/2025</v>
      </c>
      <c r="R255" s="10" t="str">
        <f>IF(Tabela2[[#This Row],[Coluna9]]&gt;0,"Entrada","Saída")</f>
        <v>Saída</v>
      </c>
      <c r="S255" s="10" t="str">
        <f>Tabela2[[#This Row],[Coluna8]]</f>
        <v xml:space="preserve">CARTÃO EFÍ </v>
      </c>
      <c r="T255" s="10" t="e">
        <f>Tabela2[[#This Row],[Coluna72]]</f>
        <v>#REF!</v>
      </c>
      <c r="U255" s="10">
        <f>SUM(Tabela2[[#This Row],[Coluna9]],Tabela2[[#This Row],[Coluna10]])</f>
        <v>11.04</v>
      </c>
      <c r="V255" s="2">
        <f>Tabela2[[#This Row],[Coluna4]]</f>
        <v>46018</v>
      </c>
      <c r="W255" s="2">
        <f>Tabela2[[#This Row],[Coluna6]]</f>
        <v>46018</v>
      </c>
    </row>
    <row r="256" spans="2:23" x14ac:dyDescent="0.2">
      <c r="B256" t="s">
        <v>71</v>
      </c>
      <c r="C256" t="s">
        <v>95</v>
      </c>
      <c r="D256" t="s">
        <v>13</v>
      </c>
      <c r="E256" s="8">
        <v>46018</v>
      </c>
      <c r="F256" t="s">
        <v>64</v>
      </c>
      <c r="G256" s="8">
        <v>46018</v>
      </c>
      <c r="H256" t="s">
        <v>570</v>
      </c>
      <c r="I256" t="e">
        <f>VLOOKUP(Tabela2[[#This Row],[Coluna7]],[1]!Tabela1[#All],2,0)</f>
        <v>#REF!</v>
      </c>
      <c r="J256" t="s">
        <v>744</v>
      </c>
      <c r="L256">
        <v>9.8000000000000007</v>
      </c>
      <c r="Q256" s="10" t="str">
        <f>Tabela2[[#This Row],[Coluna5]]</f>
        <v>12/2025</v>
      </c>
      <c r="R256" s="10" t="str">
        <f>IF(Tabela2[[#This Row],[Coluna9]]&gt;0,"Entrada","Saída")</f>
        <v>Saída</v>
      </c>
      <c r="S256" s="10" t="str">
        <f>Tabela2[[#This Row],[Coluna8]]</f>
        <v xml:space="preserve">CARTÃO EFÍ </v>
      </c>
      <c r="T256" s="10" t="e">
        <f>Tabela2[[#This Row],[Coluna72]]</f>
        <v>#REF!</v>
      </c>
      <c r="U256" s="10">
        <f>SUM(Tabela2[[#This Row],[Coluna9]],Tabela2[[#This Row],[Coluna10]])</f>
        <v>9.8000000000000007</v>
      </c>
      <c r="V256" s="2">
        <f>Tabela2[[#This Row],[Coluna4]]</f>
        <v>46018</v>
      </c>
      <c r="W256" s="2">
        <f>Tabela2[[#This Row],[Coluna6]]</f>
        <v>46018</v>
      </c>
    </row>
    <row r="257" spans="2:23" hidden="1" x14ac:dyDescent="0.2">
      <c r="B257" t="s">
        <v>71</v>
      </c>
      <c r="C257" t="s">
        <v>95</v>
      </c>
      <c r="D257" t="s">
        <v>13</v>
      </c>
      <c r="E257" s="8">
        <v>46018</v>
      </c>
      <c r="F257" t="s">
        <v>64</v>
      </c>
      <c r="G257" s="8">
        <v>46018</v>
      </c>
      <c r="H257" t="s">
        <v>747</v>
      </c>
      <c r="I257" t="e">
        <f>VLOOKUP(Tabela2[[#This Row],[Coluna7]],[1]!Tabela1[#All],2,0)</f>
        <v>#REF!</v>
      </c>
      <c r="J257" t="s">
        <v>744</v>
      </c>
      <c r="L257">
        <v>500</v>
      </c>
      <c r="Q257" s="10" t="str">
        <f>Tabela2[[#This Row],[Coluna5]]</f>
        <v>12/2025</v>
      </c>
      <c r="R257" s="10" t="str">
        <f>IF(Tabela2[[#This Row],[Coluna9]]&gt;0,"Entrada","Saída")</f>
        <v>Saída</v>
      </c>
      <c r="S257" s="10" t="str">
        <f>Tabela2[[#This Row],[Coluna8]]</f>
        <v xml:space="preserve">CARTÃO EFÍ </v>
      </c>
      <c r="T257" s="10" t="e">
        <f>Tabela2[[#This Row],[Coluna72]]</f>
        <v>#REF!</v>
      </c>
      <c r="U257" s="10">
        <f>SUM(Tabela2[[#This Row],[Coluna9]],Tabela2[[#This Row],[Coluna10]])</f>
        <v>500</v>
      </c>
      <c r="V257" s="2">
        <f>Tabela2[[#This Row],[Coluna4]]</f>
        <v>46018</v>
      </c>
      <c r="W257" s="2">
        <f>Tabela2[[#This Row],[Coluna6]]</f>
        <v>46018</v>
      </c>
    </row>
    <row r="258" spans="2:23" x14ac:dyDescent="0.2">
      <c r="B258" t="s">
        <v>71</v>
      </c>
      <c r="C258" t="s">
        <v>95</v>
      </c>
      <c r="D258" t="s">
        <v>13</v>
      </c>
      <c r="E258" s="8">
        <v>46018</v>
      </c>
      <c r="F258" t="s">
        <v>64</v>
      </c>
      <c r="G258" s="8">
        <v>46018</v>
      </c>
      <c r="H258" t="s">
        <v>445</v>
      </c>
      <c r="I258" t="e">
        <f>VLOOKUP(Tabela2[[#This Row],[Coluna7]],[1]!Tabela1[#All],2,0)</f>
        <v>#REF!</v>
      </c>
      <c r="J258" t="s">
        <v>744</v>
      </c>
      <c r="L258">
        <v>587.4</v>
      </c>
      <c r="Q258" s="10" t="str">
        <f>Tabela2[[#This Row],[Coluna5]]</f>
        <v>12/2025</v>
      </c>
      <c r="R258" s="10" t="str">
        <f>IF(Tabela2[[#This Row],[Coluna9]]&gt;0,"Entrada","Saída")</f>
        <v>Saída</v>
      </c>
      <c r="S258" s="10" t="str">
        <f>Tabela2[[#This Row],[Coluna8]]</f>
        <v xml:space="preserve">CARTÃO EFÍ </v>
      </c>
      <c r="T258" s="10" t="e">
        <f>Tabela2[[#This Row],[Coluna72]]</f>
        <v>#REF!</v>
      </c>
      <c r="U258" s="10">
        <f>SUM(Tabela2[[#This Row],[Coluna9]],Tabela2[[#This Row],[Coluna10]])</f>
        <v>587.4</v>
      </c>
      <c r="V258" s="2">
        <f>Tabela2[[#This Row],[Coluna4]]</f>
        <v>46018</v>
      </c>
      <c r="W258" s="2">
        <f>Tabela2[[#This Row],[Coluna6]]</f>
        <v>46018</v>
      </c>
    </row>
    <row r="259" spans="2:23" hidden="1" x14ac:dyDescent="0.2">
      <c r="B259" t="s">
        <v>71</v>
      </c>
      <c r="C259" t="s">
        <v>95</v>
      </c>
      <c r="D259" t="s">
        <v>13</v>
      </c>
      <c r="E259" s="8">
        <v>46018</v>
      </c>
      <c r="F259" t="s">
        <v>64</v>
      </c>
      <c r="G259" s="8">
        <v>46018</v>
      </c>
      <c r="H259" t="s">
        <v>747</v>
      </c>
      <c r="I259" t="e">
        <f>VLOOKUP(Tabela2[[#This Row],[Coluna7]],[1]!Tabela1[#All],2,0)</f>
        <v>#REF!</v>
      </c>
      <c r="J259" t="s">
        <v>744</v>
      </c>
      <c r="L259">
        <v>500</v>
      </c>
      <c r="Q259" s="10" t="str">
        <f>Tabela2[[#This Row],[Coluna5]]</f>
        <v>12/2025</v>
      </c>
      <c r="R259" s="10" t="str">
        <f>IF(Tabela2[[#This Row],[Coluna9]]&gt;0,"Entrada","Saída")</f>
        <v>Saída</v>
      </c>
      <c r="S259" s="10" t="str">
        <f>Tabela2[[#This Row],[Coluna8]]</f>
        <v xml:space="preserve">CARTÃO EFÍ </v>
      </c>
      <c r="T259" s="10" t="e">
        <f>Tabela2[[#This Row],[Coluna72]]</f>
        <v>#REF!</v>
      </c>
      <c r="U259" s="10">
        <f>SUM(Tabela2[[#This Row],[Coluna9]],Tabela2[[#This Row],[Coluna10]])</f>
        <v>500</v>
      </c>
      <c r="V259" s="2">
        <f>Tabela2[[#This Row],[Coluna4]]</f>
        <v>46018</v>
      </c>
      <c r="W259" s="2">
        <f>Tabela2[[#This Row],[Coluna6]]</f>
        <v>46018</v>
      </c>
    </row>
    <row r="260" spans="2:23" x14ac:dyDescent="0.2">
      <c r="B260" t="s">
        <v>12</v>
      </c>
      <c r="C260" t="s">
        <v>95</v>
      </c>
      <c r="D260" t="s">
        <v>13</v>
      </c>
      <c r="E260" s="8">
        <v>46018</v>
      </c>
      <c r="F260" t="s">
        <v>64</v>
      </c>
      <c r="G260" s="8">
        <v>46018</v>
      </c>
      <c r="H260" t="s">
        <v>693</v>
      </c>
      <c r="I260" t="e">
        <f>VLOOKUP(Tabela2[[#This Row],[Coluna7]],[1]!Tabela1[#All],2,0)</f>
        <v>#REF!</v>
      </c>
      <c r="J260" t="s">
        <v>743</v>
      </c>
      <c r="L260">
        <v>16.989999999999998</v>
      </c>
      <c r="Q260" s="10" t="str">
        <f>Tabela2[[#This Row],[Coluna5]]</f>
        <v>12/2025</v>
      </c>
      <c r="R260" s="10" t="str">
        <f>IF(Tabela2[[#This Row],[Coluna9]]&gt;0,"Entrada","Saída")</f>
        <v>Saída</v>
      </c>
      <c r="S260" s="10" t="str">
        <f>Tabela2[[#This Row],[Coluna8]]</f>
        <v>CARTÃO CARREFOUR</v>
      </c>
      <c r="T260" s="10" t="e">
        <f>Tabela2[[#This Row],[Coluna72]]</f>
        <v>#REF!</v>
      </c>
      <c r="U260" s="10">
        <f>SUM(Tabela2[[#This Row],[Coluna9]],Tabela2[[#This Row],[Coluna10]])</f>
        <v>16.989999999999998</v>
      </c>
      <c r="V260" s="2">
        <f>Tabela2[[#This Row],[Coluna4]]</f>
        <v>46018</v>
      </c>
      <c r="W260" s="2">
        <f>Tabela2[[#This Row],[Coluna6]]</f>
        <v>46018</v>
      </c>
    </row>
    <row r="261" spans="2:23" x14ac:dyDescent="0.2">
      <c r="B261" t="s">
        <v>12</v>
      </c>
      <c r="C261" t="s">
        <v>95</v>
      </c>
      <c r="D261" t="s">
        <v>13</v>
      </c>
      <c r="E261" s="8">
        <v>46018</v>
      </c>
      <c r="F261" t="s">
        <v>64</v>
      </c>
      <c r="G261" s="8">
        <v>46018</v>
      </c>
      <c r="H261" t="s">
        <v>435</v>
      </c>
      <c r="I261" t="e">
        <f>VLOOKUP(Tabela2[[#This Row],[Coluna7]],[1]!Tabela1[#All],2,0)</f>
        <v>#REF!</v>
      </c>
      <c r="J261" t="s">
        <v>743</v>
      </c>
      <c r="L261">
        <v>221.08</v>
      </c>
      <c r="Q261" s="10" t="str">
        <f>Tabela2[[#This Row],[Coluna5]]</f>
        <v>12/2025</v>
      </c>
      <c r="R261" s="10" t="str">
        <f>IF(Tabela2[[#This Row],[Coluna9]]&gt;0,"Entrada","Saída")</f>
        <v>Saída</v>
      </c>
      <c r="S261" s="10" t="str">
        <f>Tabela2[[#This Row],[Coluna8]]</f>
        <v>CARTÃO CARREFOUR</v>
      </c>
      <c r="T261" s="10" t="e">
        <f>Tabela2[[#This Row],[Coluna72]]</f>
        <v>#REF!</v>
      </c>
      <c r="U261" s="10">
        <f>SUM(Tabela2[[#This Row],[Coluna9]],Tabela2[[#This Row],[Coluna10]])</f>
        <v>221.08</v>
      </c>
      <c r="V261" s="2">
        <f>Tabela2[[#This Row],[Coluna4]]</f>
        <v>46018</v>
      </c>
      <c r="W261" s="2">
        <f>Tabela2[[#This Row],[Coluna6]]</f>
        <v>46018</v>
      </c>
    </row>
    <row r="262" spans="2:23" x14ac:dyDescent="0.2">
      <c r="B262" t="s">
        <v>12</v>
      </c>
      <c r="C262" t="s">
        <v>95</v>
      </c>
      <c r="D262" t="s">
        <v>13</v>
      </c>
      <c r="E262" s="8">
        <v>46018</v>
      </c>
      <c r="F262" t="s">
        <v>64</v>
      </c>
      <c r="G262" s="8">
        <v>46018</v>
      </c>
      <c r="H262" t="s">
        <v>445</v>
      </c>
      <c r="I262" t="e">
        <f>VLOOKUP(Tabela2[[#This Row],[Coluna7]],[1]!Tabela1[#All],2,0)</f>
        <v>#REF!</v>
      </c>
      <c r="J262" t="s">
        <v>743</v>
      </c>
      <c r="L262">
        <v>58</v>
      </c>
      <c r="Q262" s="10" t="str">
        <f>Tabela2[[#This Row],[Coluna5]]</f>
        <v>12/2025</v>
      </c>
      <c r="R262" s="10" t="str">
        <f>IF(Tabela2[[#This Row],[Coluna9]]&gt;0,"Entrada","Saída")</f>
        <v>Saída</v>
      </c>
      <c r="S262" s="10" t="str">
        <f>Tabela2[[#This Row],[Coluna8]]</f>
        <v>CARTÃO CARREFOUR</v>
      </c>
      <c r="T262" s="10" t="e">
        <f>Tabela2[[#This Row],[Coluna72]]</f>
        <v>#REF!</v>
      </c>
      <c r="U262" s="10">
        <f>SUM(Tabela2[[#This Row],[Coluna9]],Tabela2[[#This Row],[Coluna10]])</f>
        <v>58</v>
      </c>
      <c r="V262" s="2">
        <f>Tabela2[[#This Row],[Coluna4]]</f>
        <v>46018</v>
      </c>
      <c r="W262" s="2">
        <f>Tabela2[[#This Row],[Coluna6]]</f>
        <v>46018</v>
      </c>
    </row>
    <row r="263" spans="2:23" x14ac:dyDescent="0.2">
      <c r="B263" t="s">
        <v>18</v>
      </c>
      <c r="C263" t="s">
        <v>95</v>
      </c>
      <c r="D263" t="s">
        <v>13</v>
      </c>
      <c r="E263" s="8">
        <v>45966</v>
      </c>
      <c r="F263" t="s">
        <v>84</v>
      </c>
      <c r="G263" s="8">
        <v>46029</v>
      </c>
      <c r="H263" t="s">
        <v>570</v>
      </c>
      <c r="I263" t="e">
        <f>VLOOKUP(Tabela2[[#This Row],[Coluna7]],[1]!Tabela1[#All],2,0)</f>
        <v>#REF!</v>
      </c>
      <c r="J263" t="s">
        <v>744</v>
      </c>
      <c r="L263">
        <v>89.02</v>
      </c>
      <c r="Q263" s="10" t="str">
        <f>Tabela2[[#This Row],[Coluna5]]</f>
        <v>01/2026</v>
      </c>
      <c r="R263" s="10" t="str">
        <f>IF(Tabela2[[#This Row],[Coluna9]]&gt;0,"Entrada","Saída")</f>
        <v>Saída</v>
      </c>
      <c r="S263" s="10" t="str">
        <f>Tabela2[[#This Row],[Coluna8]]</f>
        <v xml:space="preserve">CARTÃO EFÍ </v>
      </c>
      <c r="T263" s="10" t="e">
        <f>Tabela2[[#This Row],[Coluna72]]</f>
        <v>#REF!</v>
      </c>
      <c r="U263" s="10">
        <f>SUM(Tabela2[[#This Row],[Coluna9]],Tabela2[[#This Row],[Coluna10]])</f>
        <v>89.02</v>
      </c>
      <c r="V263" s="2">
        <f>Tabela2[[#This Row],[Coluna4]]</f>
        <v>45966</v>
      </c>
      <c r="W263" s="2">
        <f>Tabela2[[#This Row],[Coluna6]]</f>
        <v>46029</v>
      </c>
    </row>
    <row r="264" spans="2:23" x14ac:dyDescent="0.2">
      <c r="B264" t="s">
        <v>18</v>
      </c>
      <c r="C264" t="s">
        <v>95</v>
      </c>
      <c r="D264" t="s">
        <v>13</v>
      </c>
      <c r="E264" s="8">
        <v>45994</v>
      </c>
      <c r="F264" t="s">
        <v>84</v>
      </c>
      <c r="G264" s="8">
        <v>46029</v>
      </c>
      <c r="H264" t="s">
        <v>443</v>
      </c>
      <c r="I264" t="e">
        <f>VLOOKUP(Tabela2[[#This Row],[Coluna7]],[1]!Tabela1[#All],2,0)</f>
        <v>#REF!</v>
      </c>
      <c r="J264" t="s">
        <v>744</v>
      </c>
      <c r="L264">
        <v>26.15</v>
      </c>
      <c r="Q264" s="10" t="str">
        <f>Tabela2[[#This Row],[Coluna5]]</f>
        <v>01/2026</v>
      </c>
      <c r="R264" s="10" t="str">
        <f>IF(Tabela2[[#This Row],[Coluna9]]&gt;0,"Entrada","Saída")</f>
        <v>Saída</v>
      </c>
      <c r="S264" s="10" t="str">
        <f>Tabela2[[#This Row],[Coluna8]]</f>
        <v xml:space="preserve">CARTÃO EFÍ </v>
      </c>
      <c r="T264" s="10" t="e">
        <f>Tabela2[[#This Row],[Coluna72]]</f>
        <v>#REF!</v>
      </c>
      <c r="U264" s="10">
        <f>SUM(Tabela2[[#This Row],[Coluna9]],Tabela2[[#This Row],[Coluna10]])</f>
        <v>26.15</v>
      </c>
      <c r="V264" s="2">
        <f>Tabela2[[#This Row],[Coluna4]]</f>
        <v>45994</v>
      </c>
      <c r="W264" s="2">
        <f>Tabela2[[#This Row],[Coluna6]]</f>
        <v>46029</v>
      </c>
    </row>
    <row r="265" spans="2:23" x14ac:dyDescent="0.2">
      <c r="B265" t="s">
        <v>18</v>
      </c>
      <c r="C265" t="s">
        <v>95</v>
      </c>
      <c r="D265" t="s">
        <v>13</v>
      </c>
      <c r="E265" s="8">
        <v>45995</v>
      </c>
      <c r="F265" t="s">
        <v>84</v>
      </c>
      <c r="G265" s="8">
        <v>46029</v>
      </c>
      <c r="H265" t="s">
        <v>443</v>
      </c>
      <c r="I265" t="e">
        <f>VLOOKUP(Tabela2[[#This Row],[Coluna7]],[1]!Tabela1[#All],2,0)</f>
        <v>#REF!</v>
      </c>
      <c r="J265" t="s">
        <v>744</v>
      </c>
      <c r="L265">
        <v>12</v>
      </c>
      <c r="Q265" s="10" t="str">
        <f>Tabela2[[#This Row],[Coluna5]]</f>
        <v>01/2026</v>
      </c>
      <c r="R265" s="10" t="str">
        <f>IF(Tabela2[[#This Row],[Coluna9]]&gt;0,"Entrada","Saída")</f>
        <v>Saída</v>
      </c>
      <c r="S265" s="10" t="str">
        <f>Tabela2[[#This Row],[Coluna8]]</f>
        <v xml:space="preserve">CARTÃO EFÍ </v>
      </c>
      <c r="T265" s="10" t="e">
        <f>Tabela2[[#This Row],[Coluna72]]</f>
        <v>#REF!</v>
      </c>
      <c r="U265" s="10">
        <f>SUM(Tabela2[[#This Row],[Coluna9]],Tabela2[[#This Row],[Coluna10]])</f>
        <v>12</v>
      </c>
      <c r="V265" s="2">
        <f>Tabela2[[#This Row],[Coluna4]]</f>
        <v>45995</v>
      </c>
      <c r="W265" s="2">
        <f>Tabela2[[#This Row],[Coluna6]]</f>
        <v>46029</v>
      </c>
    </row>
    <row r="266" spans="2:23" x14ac:dyDescent="0.2">
      <c r="B266" t="s">
        <v>18</v>
      </c>
      <c r="C266" t="s">
        <v>95</v>
      </c>
      <c r="D266" t="s">
        <v>13</v>
      </c>
      <c r="E266" s="8">
        <v>45995</v>
      </c>
      <c r="F266" t="s">
        <v>84</v>
      </c>
      <c r="G266" s="8">
        <v>46029</v>
      </c>
      <c r="H266" t="s">
        <v>570</v>
      </c>
      <c r="I266" t="e">
        <f>VLOOKUP(Tabela2[[#This Row],[Coluna7]],[1]!Tabela1[#All],2,0)</f>
        <v>#REF!</v>
      </c>
      <c r="J266" t="s">
        <v>744</v>
      </c>
      <c r="L266">
        <v>21.18</v>
      </c>
      <c r="Q266" s="10" t="str">
        <f>Tabela2[[#This Row],[Coluna5]]</f>
        <v>01/2026</v>
      </c>
      <c r="R266" s="10" t="str">
        <f>IF(Tabela2[[#This Row],[Coluna9]]&gt;0,"Entrada","Saída")</f>
        <v>Saída</v>
      </c>
      <c r="S266" s="10" t="str">
        <f>Tabela2[[#This Row],[Coluna8]]</f>
        <v xml:space="preserve">CARTÃO EFÍ </v>
      </c>
      <c r="T266" s="10" t="e">
        <f>Tabela2[[#This Row],[Coluna72]]</f>
        <v>#REF!</v>
      </c>
      <c r="U266" s="10">
        <f>SUM(Tabela2[[#This Row],[Coluna9]],Tabela2[[#This Row],[Coluna10]])</f>
        <v>21.18</v>
      </c>
      <c r="V266" s="2">
        <f>Tabela2[[#This Row],[Coluna4]]</f>
        <v>45995</v>
      </c>
      <c r="W266" s="2">
        <f>Tabela2[[#This Row],[Coluna6]]</f>
        <v>46029</v>
      </c>
    </row>
    <row r="267" spans="2:23" x14ac:dyDescent="0.2">
      <c r="B267" t="s">
        <v>18</v>
      </c>
      <c r="C267" t="s">
        <v>95</v>
      </c>
      <c r="D267" t="s">
        <v>13</v>
      </c>
      <c r="E267" s="8">
        <v>45995</v>
      </c>
      <c r="F267" t="s">
        <v>84</v>
      </c>
      <c r="G267" s="8">
        <v>46029</v>
      </c>
      <c r="H267" t="s">
        <v>443</v>
      </c>
      <c r="I267" t="e">
        <f>VLOOKUP(Tabela2[[#This Row],[Coluna7]],[1]!Tabela1[#All],2,0)</f>
        <v>#REF!</v>
      </c>
      <c r="J267" t="s">
        <v>744</v>
      </c>
      <c r="L267">
        <v>46.97</v>
      </c>
      <c r="Q267" s="10" t="str">
        <f>Tabela2[[#This Row],[Coluna5]]</f>
        <v>01/2026</v>
      </c>
      <c r="R267" s="10" t="str">
        <f>IF(Tabela2[[#This Row],[Coluna9]]&gt;0,"Entrada","Saída")</f>
        <v>Saída</v>
      </c>
      <c r="S267" s="10" t="str">
        <f>Tabela2[[#This Row],[Coluna8]]</f>
        <v xml:space="preserve">CARTÃO EFÍ </v>
      </c>
      <c r="T267" s="10" t="e">
        <f>Tabela2[[#This Row],[Coluna72]]</f>
        <v>#REF!</v>
      </c>
      <c r="U267" s="10">
        <f>SUM(Tabela2[[#This Row],[Coluna9]],Tabela2[[#This Row],[Coluna10]])</f>
        <v>46.97</v>
      </c>
      <c r="V267" s="2">
        <f>Tabela2[[#This Row],[Coluna4]]</f>
        <v>45995</v>
      </c>
      <c r="W267" s="2">
        <f>Tabela2[[#This Row],[Coluna6]]</f>
        <v>46029</v>
      </c>
    </row>
    <row r="268" spans="2:23" x14ac:dyDescent="0.2">
      <c r="B268" t="s">
        <v>18</v>
      </c>
      <c r="C268" t="s">
        <v>95</v>
      </c>
      <c r="D268" t="s">
        <v>13</v>
      </c>
      <c r="E268" s="8">
        <v>45995</v>
      </c>
      <c r="F268" t="s">
        <v>84</v>
      </c>
      <c r="G268" s="8">
        <v>46029</v>
      </c>
      <c r="H268" t="s">
        <v>570</v>
      </c>
      <c r="I268" t="e">
        <f>VLOOKUP(Tabela2[[#This Row],[Coluna7]],[1]!Tabela1[#All],2,0)</f>
        <v>#REF!</v>
      </c>
      <c r="J268" t="s">
        <v>744</v>
      </c>
      <c r="L268">
        <v>52.16</v>
      </c>
      <c r="Q268" s="10" t="str">
        <f>Tabela2[[#This Row],[Coluna5]]</f>
        <v>01/2026</v>
      </c>
      <c r="R268" s="10" t="str">
        <f>IF(Tabela2[[#This Row],[Coluna9]]&gt;0,"Entrada","Saída")</f>
        <v>Saída</v>
      </c>
      <c r="S268" s="10" t="str">
        <f>Tabela2[[#This Row],[Coluna8]]</f>
        <v xml:space="preserve">CARTÃO EFÍ </v>
      </c>
      <c r="T268" s="10" t="e">
        <f>Tabela2[[#This Row],[Coluna72]]</f>
        <v>#REF!</v>
      </c>
      <c r="U268" s="10">
        <f>SUM(Tabela2[[#This Row],[Coluna9]],Tabela2[[#This Row],[Coluna10]])</f>
        <v>52.16</v>
      </c>
      <c r="V268" s="2">
        <f>Tabela2[[#This Row],[Coluna4]]</f>
        <v>45995</v>
      </c>
      <c r="W268" s="2">
        <f>Tabela2[[#This Row],[Coluna6]]</f>
        <v>46029</v>
      </c>
    </row>
    <row r="269" spans="2:23" x14ac:dyDescent="0.2">
      <c r="B269" t="s">
        <v>18</v>
      </c>
      <c r="C269" t="s">
        <v>95</v>
      </c>
      <c r="D269" t="s">
        <v>13</v>
      </c>
      <c r="E269" s="8">
        <v>45996</v>
      </c>
      <c r="F269" t="s">
        <v>84</v>
      </c>
      <c r="G269" s="8">
        <v>46029</v>
      </c>
      <c r="H269" t="s">
        <v>570</v>
      </c>
      <c r="I269" t="e">
        <f>VLOOKUP(Tabela2[[#This Row],[Coluna7]],[1]!Tabela1[#All],2,0)</f>
        <v>#REF!</v>
      </c>
      <c r="J269" t="s">
        <v>744</v>
      </c>
      <c r="L269">
        <v>69.06</v>
      </c>
      <c r="Q269" s="10" t="str">
        <f>Tabela2[[#This Row],[Coluna5]]</f>
        <v>01/2026</v>
      </c>
      <c r="R269" s="10" t="str">
        <f>IF(Tabela2[[#This Row],[Coluna9]]&gt;0,"Entrada","Saída")</f>
        <v>Saída</v>
      </c>
      <c r="S269" s="10" t="str">
        <f>Tabela2[[#This Row],[Coluna8]]</f>
        <v xml:space="preserve">CARTÃO EFÍ </v>
      </c>
      <c r="T269" s="10" t="e">
        <f>Tabela2[[#This Row],[Coluna72]]</f>
        <v>#REF!</v>
      </c>
      <c r="U269" s="10">
        <f>SUM(Tabela2[[#This Row],[Coluna9]],Tabela2[[#This Row],[Coluna10]])</f>
        <v>69.06</v>
      </c>
      <c r="V269" s="2">
        <f>Tabela2[[#This Row],[Coluna4]]</f>
        <v>45996</v>
      </c>
      <c r="W269" s="2">
        <f>Tabela2[[#This Row],[Coluna6]]</f>
        <v>46029</v>
      </c>
    </row>
    <row r="270" spans="2:23" x14ac:dyDescent="0.2">
      <c r="B270" t="s">
        <v>18</v>
      </c>
      <c r="C270" t="s">
        <v>95</v>
      </c>
      <c r="D270" t="s">
        <v>13</v>
      </c>
      <c r="E270" s="8">
        <v>45996</v>
      </c>
      <c r="F270" t="s">
        <v>84</v>
      </c>
      <c r="G270" s="8">
        <v>46029</v>
      </c>
      <c r="H270" t="s">
        <v>570</v>
      </c>
      <c r="I270" t="e">
        <f>VLOOKUP(Tabela2[[#This Row],[Coluna7]],[1]!Tabela1[#All],2,0)</f>
        <v>#REF!</v>
      </c>
      <c r="J270" t="s">
        <v>744</v>
      </c>
      <c r="L270">
        <v>11</v>
      </c>
      <c r="Q270" s="10" t="str">
        <f>Tabela2[[#This Row],[Coluna5]]</f>
        <v>01/2026</v>
      </c>
      <c r="R270" s="10" t="str">
        <f>IF(Tabela2[[#This Row],[Coluna9]]&gt;0,"Entrada","Saída")</f>
        <v>Saída</v>
      </c>
      <c r="S270" s="10" t="str">
        <f>Tabela2[[#This Row],[Coluna8]]</f>
        <v xml:space="preserve">CARTÃO EFÍ </v>
      </c>
      <c r="T270" s="10" t="e">
        <f>Tabela2[[#This Row],[Coluna72]]</f>
        <v>#REF!</v>
      </c>
      <c r="U270" s="10">
        <f>SUM(Tabela2[[#This Row],[Coluna9]],Tabela2[[#This Row],[Coluna10]])</f>
        <v>11</v>
      </c>
      <c r="V270" s="2">
        <f>Tabela2[[#This Row],[Coluna4]]</f>
        <v>45996</v>
      </c>
      <c r="W270" s="2">
        <f>Tabela2[[#This Row],[Coluna6]]</f>
        <v>46029</v>
      </c>
    </row>
    <row r="271" spans="2:23" x14ac:dyDescent="0.2">
      <c r="B271" t="s">
        <v>18</v>
      </c>
      <c r="C271" t="s">
        <v>95</v>
      </c>
      <c r="D271" t="s">
        <v>13</v>
      </c>
      <c r="E271" s="8">
        <v>45996</v>
      </c>
      <c r="F271" t="s">
        <v>84</v>
      </c>
      <c r="G271" s="8">
        <v>46029</v>
      </c>
      <c r="H271" t="s">
        <v>570</v>
      </c>
      <c r="I271" t="e">
        <f>VLOOKUP(Tabela2[[#This Row],[Coluna7]],[1]!Tabela1[#All],2,0)</f>
        <v>#REF!</v>
      </c>
      <c r="J271" t="s">
        <v>744</v>
      </c>
      <c r="L271">
        <v>19.25</v>
      </c>
      <c r="Q271" s="10" t="str">
        <f>Tabela2[[#This Row],[Coluna5]]</f>
        <v>01/2026</v>
      </c>
      <c r="R271" s="10" t="str">
        <f>IF(Tabela2[[#This Row],[Coluna9]]&gt;0,"Entrada","Saída")</f>
        <v>Saída</v>
      </c>
      <c r="S271" s="10" t="str">
        <f>Tabela2[[#This Row],[Coluna8]]</f>
        <v xml:space="preserve">CARTÃO EFÍ </v>
      </c>
      <c r="T271" s="10" t="e">
        <f>Tabela2[[#This Row],[Coluna72]]</f>
        <v>#REF!</v>
      </c>
      <c r="U271" s="10">
        <f>SUM(Tabela2[[#This Row],[Coluna9]],Tabela2[[#This Row],[Coluna10]])</f>
        <v>19.25</v>
      </c>
      <c r="V271" s="2">
        <f>Tabela2[[#This Row],[Coluna4]]</f>
        <v>45996</v>
      </c>
      <c r="W271" s="2">
        <f>Tabela2[[#This Row],[Coluna6]]</f>
        <v>46029</v>
      </c>
    </row>
    <row r="272" spans="2:23" x14ac:dyDescent="0.2">
      <c r="B272" t="s">
        <v>18</v>
      </c>
      <c r="C272" t="s">
        <v>95</v>
      </c>
      <c r="D272" t="s">
        <v>13</v>
      </c>
      <c r="E272" s="8">
        <v>46000</v>
      </c>
      <c r="F272" t="s">
        <v>84</v>
      </c>
      <c r="G272" s="8">
        <v>46029</v>
      </c>
      <c r="H272" t="s">
        <v>443</v>
      </c>
      <c r="I272" t="e">
        <f>VLOOKUP(Tabela2[[#This Row],[Coluna7]],[1]!Tabela1[#All],2,0)</f>
        <v>#REF!</v>
      </c>
      <c r="J272" t="s">
        <v>744</v>
      </c>
      <c r="L272">
        <v>46.31</v>
      </c>
      <c r="Q272" s="10" t="str">
        <f>Tabela2[[#This Row],[Coluna5]]</f>
        <v>01/2026</v>
      </c>
      <c r="R272" s="10" t="str">
        <f>IF(Tabela2[[#This Row],[Coluna9]]&gt;0,"Entrada","Saída")</f>
        <v>Saída</v>
      </c>
      <c r="S272" s="10" t="str">
        <f>Tabela2[[#This Row],[Coluna8]]</f>
        <v xml:space="preserve">CARTÃO EFÍ </v>
      </c>
      <c r="T272" s="10" t="e">
        <f>Tabela2[[#This Row],[Coluna72]]</f>
        <v>#REF!</v>
      </c>
      <c r="U272" s="10">
        <f>SUM(Tabela2[[#This Row],[Coluna9]],Tabela2[[#This Row],[Coluna10]])</f>
        <v>46.31</v>
      </c>
      <c r="V272" s="2">
        <f>Tabela2[[#This Row],[Coluna4]]</f>
        <v>46000</v>
      </c>
      <c r="W272" s="2">
        <f>Tabela2[[#This Row],[Coluna6]]</f>
        <v>46029</v>
      </c>
    </row>
    <row r="273" spans="2:23" x14ac:dyDescent="0.2">
      <c r="B273" t="s">
        <v>18</v>
      </c>
      <c r="C273" t="s">
        <v>95</v>
      </c>
      <c r="D273" t="s">
        <v>13</v>
      </c>
      <c r="E273" s="8">
        <v>46000</v>
      </c>
      <c r="F273" t="s">
        <v>84</v>
      </c>
      <c r="G273" s="8">
        <v>46029</v>
      </c>
      <c r="H273" t="s">
        <v>443</v>
      </c>
      <c r="I273" t="e">
        <f>VLOOKUP(Tabela2[[#This Row],[Coluna7]],[1]!Tabela1[#All],2,0)</f>
        <v>#REF!</v>
      </c>
      <c r="J273" t="s">
        <v>744</v>
      </c>
      <c r="L273">
        <v>71.41</v>
      </c>
      <c r="Q273" s="10" t="str">
        <f>Tabela2[[#This Row],[Coluna5]]</f>
        <v>01/2026</v>
      </c>
      <c r="R273" s="10" t="str">
        <f>IF(Tabela2[[#This Row],[Coluna9]]&gt;0,"Entrada","Saída")</f>
        <v>Saída</v>
      </c>
      <c r="S273" s="10" t="str">
        <f>Tabela2[[#This Row],[Coluna8]]</f>
        <v xml:space="preserve">CARTÃO EFÍ </v>
      </c>
      <c r="T273" s="10" t="e">
        <f>Tabela2[[#This Row],[Coluna72]]</f>
        <v>#REF!</v>
      </c>
      <c r="U273" s="10">
        <f>SUM(Tabela2[[#This Row],[Coluna9]],Tabela2[[#This Row],[Coluna10]])</f>
        <v>71.41</v>
      </c>
      <c r="V273" s="2">
        <f>Tabela2[[#This Row],[Coluna4]]</f>
        <v>46000</v>
      </c>
      <c r="W273" s="2">
        <f>Tabela2[[#This Row],[Coluna6]]</f>
        <v>46029</v>
      </c>
    </row>
    <row r="274" spans="2:23" x14ac:dyDescent="0.2">
      <c r="B274" t="s">
        <v>18</v>
      </c>
      <c r="C274" t="s">
        <v>95</v>
      </c>
      <c r="D274" t="s">
        <v>13</v>
      </c>
      <c r="E274" s="8">
        <v>46000</v>
      </c>
      <c r="F274" t="s">
        <v>84</v>
      </c>
      <c r="G274" s="8">
        <v>46029</v>
      </c>
      <c r="H274" t="s">
        <v>443</v>
      </c>
      <c r="I274" t="e">
        <f>VLOOKUP(Tabela2[[#This Row],[Coluna7]],[1]!Tabela1[#All],2,0)</f>
        <v>#REF!</v>
      </c>
      <c r="J274" t="s">
        <v>744</v>
      </c>
      <c r="L274">
        <v>15.56</v>
      </c>
      <c r="Q274" s="10" t="str">
        <f>Tabela2[[#This Row],[Coluna5]]</f>
        <v>01/2026</v>
      </c>
      <c r="R274" s="10" t="str">
        <f>IF(Tabela2[[#This Row],[Coluna9]]&gt;0,"Entrada","Saída")</f>
        <v>Saída</v>
      </c>
      <c r="S274" s="10" t="str">
        <f>Tabela2[[#This Row],[Coluna8]]</f>
        <v xml:space="preserve">CARTÃO EFÍ </v>
      </c>
      <c r="T274" s="10" t="e">
        <f>Tabela2[[#This Row],[Coluna72]]</f>
        <v>#REF!</v>
      </c>
      <c r="U274" s="10">
        <f>SUM(Tabela2[[#This Row],[Coluna9]],Tabela2[[#This Row],[Coluna10]])</f>
        <v>15.56</v>
      </c>
      <c r="V274" s="2">
        <f>Tabela2[[#This Row],[Coluna4]]</f>
        <v>46000</v>
      </c>
      <c r="W274" s="2">
        <f>Tabela2[[#This Row],[Coluna6]]</f>
        <v>46029</v>
      </c>
    </row>
    <row r="275" spans="2:23" x14ac:dyDescent="0.2">
      <c r="B275" t="s">
        <v>18</v>
      </c>
      <c r="C275" t="s">
        <v>95</v>
      </c>
      <c r="D275" t="s">
        <v>13</v>
      </c>
      <c r="E275" s="8">
        <v>46000</v>
      </c>
      <c r="F275" t="s">
        <v>84</v>
      </c>
      <c r="G275" s="8">
        <v>46029</v>
      </c>
      <c r="H275" t="s">
        <v>570</v>
      </c>
      <c r="I275" t="e">
        <f>VLOOKUP(Tabela2[[#This Row],[Coluna7]],[1]!Tabela1[#All],2,0)</f>
        <v>#REF!</v>
      </c>
      <c r="J275" t="s">
        <v>744</v>
      </c>
      <c r="L275">
        <v>250.8</v>
      </c>
      <c r="Q275" s="10" t="str">
        <f>Tabela2[[#This Row],[Coluna5]]</f>
        <v>01/2026</v>
      </c>
      <c r="R275" s="10" t="str">
        <f>IF(Tabela2[[#This Row],[Coluna9]]&gt;0,"Entrada","Saída")</f>
        <v>Saída</v>
      </c>
      <c r="S275" s="10" t="str">
        <f>Tabela2[[#This Row],[Coluna8]]</f>
        <v xml:space="preserve">CARTÃO EFÍ </v>
      </c>
      <c r="T275" s="10" t="e">
        <f>Tabela2[[#This Row],[Coluna72]]</f>
        <v>#REF!</v>
      </c>
      <c r="U275" s="10">
        <f>SUM(Tabela2[[#This Row],[Coluna9]],Tabela2[[#This Row],[Coluna10]])</f>
        <v>250.8</v>
      </c>
      <c r="V275" s="2">
        <f>Tabela2[[#This Row],[Coluna4]]</f>
        <v>46000</v>
      </c>
      <c r="W275" s="2">
        <f>Tabela2[[#This Row],[Coluna6]]</f>
        <v>46029</v>
      </c>
    </row>
    <row r="276" spans="2:23" x14ac:dyDescent="0.2">
      <c r="B276" t="s">
        <v>18</v>
      </c>
      <c r="C276" t="s">
        <v>95</v>
      </c>
      <c r="D276" t="s">
        <v>13</v>
      </c>
      <c r="E276" s="8">
        <v>46000</v>
      </c>
      <c r="F276" t="s">
        <v>84</v>
      </c>
      <c r="G276" s="8">
        <v>46029</v>
      </c>
      <c r="H276" t="s">
        <v>443</v>
      </c>
      <c r="I276" t="e">
        <f>VLOOKUP(Tabela2[[#This Row],[Coluna7]],[1]!Tabela1[#All],2,0)</f>
        <v>#REF!</v>
      </c>
      <c r="J276" t="s">
        <v>744</v>
      </c>
      <c r="L276">
        <v>35.979999999999997</v>
      </c>
      <c r="Q276" s="10" t="str">
        <f>Tabela2[[#This Row],[Coluna5]]</f>
        <v>01/2026</v>
      </c>
      <c r="R276" s="10" t="str">
        <f>IF(Tabela2[[#This Row],[Coluna9]]&gt;0,"Entrada","Saída")</f>
        <v>Saída</v>
      </c>
      <c r="S276" s="10" t="str">
        <f>Tabela2[[#This Row],[Coluna8]]</f>
        <v xml:space="preserve">CARTÃO EFÍ </v>
      </c>
      <c r="T276" s="10" t="e">
        <f>Tabela2[[#This Row],[Coluna72]]</f>
        <v>#REF!</v>
      </c>
      <c r="U276" s="10">
        <f>SUM(Tabela2[[#This Row],[Coluna9]],Tabela2[[#This Row],[Coluna10]])</f>
        <v>35.979999999999997</v>
      </c>
      <c r="V276" s="2">
        <f>Tabela2[[#This Row],[Coluna4]]</f>
        <v>46000</v>
      </c>
      <c r="W276" s="2">
        <f>Tabela2[[#This Row],[Coluna6]]</f>
        <v>46029</v>
      </c>
    </row>
    <row r="277" spans="2:23" x14ac:dyDescent="0.2">
      <c r="B277" t="s">
        <v>18</v>
      </c>
      <c r="C277" t="s">
        <v>95</v>
      </c>
      <c r="D277" t="s">
        <v>13</v>
      </c>
      <c r="E277" s="8">
        <v>46001</v>
      </c>
      <c r="F277" t="s">
        <v>84</v>
      </c>
      <c r="G277" s="8">
        <v>46029</v>
      </c>
      <c r="H277" t="s">
        <v>570</v>
      </c>
      <c r="I277" t="e">
        <f>VLOOKUP(Tabela2[[#This Row],[Coluna7]],[1]!Tabela1[#All],2,0)</f>
        <v>#REF!</v>
      </c>
      <c r="J277" t="s">
        <v>744</v>
      </c>
      <c r="L277">
        <v>64</v>
      </c>
      <c r="Q277" s="10" t="str">
        <f>Tabela2[[#This Row],[Coluna5]]</f>
        <v>01/2026</v>
      </c>
      <c r="R277" s="10" t="str">
        <f>IF(Tabela2[[#This Row],[Coluna9]]&gt;0,"Entrada","Saída")</f>
        <v>Saída</v>
      </c>
      <c r="S277" s="10" t="str">
        <f>Tabela2[[#This Row],[Coluna8]]</f>
        <v xml:space="preserve">CARTÃO EFÍ </v>
      </c>
      <c r="T277" s="10" t="e">
        <f>Tabela2[[#This Row],[Coluna72]]</f>
        <v>#REF!</v>
      </c>
      <c r="U277" s="10">
        <f>SUM(Tabela2[[#This Row],[Coluna9]],Tabela2[[#This Row],[Coluna10]])</f>
        <v>64</v>
      </c>
      <c r="V277" s="2">
        <f>Tabela2[[#This Row],[Coluna4]]</f>
        <v>46001</v>
      </c>
      <c r="W277" s="2">
        <f>Tabela2[[#This Row],[Coluna6]]</f>
        <v>46029</v>
      </c>
    </row>
    <row r="278" spans="2:23" x14ac:dyDescent="0.2">
      <c r="B278" t="s">
        <v>18</v>
      </c>
      <c r="C278" t="s">
        <v>95</v>
      </c>
      <c r="D278" t="s">
        <v>13</v>
      </c>
      <c r="E278" s="8">
        <v>46001</v>
      </c>
      <c r="F278" t="s">
        <v>84</v>
      </c>
      <c r="G278" s="8">
        <v>46029</v>
      </c>
      <c r="H278" t="s">
        <v>443</v>
      </c>
      <c r="I278" t="e">
        <f>VLOOKUP(Tabela2[[#This Row],[Coluna7]],[1]!Tabela1[#All],2,0)</f>
        <v>#REF!</v>
      </c>
      <c r="J278" t="s">
        <v>744</v>
      </c>
      <c r="L278">
        <v>86.64</v>
      </c>
      <c r="Q278" s="10" t="str">
        <f>Tabela2[[#This Row],[Coluna5]]</f>
        <v>01/2026</v>
      </c>
      <c r="R278" s="10" t="str">
        <f>IF(Tabela2[[#This Row],[Coluna9]]&gt;0,"Entrada","Saída")</f>
        <v>Saída</v>
      </c>
      <c r="S278" s="10" t="str">
        <f>Tabela2[[#This Row],[Coluna8]]</f>
        <v xml:space="preserve">CARTÃO EFÍ </v>
      </c>
      <c r="T278" s="10" t="e">
        <f>Tabela2[[#This Row],[Coluna72]]</f>
        <v>#REF!</v>
      </c>
      <c r="U278" s="10">
        <f>SUM(Tabela2[[#This Row],[Coluna9]],Tabela2[[#This Row],[Coluna10]])</f>
        <v>86.64</v>
      </c>
      <c r="V278" s="2">
        <f>Tabela2[[#This Row],[Coluna4]]</f>
        <v>46001</v>
      </c>
      <c r="W278" s="2">
        <f>Tabela2[[#This Row],[Coluna6]]</f>
        <v>46029</v>
      </c>
    </row>
    <row r="279" spans="2:23" x14ac:dyDescent="0.2">
      <c r="B279" t="s">
        <v>18</v>
      </c>
      <c r="C279" t="s">
        <v>95</v>
      </c>
      <c r="D279" t="s">
        <v>13</v>
      </c>
      <c r="E279" s="8">
        <v>46002</v>
      </c>
      <c r="F279" t="s">
        <v>84</v>
      </c>
      <c r="G279" s="8">
        <v>46029</v>
      </c>
      <c r="H279" t="s">
        <v>443</v>
      </c>
      <c r="I279" t="e">
        <f>VLOOKUP(Tabela2[[#This Row],[Coluna7]],[1]!Tabela1[#All],2,0)</f>
        <v>#REF!</v>
      </c>
      <c r="J279" t="s">
        <v>744</v>
      </c>
      <c r="L279">
        <v>34.08</v>
      </c>
      <c r="Q279" s="10" t="str">
        <f>Tabela2[[#This Row],[Coluna5]]</f>
        <v>01/2026</v>
      </c>
      <c r="R279" s="10" t="str">
        <f>IF(Tabela2[[#This Row],[Coluna9]]&gt;0,"Entrada","Saída")</f>
        <v>Saída</v>
      </c>
      <c r="S279" s="10" t="str">
        <f>Tabela2[[#This Row],[Coluna8]]</f>
        <v xml:space="preserve">CARTÃO EFÍ </v>
      </c>
      <c r="T279" s="10" t="e">
        <f>Tabela2[[#This Row],[Coluna72]]</f>
        <v>#REF!</v>
      </c>
      <c r="U279" s="10">
        <f>SUM(Tabela2[[#This Row],[Coluna9]],Tabela2[[#This Row],[Coluna10]])</f>
        <v>34.08</v>
      </c>
      <c r="V279" s="2">
        <f>Tabela2[[#This Row],[Coluna4]]</f>
        <v>46002</v>
      </c>
      <c r="W279" s="2">
        <f>Tabela2[[#This Row],[Coluna6]]</f>
        <v>46029</v>
      </c>
    </row>
    <row r="280" spans="2:23" x14ac:dyDescent="0.2">
      <c r="B280" t="s">
        <v>18</v>
      </c>
      <c r="C280" t="s">
        <v>95</v>
      </c>
      <c r="D280" t="s">
        <v>13</v>
      </c>
      <c r="E280" s="8">
        <v>46003</v>
      </c>
      <c r="F280" t="s">
        <v>84</v>
      </c>
      <c r="G280" s="8">
        <v>46029</v>
      </c>
      <c r="H280" t="s">
        <v>570</v>
      </c>
      <c r="I280" t="e">
        <f>VLOOKUP(Tabela2[[#This Row],[Coluna7]],[1]!Tabela1[#All],2,0)</f>
        <v>#REF!</v>
      </c>
      <c r="J280" t="s">
        <v>744</v>
      </c>
      <c r="L280">
        <v>46.22</v>
      </c>
      <c r="Q280" s="10" t="str">
        <f>Tabela2[[#This Row],[Coluna5]]</f>
        <v>01/2026</v>
      </c>
      <c r="R280" s="10" t="str">
        <f>IF(Tabela2[[#This Row],[Coluna9]]&gt;0,"Entrada","Saída")</f>
        <v>Saída</v>
      </c>
      <c r="S280" s="10" t="str">
        <f>Tabela2[[#This Row],[Coluna8]]</f>
        <v xml:space="preserve">CARTÃO EFÍ </v>
      </c>
      <c r="T280" s="10" t="e">
        <f>Tabela2[[#This Row],[Coluna72]]</f>
        <v>#REF!</v>
      </c>
      <c r="U280" s="10">
        <f>SUM(Tabela2[[#This Row],[Coluna9]],Tabela2[[#This Row],[Coluna10]])</f>
        <v>46.22</v>
      </c>
      <c r="V280" s="2">
        <f>Tabela2[[#This Row],[Coluna4]]</f>
        <v>46003</v>
      </c>
      <c r="W280" s="2">
        <f>Tabela2[[#This Row],[Coluna6]]</f>
        <v>46029</v>
      </c>
    </row>
    <row r="281" spans="2:23" x14ac:dyDescent="0.2">
      <c r="B281" t="s">
        <v>18</v>
      </c>
      <c r="C281" t="s">
        <v>95</v>
      </c>
      <c r="D281" t="s">
        <v>13</v>
      </c>
      <c r="E281" s="8">
        <v>46004</v>
      </c>
      <c r="F281" t="s">
        <v>84</v>
      </c>
      <c r="G281" s="8">
        <v>46029</v>
      </c>
      <c r="H281" t="s">
        <v>570</v>
      </c>
      <c r="I281" t="e">
        <f>VLOOKUP(Tabela2[[#This Row],[Coluna7]],[1]!Tabela1[#All],2,0)</f>
        <v>#REF!</v>
      </c>
      <c r="J281" t="s">
        <v>744</v>
      </c>
      <c r="L281">
        <v>10</v>
      </c>
      <c r="Q281" s="10" t="str">
        <f>Tabela2[[#This Row],[Coluna5]]</f>
        <v>01/2026</v>
      </c>
      <c r="R281" s="10" t="str">
        <f>IF(Tabela2[[#This Row],[Coluna9]]&gt;0,"Entrada","Saída")</f>
        <v>Saída</v>
      </c>
      <c r="S281" s="10" t="str">
        <f>Tabela2[[#This Row],[Coluna8]]</f>
        <v xml:space="preserve">CARTÃO EFÍ </v>
      </c>
      <c r="T281" s="10" t="e">
        <f>Tabela2[[#This Row],[Coluna72]]</f>
        <v>#REF!</v>
      </c>
      <c r="U281" s="10">
        <f>SUM(Tabela2[[#This Row],[Coluna9]],Tabela2[[#This Row],[Coluna10]])</f>
        <v>10</v>
      </c>
      <c r="V281" s="2">
        <f>Tabela2[[#This Row],[Coluna4]]</f>
        <v>46004</v>
      </c>
      <c r="W281" s="2">
        <f>Tabela2[[#This Row],[Coluna6]]</f>
        <v>46029</v>
      </c>
    </row>
    <row r="282" spans="2:23" x14ac:dyDescent="0.2">
      <c r="B282" t="s">
        <v>18</v>
      </c>
      <c r="C282" t="s">
        <v>95</v>
      </c>
      <c r="D282" t="s">
        <v>13</v>
      </c>
      <c r="E282" s="8">
        <v>46006</v>
      </c>
      <c r="F282" t="s">
        <v>84</v>
      </c>
      <c r="G282" s="8">
        <v>46029</v>
      </c>
      <c r="H282" t="s">
        <v>443</v>
      </c>
      <c r="I282" t="e">
        <f>VLOOKUP(Tabela2[[#This Row],[Coluna7]],[1]!Tabela1[#All],2,0)</f>
        <v>#REF!</v>
      </c>
      <c r="J282" t="s">
        <v>744</v>
      </c>
      <c r="L282">
        <v>34.630000000000003</v>
      </c>
      <c r="Q282" s="10" t="str">
        <f>Tabela2[[#This Row],[Coluna5]]</f>
        <v>01/2026</v>
      </c>
      <c r="R282" s="10" t="str">
        <f>IF(Tabela2[[#This Row],[Coluna9]]&gt;0,"Entrada","Saída")</f>
        <v>Saída</v>
      </c>
      <c r="S282" s="10" t="str">
        <f>Tabela2[[#This Row],[Coluna8]]</f>
        <v xml:space="preserve">CARTÃO EFÍ </v>
      </c>
      <c r="T282" s="10" t="e">
        <f>Tabela2[[#This Row],[Coluna72]]</f>
        <v>#REF!</v>
      </c>
      <c r="U282" s="10">
        <f>SUM(Tabela2[[#This Row],[Coluna9]],Tabela2[[#This Row],[Coluna10]])</f>
        <v>34.630000000000003</v>
      </c>
      <c r="V282" s="2">
        <f>Tabela2[[#This Row],[Coluna4]]</f>
        <v>46006</v>
      </c>
      <c r="W282" s="2">
        <f>Tabela2[[#This Row],[Coluna6]]</f>
        <v>46029</v>
      </c>
    </row>
    <row r="283" spans="2:23" x14ac:dyDescent="0.2">
      <c r="B283" t="s">
        <v>18</v>
      </c>
      <c r="C283" t="s">
        <v>95</v>
      </c>
      <c r="D283" t="s">
        <v>13</v>
      </c>
      <c r="E283" s="8">
        <v>46006</v>
      </c>
      <c r="F283" t="s">
        <v>84</v>
      </c>
      <c r="G283" s="8">
        <v>46029</v>
      </c>
      <c r="H283" t="s">
        <v>443</v>
      </c>
      <c r="I283" t="e">
        <f>VLOOKUP(Tabela2[[#This Row],[Coluna7]],[1]!Tabela1[#All],2,0)</f>
        <v>#REF!</v>
      </c>
      <c r="J283" t="s">
        <v>744</v>
      </c>
      <c r="L283">
        <v>13.49</v>
      </c>
      <c r="Q283" s="10" t="str">
        <f>Tabela2[[#This Row],[Coluna5]]</f>
        <v>01/2026</v>
      </c>
      <c r="R283" s="10" t="str">
        <f>IF(Tabela2[[#This Row],[Coluna9]]&gt;0,"Entrada","Saída")</f>
        <v>Saída</v>
      </c>
      <c r="S283" s="10" t="str">
        <f>Tabela2[[#This Row],[Coluna8]]</f>
        <v xml:space="preserve">CARTÃO EFÍ </v>
      </c>
      <c r="T283" s="10" t="e">
        <f>Tabela2[[#This Row],[Coluna72]]</f>
        <v>#REF!</v>
      </c>
      <c r="U283" s="10">
        <f>SUM(Tabela2[[#This Row],[Coluna9]],Tabela2[[#This Row],[Coluna10]])</f>
        <v>13.49</v>
      </c>
      <c r="V283" s="2">
        <f>Tabela2[[#This Row],[Coluna4]]</f>
        <v>46006</v>
      </c>
      <c r="W283" s="2">
        <f>Tabela2[[#This Row],[Coluna6]]</f>
        <v>46029</v>
      </c>
    </row>
    <row r="284" spans="2:23" x14ac:dyDescent="0.2">
      <c r="B284" t="s">
        <v>18</v>
      </c>
      <c r="C284" t="s">
        <v>95</v>
      </c>
      <c r="D284" t="s">
        <v>13</v>
      </c>
      <c r="E284" s="8">
        <v>46006</v>
      </c>
      <c r="F284" t="s">
        <v>84</v>
      </c>
      <c r="G284" s="8">
        <v>46029</v>
      </c>
      <c r="H284" t="s">
        <v>443</v>
      </c>
      <c r="I284" t="e">
        <f>VLOOKUP(Tabela2[[#This Row],[Coluna7]],[1]!Tabela1[#All],2,0)</f>
        <v>#REF!</v>
      </c>
      <c r="J284" t="s">
        <v>744</v>
      </c>
      <c r="L284">
        <v>12.48</v>
      </c>
      <c r="Q284" s="10" t="str">
        <f>Tabela2[[#This Row],[Coluna5]]</f>
        <v>01/2026</v>
      </c>
      <c r="R284" s="10" t="str">
        <f>IF(Tabela2[[#This Row],[Coluna9]]&gt;0,"Entrada","Saída")</f>
        <v>Saída</v>
      </c>
      <c r="S284" s="10" t="str">
        <f>Tabela2[[#This Row],[Coluna8]]</f>
        <v xml:space="preserve">CARTÃO EFÍ </v>
      </c>
      <c r="T284" s="10" t="e">
        <f>Tabela2[[#This Row],[Coluna72]]</f>
        <v>#REF!</v>
      </c>
      <c r="U284" s="10">
        <f>SUM(Tabela2[[#This Row],[Coluna9]],Tabela2[[#This Row],[Coluna10]])</f>
        <v>12.48</v>
      </c>
      <c r="V284" s="2">
        <f>Tabela2[[#This Row],[Coluna4]]</f>
        <v>46006</v>
      </c>
      <c r="W284" s="2">
        <f>Tabela2[[#This Row],[Coluna6]]</f>
        <v>46029</v>
      </c>
    </row>
    <row r="285" spans="2:23" x14ac:dyDescent="0.2">
      <c r="B285" t="s">
        <v>18</v>
      </c>
      <c r="C285" t="s">
        <v>95</v>
      </c>
      <c r="D285" t="s">
        <v>13</v>
      </c>
      <c r="E285" s="8">
        <v>46006</v>
      </c>
      <c r="F285" t="s">
        <v>84</v>
      </c>
      <c r="G285" s="8">
        <v>46029</v>
      </c>
      <c r="H285" t="s">
        <v>443</v>
      </c>
      <c r="I285" t="e">
        <f>VLOOKUP(Tabela2[[#This Row],[Coluna7]],[1]!Tabela1[#All],2,0)</f>
        <v>#REF!</v>
      </c>
      <c r="J285" t="s">
        <v>744</v>
      </c>
      <c r="L285">
        <v>100.73</v>
      </c>
      <c r="Q285" s="10" t="str">
        <f>Tabela2[[#This Row],[Coluna5]]</f>
        <v>01/2026</v>
      </c>
      <c r="R285" s="10" t="str">
        <f>IF(Tabela2[[#This Row],[Coluna9]]&gt;0,"Entrada","Saída")</f>
        <v>Saída</v>
      </c>
      <c r="S285" s="10" t="str">
        <f>Tabela2[[#This Row],[Coluna8]]</f>
        <v xml:space="preserve">CARTÃO EFÍ </v>
      </c>
      <c r="T285" s="10" t="e">
        <f>Tabela2[[#This Row],[Coluna72]]</f>
        <v>#REF!</v>
      </c>
      <c r="U285" s="10">
        <f>SUM(Tabela2[[#This Row],[Coluna9]],Tabela2[[#This Row],[Coluna10]])</f>
        <v>100.73</v>
      </c>
      <c r="V285" s="2">
        <f>Tabela2[[#This Row],[Coluna4]]</f>
        <v>46006</v>
      </c>
      <c r="W285" s="2">
        <f>Tabela2[[#This Row],[Coluna6]]</f>
        <v>46029</v>
      </c>
    </row>
    <row r="286" spans="2:23" x14ac:dyDescent="0.2">
      <c r="B286" t="s">
        <v>18</v>
      </c>
      <c r="C286" t="s">
        <v>95</v>
      </c>
      <c r="D286" t="s">
        <v>13</v>
      </c>
      <c r="E286" s="8">
        <v>46006</v>
      </c>
      <c r="F286" t="s">
        <v>84</v>
      </c>
      <c r="G286" s="8">
        <v>46029</v>
      </c>
      <c r="H286" t="s">
        <v>443</v>
      </c>
      <c r="I286" t="e">
        <f>VLOOKUP(Tabela2[[#This Row],[Coluna7]],[1]!Tabela1[#All],2,0)</f>
        <v>#REF!</v>
      </c>
      <c r="J286" t="s">
        <v>744</v>
      </c>
      <c r="L286">
        <v>24.98</v>
      </c>
      <c r="Q286" s="10" t="str">
        <f>Tabela2[[#This Row],[Coluna5]]</f>
        <v>01/2026</v>
      </c>
      <c r="R286" s="10" t="str">
        <f>IF(Tabela2[[#This Row],[Coluna9]]&gt;0,"Entrada","Saída")</f>
        <v>Saída</v>
      </c>
      <c r="S286" s="10" t="str">
        <f>Tabela2[[#This Row],[Coluna8]]</f>
        <v xml:space="preserve">CARTÃO EFÍ </v>
      </c>
      <c r="T286" s="10" t="e">
        <f>Tabela2[[#This Row],[Coluna72]]</f>
        <v>#REF!</v>
      </c>
      <c r="U286" s="10">
        <f>SUM(Tabela2[[#This Row],[Coluna9]],Tabela2[[#This Row],[Coluna10]])</f>
        <v>24.98</v>
      </c>
      <c r="V286" s="2">
        <f>Tabela2[[#This Row],[Coluna4]]</f>
        <v>46006</v>
      </c>
      <c r="W286" s="2">
        <f>Tabela2[[#This Row],[Coluna6]]</f>
        <v>46029</v>
      </c>
    </row>
    <row r="287" spans="2:23" x14ac:dyDescent="0.2">
      <c r="B287" t="s">
        <v>18</v>
      </c>
      <c r="C287" t="s">
        <v>95</v>
      </c>
      <c r="D287" t="s">
        <v>13</v>
      </c>
      <c r="E287" s="8">
        <v>46009</v>
      </c>
      <c r="F287" t="s">
        <v>84</v>
      </c>
      <c r="G287" s="8">
        <v>46029</v>
      </c>
      <c r="H287" t="s">
        <v>443</v>
      </c>
      <c r="I287" t="e">
        <f>VLOOKUP(Tabela2[[#This Row],[Coluna7]],[1]!Tabela1[#All],2,0)</f>
        <v>#REF!</v>
      </c>
      <c r="J287" t="s">
        <v>744</v>
      </c>
      <c r="L287">
        <v>56.82</v>
      </c>
      <c r="Q287" s="10" t="str">
        <f>Tabela2[[#This Row],[Coluna5]]</f>
        <v>01/2026</v>
      </c>
      <c r="R287" s="10" t="str">
        <f>IF(Tabela2[[#This Row],[Coluna9]]&gt;0,"Entrada","Saída")</f>
        <v>Saída</v>
      </c>
      <c r="S287" s="10" t="str">
        <f>Tabela2[[#This Row],[Coluna8]]</f>
        <v xml:space="preserve">CARTÃO EFÍ </v>
      </c>
      <c r="T287" s="10" t="e">
        <f>Tabela2[[#This Row],[Coluna72]]</f>
        <v>#REF!</v>
      </c>
      <c r="U287" s="10">
        <f>SUM(Tabela2[[#This Row],[Coluna9]],Tabela2[[#This Row],[Coluna10]])</f>
        <v>56.82</v>
      </c>
      <c r="V287" s="2">
        <f>Tabela2[[#This Row],[Coluna4]]</f>
        <v>46009</v>
      </c>
      <c r="W287" s="2">
        <f>Tabela2[[#This Row],[Coluna6]]</f>
        <v>46029</v>
      </c>
    </row>
    <row r="288" spans="2:23" x14ac:dyDescent="0.2">
      <c r="B288" t="s">
        <v>18</v>
      </c>
      <c r="C288" t="s">
        <v>95</v>
      </c>
      <c r="D288" t="s">
        <v>13</v>
      </c>
      <c r="E288" s="8">
        <v>46010</v>
      </c>
      <c r="F288" t="s">
        <v>84</v>
      </c>
      <c r="G288" s="8">
        <v>46029</v>
      </c>
      <c r="H288" t="s">
        <v>570</v>
      </c>
      <c r="I288" t="e">
        <f>VLOOKUP(Tabela2[[#This Row],[Coluna7]],[1]!Tabela1[#All],2,0)</f>
        <v>#REF!</v>
      </c>
      <c r="J288" t="s">
        <v>744</v>
      </c>
      <c r="L288">
        <v>3.5</v>
      </c>
      <c r="Q288" s="10" t="str">
        <f>Tabela2[[#This Row],[Coluna5]]</f>
        <v>01/2026</v>
      </c>
      <c r="R288" s="10" t="str">
        <f>IF(Tabela2[[#This Row],[Coluna9]]&gt;0,"Entrada","Saída")</f>
        <v>Saída</v>
      </c>
      <c r="S288" s="10" t="str">
        <f>Tabela2[[#This Row],[Coluna8]]</f>
        <v xml:space="preserve">CARTÃO EFÍ </v>
      </c>
      <c r="T288" s="10" t="e">
        <f>Tabela2[[#This Row],[Coluna72]]</f>
        <v>#REF!</v>
      </c>
      <c r="U288" s="10">
        <f>SUM(Tabela2[[#This Row],[Coluna9]],Tabela2[[#This Row],[Coluna10]])</f>
        <v>3.5</v>
      </c>
      <c r="V288" s="2">
        <f>Tabela2[[#This Row],[Coluna4]]</f>
        <v>46010</v>
      </c>
      <c r="W288" s="2">
        <f>Tabela2[[#This Row],[Coluna6]]</f>
        <v>46029</v>
      </c>
    </row>
    <row r="289" spans="2:23" x14ac:dyDescent="0.2">
      <c r="B289" t="s">
        <v>18</v>
      </c>
      <c r="C289" t="s">
        <v>95</v>
      </c>
      <c r="D289" t="s">
        <v>13</v>
      </c>
      <c r="E289" s="8">
        <v>46010</v>
      </c>
      <c r="F289" t="s">
        <v>84</v>
      </c>
      <c r="G289" s="8">
        <v>46029</v>
      </c>
      <c r="H289" t="s">
        <v>570</v>
      </c>
      <c r="I289" t="e">
        <f>VLOOKUP(Tabela2[[#This Row],[Coluna7]],[1]!Tabela1[#All],2,0)</f>
        <v>#REF!</v>
      </c>
      <c r="J289" t="s">
        <v>744</v>
      </c>
      <c r="L289">
        <v>16</v>
      </c>
      <c r="Q289" s="10" t="str">
        <f>Tabela2[[#This Row],[Coluna5]]</f>
        <v>01/2026</v>
      </c>
      <c r="R289" s="10" t="str">
        <f>IF(Tabela2[[#This Row],[Coluna9]]&gt;0,"Entrada","Saída")</f>
        <v>Saída</v>
      </c>
      <c r="S289" s="10" t="str">
        <f>Tabela2[[#This Row],[Coluna8]]</f>
        <v xml:space="preserve">CARTÃO EFÍ </v>
      </c>
      <c r="T289" s="10" t="e">
        <f>Tabela2[[#This Row],[Coluna72]]</f>
        <v>#REF!</v>
      </c>
      <c r="U289" s="10">
        <f>SUM(Tabela2[[#This Row],[Coluna9]],Tabela2[[#This Row],[Coluna10]])</f>
        <v>16</v>
      </c>
      <c r="V289" s="2">
        <f>Tabela2[[#This Row],[Coluna4]]</f>
        <v>46010</v>
      </c>
      <c r="W289" s="2">
        <f>Tabela2[[#This Row],[Coluna6]]</f>
        <v>46029</v>
      </c>
    </row>
    <row r="290" spans="2:23" x14ac:dyDescent="0.2">
      <c r="B290" t="s">
        <v>18</v>
      </c>
      <c r="C290" t="s">
        <v>95</v>
      </c>
      <c r="D290" t="s">
        <v>13</v>
      </c>
      <c r="E290" s="8">
        <v>46010</v>
      </c>
      <c r="F290" t="s">
        <v>84</v>
      </c>
      <c r="G290" s="8">
        <v>46029</v>
      </c>
      <c r="H290" t="s">
        <v>570</v>
      </c>
      <c r="I290" t="e">
        <f>VLOOKUP(Tabela2[[#This Row],[Coluna7]],[1]!Tabela1[#All],2,0)</f>
        <v>#REF!</v>
      </c>
      <c r="J290" t="s">
        <v>744</v>
      </c>
      <c r="L290">
        <v>3.24</v>
      </c>
      <c r="Q290" s="10" t="str">
        <f>Tabela2[[#This Row],[Coluna5]]</f>
        <v>01/2026</v>
      </c>
      <c r="R290" s="10" t="str">
        <f>IF(Tabela2[[#This Row],[Coluna9]]&gt;0,"Entrada","Saída")</f>
        <v>Saída</v>
      </c>
      <c r="S290" s="10" t="str">
        <f>Tabela2[[#This Row],[Coluna8]]</f>
        <v xml:space="preserve">CARTÃO EFÍ </v>
      </c>
      <c r="T290" s="10" t="e">
        <f>Tabela2[[#This Row],[Coluna72]]</f>
        <v>#REF!</v>
      </c>
      <c r="U290" s="10">
        <f>SUM(Tabela2[[#This Row],[Coluna9]],Tabela2[[#This Row],[Coluna10]])</f>
        <v>3.24</v>
      </c>
      <c r="V290" s="2">
        <f>Tabela2[[#This Row],[Coluna4]]</f>
        <v>46010</v>
      </c>
      <c r="W290" s="2">
        <f>Tabela2[[#This Row],[Coluna6]]</f>
        <v>46029</v>
      </c>
    </row>
    <row r="291" spans="2:23" x14ac:dyDescent="0.2">
      <c r="B291" t="s">
        <v>18</v>
      </c>
      <c r="C291" t="s">
        <v>95</v>
      </c>
      <c r="D291" t="s">
        <v>13</v>
      </c>
      <c r="E291" s="8">
        <v>46010</v>
      </c>
      <c r="F291" t="s">
        <v>84</v>
      </c>
      <c r="G291" s="8">
        <v>46029</v>
      </c>
      <c r="H291" t="s">
        <v>570</v>
      </c>
      <c r="I291" t="e">
        <f>VLOOKUP(Tabela2[[#This Row],[Coluna7]],[1]!Tabela1[#All],2,0)</f>
        <v>#REF!</v>
      </c>
      <c r="J291" t="s">
        <v>744</v>
      </c>
      <c r="L291">
        <v>62.6</v>
      </c>
      <c r="Q291" s="10" t="str">
        <f>Tabela2[[#This Row],[Coluna5]]</f>
        <v>01/2026</v>
      </c>
      <c r="R291" s="10" t="str">
        <f>IF(Tabela2[[#This Row],[Coluna9]]&gt;0,"Entrada","Saída")</f>
        <v>Saída</v>
      </c>
      <c r="S291" s="10" t="str">
        <f>Tabela2[[#This Row],[Coluna8]]</f>
        <v xml:space="preserve">CARTÃO EFÍ </v>
      </c>
      <c r="T291" s="10" t="e">
        <f>Tabela2[[#This Row],[Coluna72]]</f>
        <v>#REF!</v>
      </c>
      <c r="U291" s="10">
        <f>SUM(Tabela2[[#This Row],[Coluna9]],Tabela2[[#This Row],[Coluna10]])</f>
        <v>62.6</v>
      </c>
      <c r="V291" s="2">
        <f>Tabela2[[#This Row],[Coluna4]]</f>
        <v>46010</v>
      </c>
      <c r="W291" s="2">
        <f>Tabela2[[#This Row],[Coluna6]]</f>
        <v>46029</v>
      </c>
    </row>
    <row r="292" spans="2:23" x14ac:dyDescent="0.2">
      <c r="B292" t="s">
        <v>18</v>
      </c>
      <c r="C292" t="s">
        <v>95</v>
      </c>
      <c r="D292" t="s">
        <v>13</v>
      </c>
      <c r="E292" s="8">
        <v>46010</v>
      </c>
      <c r="F292" t="s">
        <v>84</v>
      </c>
      <c r="G292" s="8">
        <v>46029</v>
      </c>
      <c r="H292" t="s">
        <v>570</v>
      </c>
      <c r="I292" t="e">
        <f>VLOOKUP(Tabela2[[#This Row],[Coluna7]],[1]!Tabela1[#All],2,0)</f>
        <v>#REF!</v>
      </c>
      <c r="J292" t="s">
        <v>744</v>
      </c>
      <c r="L292">
        <v>1.83</v>
      </c>
      <c r="Q292" s="10" t="str">
        <f>Tabela2[[#This Row],[Coluna5]]</f>
        <v>01/2026</v>
      </c>
      <c r="R292" s="10" t="str">
        <f>IF(Tabela2[[#This Row],[Coluna9]]&gt;0,"Entrada","Saída")</f>
        <v>Saída</v>
      </c>
      <c r="S292" s="10" t="str">
        <f>Tabela2[[#This Row],[Coluna8]]</f>
        <v xml:space="preserve">CARTÃO EFÍ </v>
      </c>
      <c r="T292" s="10" t="e">
        <f>Tabela2[[#This Row],[Coluna72]]</f>
        <v>#REF!</v>
      </c>
      <c r="U292" s="10">
        <f>SUM(Tabela2[[#This Row],[Coluna9]],Tabela2[[#This Row],[Coluna10]])</f>
        <v>1.83</v>
      </c>
      <c r="V292" s="2">
        <f>Tabela2[[#This Row],[Coluna4]]</f>
        <v>46010</v>
      </c>
      <c r="W292" s="2">
        <f>Tabela2[[#This Row],[Coluna6]]</f>
        <v>46029</v>
      </c>
    </row>
    <row r="293" spans="2:23" x14ac:dyDescent="0.2">
      <c r="B293" t="s">
        <v>18</v>
      </c>
      <c r="C293" t="s">
        <v>95</v>
      </c>
      <c r="D293" t="s">
        <v>13</v>
      </c>
      <c r="E293" s="8">
        <v>46010</v>
      </c>
      <c r="F293" t="s">
        <v>84</v>
      </c>
      <c r="G293" s="8">
        <v>46029</v>
      </c>
      <c r="H293" t="s">
        <v>570</v>
      </c>
      <c r="I293" t="e">
        <f>VLOOKUP(Tabela2[[#This Row],[Coluna7]],[1]!Tabela1[#All],2,0)</f>
        <v>#REF!</v>
      </c>
      <c r="J293" t="s">
        <v>744</v>
      </c>
      <c r="L293">
        <v>5</v>
      </c>
      <c r="Q293" s="10" t="str">
        <f>Tabela2[[#This Row],[Coluna5]]</f>
        <v>01/2026</v>
      </c>
      <c r="R293" s="10" t="str">
        <f>IF(Tabela2[[#This Row],[Coluna9]]&gt;0,"Entrada","Saída")</f>
        <v>Saída</v>
      </c>
      <c r="S293" s="10" t="str">
        <f>Tabela2[[#This Row],[Coluna8]]</f>
        <v xml:space="preserve">CARTÃO EFÍ </v>
      </c>
      <c r="T293" s="10" t="e">
        <f>Tabela2[[#This Row],[Coluna72]]</f>
        <v>#REF!</v>
      </c>
      <c r="U293" s="10">
        <f>SUM(Tabela2[[#This Row],[Coluna9]],Tabela2[[#This Row],[Coluna10]])</f>
        <v>5</v>
      </c>
      <c r="V293" s="2">
        <f>Tabela2[[#This Row],[Coluna4]]</f>
        <v>46010</v>
      </c>
      <c r="W293" s="2">
        <f>Tabela2[[#This Row],[Coluna6]]</f>
        <v>46029</v>
      </c>
    </row>
    <row r="294" spans="2:23" x14ac:dyDescent="0.2">
      <c r="B294" t="s">
        <v>18</v>
      </c>
      <c r="C294" t="s">
        <v>95</v>
      </c>
      <c r="D294" t="s">
        <v>13</v>
      </c>
      <c r="E294" s="8">
        <v>46011</v>
      </c>
      <c r="F294" t="s">
        <v>84</v>
      </c>
      <c r="G294" s="8">
        <v>46029</v>
      </c>
      <c r="H294" t="s">
        <v>443</v>
      </c>
      <c r="I294" t="e">
        <f>VLOOKUP(Tabela2[[#This Row],[Coluna7]],[1]!Tabela1[#All],2,0)</f>
        <v>#REF!</v>
      </c>
      <c r="J294" t="s">
        <v>744</v>
      </c>
      <c r="L294">
        <v>22.88</v>
      </c>
      <c r="Q294" s="10" t="str">
        <f>Tabela2[[#This Row],[Coluna5]]</f>
        <v>01/2026</v>
      </c>
      <c r="R294" s="10" t="str">
        <f>IF(Tabela2[[#This Row],[Coluna9]]&gt;0,"Entrada","Saída")</f>
        <v>Saída</v>
      </c>
      <c r="S294" s="10" t="str">
        <f>Tabela2[[#This Row],[Coluna8]]</f>
        <v xml:space="preserve">CARTÃO EFÍ </v>
      </c>
      <c r="T294" s="10" t="e">
        <f>Tabela2[[#This Row],[Coluna72]]</f>
        <v>#REF!</v>
      </c>
      <c r="U294" s="10">
        <f>SUM(Tabela2[[#This Row],[Coluna9]],Tabela2[[#This Row],[Coluna10]])</f>
        <v>22.88</v>
      </c>
      <c r="V294" s="2">
        <f>Tabela2[[#This Row],[Coluna4]]</f>
        <v>46011</v>
      </c>
      <c r="W294" s="2">
        <f>Tabela2[[#This Row],[Coluna6]]</f>
        <v>46029</v>
      </c>
    </row>
    <row r="295" spans="2:23" x14ac:dyDescent="0.2">
      <c r="B295" t="s">
        <v>18</v>
      </c>
      <c r="C295" t="s">
        <v>95</v>
      </c>
      <c r="D295" t="s">
        <v>13</v>
      </c>
      <c r="E295" s="8">
        <v>46011</v>
      </c>
      <c r="F295" t="s">
        <v>84</v>
      </c>
      <c r="G295" s="8">
        <v>46029</v>
      </c>
      <c r="H295" t="s">
        <v>570</v>
      </c>
      <c r="I295" t="e">
        <f>VLOOKUP(Tabela2[[#This Row],[Coluna7]],[1]!Tabela1[#All],2,0)</f>
        <v>#REF!</v>
      </c>
      <c r="J295" t="s">
        <v>744</v>
      </c>
      <c r="L295">
        <v>25.36</v>
      </c>
      <c r="Q295" s="10" t="str">
        <f>Tabela2[[#This Row],[Coluna5]]</f>
        <v>01/2026</v>
      </c>
      <c r="R295" s="10" t="str">
        <f>IF(Tabela2[[#This Row],[Coluna9]]&gt;0,"Entrada","Saída")</f>
        <v>Saída</v>
      </c>
      <c r="S295" s="10" t="str">
        <f>Tabela2[[#This Row],[Coluna8]]</f>
        <v xml:space="preserve">CARTÃO EFÍ </v>
      </c>
      <c r="T295" s="10" t="e">
        <f>Tabela2[[#This Row],[Coluna72]]</f>
        <v>#REF!</v>
      </c>
      <c r="U295" s="10">
        <f>SUM(Tabela2[[#This Row],[Coluna9]],Tabela2[[#This Row],[Coluna10]])</f>
        <v>25.36</v>
      </c>
      <c r="V295" s="2">
        <f>Tabela2[[#This Row],[Coluna4]]</f>
        <v>46011</v>
      </c>
      <c r="W295" s="2">
        <f>Tabela2[[#This Row],[Coluna6]]</f>
        <v>46029</v>
      </c>
    </row>
    <row r="296" spans="2:23" x14ac:dyDescent="0.2">
      <c r="B296" t="s">
        <v>18</v>
      </c>
      <c r="C296" t="s">
        <v>95</v>
      </c>
      <c r="D296" t="s">
        <v>13</v>
      </c>
      <c r="E296" s="8">
        <v>46013</v>
      </c>
      <c r="F296" t="s">
        <v>84</v>
      </c>
      <c r="G296" s="8">
        <v>46029</v>
      </c>
      <c r="H296" t="s">
        <v>570</v>
      </c>
      <c r="I296" t="e">
        <f>VLOOKUP(Tabela2[[#This Row],[Coluna7]],[1]!Tabela1[#All],2,0)</f>
        <v>#REF!</v>
      </c>
      <c r="J296" t="s">
        <v>744</v>
      </c>
      <c r="L296">
        <v>103.35</v>
      </c>
      <c r="Q296" s="10" t="str">
        <f>Tabela2[[#This Row],[Coluna5]]</f>
        <v>01/2026</v>
      </c>
      <c r="R296" s="10" t="str">
        <f>IF(Tabela2[[#This Row],[Coluna9]]&gt;0,"Entrada","Saída")</f>
        <v>Saída</v>
      </c>
      <c r="S296" s="10" t="str">
        <f>Tabela2[[#This Row],[Coluna8]]</f>
        <v xml:space="preserve">CARTÃO EFÍ </v>
      </c>
      <c r="T296" s="10" t="e">
        <f>Tabela2[[#This Row],[Coluna72]]</f>
        <v>#REF!</v>
      </c>
      <c r="U296" s="10">
        <f>SUM(Tabela2[[#This Row],[Coluna9]],Tabela2[[#This Row],[Coluna10]])</f>
        <v>103.35</v>
      </c>
      <c r="V296" s="2">
        <f>Tabela2[[#This Row],[Coluna4]]</f>
        <v>46013</v>
      </c>
      <c r="W296" s="2">
        <f>Tabela2[[#This Row],[Coluna6]]</f>
        <v>46029</v>
      </c>
    </row>
    <row r="297" spans="2:23" x14ac:dyDescent="0.2">
      <c r="B297" t="s">
        <v>18</v>
      </c>
      <c r="C297" t="s">
        <v>95</v>
      </c>
      <c r="D297" t="s">
        <v>13</v>
      </c>
      <c r="E297" s="8">
        <v>46014</v>
      </c>
      <c r="F297" t="s">
        <v>84</v>
      </c>
      <c r="G297" s="8">
        <v>46029</v>
      </c>
      <c r="H297" t="s">
        <v>570</v>
      </c>
      <c r="I297" t="e">
        <f>VLOOKUP(Tabela2[[#This Row],[Coluna7]],[1]!Tabela1[#All],2,0)</f>
        <v>#REF!</v>
      </c>
      <c r="J297" t="s">
        <v>744</v>
      </c>
      <c r="L297">
        <v>18.5</v>
      </c>
      <c r="Q297" s="10" t="str">
        <f>Tabela2[[#This Row],[Coluna5]]</f>
        <v>01/2026</v>
      </c>
      <c r="R297" s="10" t="str">
        <f>IF(Tabela2[[#This Row],[Coluna9]]&gt;0,"Entrada","Saída")</f>
        <v>Saída</v>
      </c>
      <c r="S297" s="10" t="str">
        <f>Tabela2[[#This Row],[Coluna8]]</f>
        <v xml:space="preserve">CARTÃO EFÍ </v>
      </c>
      <c r="T297" s="10" t="e">
        <f>Tabela2[[#This Row],[Coluna72]]</f>
        <v>#REF!</v>
      </c>
      <c r="U297" s="10">
        <f>SUM(Tabela2[[#This Row],[Coluna9]],Tabela2[[#This Row],[Coluna10]])</f>
        <v>18.5</v>
      </c>
      <c r="V297" s="2">
        <f>Tabela2[[#This Row],[Coluna4]]</f>
        <v>46014</v>
      </c>
      <c r="W297" s="2">
        <f>Tabela2[[#This Row],[Coluna6]]</f>
        <v>46029</v>
      </c>
    </row>
    <row r="298" spans="2:23" x14ac:dyDescent="0.2">
      <c r="B298" t="s">
        <v>18</v>
      </c>
      <c r="C298" t="s">
        <v>95</v>
      </c>
      <c r="D298" t="s">
        <v>13</v>
      </c>
      <c r="E298" s="8">
        <v>46014</v>
      </c>
      <c r="F298" t="s">
        <v>84</v>
      </c>
      <c r="G298" s="8">
        <v>46029</v>
      </c>
      <c r="H298" t="s">
        <v>443</v>
      </c>
      <c r="I298" t="e">
        <f>VLOOKUP(Tabela2[[#This Row],[Coluna7]],[1]!Tabela1[#All],2,0)</f>
        <v>#REF!</v>
      </c>
      <c r="J298" t="s">
        <v>744</v>
      </c>
      <c r="L298">
        <v>5.36</v>
      </c>
      <c r="Q298" s="10" t="str">
        <f>Tabela2[[#This Row],[Coluna5]]</f>
        <v>01/2026</v>
      </c>
      <c r="R298" s="10" t="str">
        <f>IF(Tabela2[[#This Row],[Coluna9]]&gt;0,"Entrada","Saída")</f>
        <v>Saída</v>
      </c>
      <c r="S298" s="10" t="str">
        <f>Tabela2[[#This Row],[Coluna8]]</f>
        <v xml:space="preserve">CARTÃO EFÍ </v>
      </c>
      <c r="T298" s="10" t="e">
        <f>Tabela2[[#This Row],[Coluna72]]</f>
        <v>#REF!</v>
      </c>
      <c r="U298" s="10">
        <f>SUM(Tabela2[[#This Row],[Coluna9]],Tabela2[[#This Row],[Coluna10]])</f>
        <v>5.36</v>
      </c>
      <c r="V298" s="2">
        <f>Tabela2[[#This Row],[Coluna4]]</f>
        <v>46014</v>
      </c>
      <c r="W298" s="2">
        <f>Tabela2[[#This Row],[Coluna6]]</f>
        <v>46029</v>
      </c>
    </row>
    <row r="299" spans="2:23" x14ac:dyDescent="0.2">
      <c r="B299" t="s">
        <v>18</v>
      </c>
      <c r="C299" t="s">
        <v>95</v>
      </c>
      <c r="D299" t="s">
        <v>13</v>
      </c>
      <c r="E299" s="8">
        <v>46014</v>
      </c>
      <c r="F299" t="s">
        <v>84</v>
      </c>
      <c r="G299" s="8">
        <v>46029</v>
      </c>
      <c r="H299" t="s">
        <v>443</v>
      </c>
      <c r="I299" t="e">
        <f>VLOOKUP(Tabela2[[#This Row],[Coluna7]],[1]!Tabela1[#All],2,0)</f>
        <v>#REF!</v>
      </c>
      <c r="J299" t="s">
        <v>744</v>
      </c>
      <c r="L299">
        <v>33.9</v>
      </c>
      <c r="Q299" s="10" t="str">
        <f>Tabela2[[#This Row],[Coluna5]]</f>
        <v>01/2026</v>
      </c>
      <c r="R299" s="10" t="str">
        <f>IF(Tabela2[[#This Row],[Coluna9]]&gt;0,"Entrada","Saída")</f>
        <v>Saída</v>
      </c>
      <c r="S299" s="10" t="str">
        <f>Tabela2[[#This Row],[Coluna8]]</f>
        <v xml:space="preserve">CARTÃO EFÍ </v>
      </c>
      <c r="T299" s="10" t="e">
        <f>Tabela2[[#This Row],[Coluna72]]</f>
        <v>#REF!</v>
      </c>
      <c r="U299" s="10">
        <f>SUM(Tabela2[[#This Row],[Coluna9]],Tabela2[[#This Row],[Coluna10]])</f>
        <v>33.9</v>
      </c>
      <c r="V299" s="2">
        <f>Tabela2[[#This Row],[Coluna4]]</f>
        <v>46014</v>
      </c>
      <c r="W299" s="2">
        <f>Tabela2[[#This Row],[Coluna6]]</f>
        <v>46029</v>
      </c>
    </row>
    <row r="300" spans="2:23" x14ac:dyDescent="0.2">
      <c r="B300" t="s">
        <v>18</v>
      </c>
      <c r="C300" t="s">
        <v>95</v>
      </c>
      <c r="D300" t="s">
        <v>13</v>
      </c>
      <c r="E300" s="8">
        <v>46014</v>
      </c>
      <c r="F300" t="s">
        <v>84</v>
      </c>
      <c r="G300" s="8">
        <v>46029</v>
      </c>
      <c r="H300" t="s">
        <v>443</v>
      </c>
      <c r="I300" t="e">
        <f>VLOOKUP(Tabela2[[#This Row],[Coluna7]],[1]!Tabela1[#All],2,0)</f>
        <v>#REF!</v>
      </c>
      <c r="J300" t="s">
        <v>744</v>
      </c>
      <c r="L300">
        <v>31.38</v>
      </c>
      <c r="Q300" s="10" t="str">
        <f>Tabela2[[#This Row],[Coluna5]]</f>
        <v>01/2026</v>
      </c>
      <c r="R300" s="10" t="str">
        <f>IF(Tabela2[[#This Row],[Coluna9]]&gt;0,"Entrada","Saída")</f>
        <v>Saída</v>
      </c>
      <c r="S300" s="10" t="str">
        <f>Tabela2[[#This Row],[Coluna8]]</f>
        <v xml:space="preserve">CARTÃO EFÍ </v>
      </c>
      <c r="T300" s="10" t="e">
        <f>Tabela2[[#This Row],[Coluna72]]</f>
        <v>#REF!</v>
      </c>
      <c r="U300" s="10">
        <f>SUM(Tabela2[[#This Row],[Coluna9]],Tabela2[[#This Row],[Coluna10]])</f>
        <v>31.38</v>
      </c>
      <c r="V300" s="2">
        <f>Tabela2[[#This Row],[Coluna4]]</f>
        <v>46014</v>
      </c>
      <c r="W300" s="2">
        <f>Tabela2[[#This Row],[Coluna6]]</f>
        <v>46029</v>
      </c>
    </row>
    <row r="301" spans="2:23" x14ac:dyDescent="0.2">
      <c r="B301" t="s">
        <v>18</v>
      </c>
      <c r="C301" t="s">
        <v>95</v>
      </c>
      <c r="D301" t="s">
        <v>13</v>
      </c>
      <c r="E301" s="8">
        <v>46014</v>
      </c>
      <c r="F301" t="s">
        <v>84</v>
      </c>
      <c r="G301" s="8">
        <v>46029</v>
      </c>
      <c r="H301" t="s">
        <v>570</v>
      </c>
      <c r="I301" t="e">
        <f>VLOOKUP(Tabela2[[#This Row],[Coluna7]],[1]!Tabela1[#All],2,0)</f>
        <v>#REF!</v>
      </c>
      <c r="J301" t="s">
        <v>744</v>
      </c>
      <c r="L301">
        <v>32</v>
      </c>
      <c r="Q301" s="10" t="str">
        <f>Tabela2[[#This Row],[Coluna5]]</f>
        <v>01/2026</v>
      </c>
      <c r="R301" s="10" t="str">
        <f>IF(Tabela2[[#This Row],[Coluna9]]&gt;0,"Entrada","Saída")</f>
        <v>Saída</v>
      </c>
      <c r="S301" s="10" t="str">
        <f>Tabela2[[#This Row],[Coluna8]]</f>
        <v xml:space="preserve">CARTÃO EFÍ </v>
      </c>
      <c r="T301" s="10" t="e">
        <f>Tabela2[[#This Row],[Coluna72]]</f>
        <v>#REF!</v>
      </c>
      <c r="U301" s="10">
        <f>SUM(Tabela2[[#This Row],[Coluna9]],Tabela2[[#This Row],[Coluna10]])</f>
        <v>32</v>
      </c>
      <c r="V301" s="2">
        <f>Tabela2[[#This Row],[Coluna4]]</f>
        <v>46014</v>
      </c>
      <c r="W301" s="2">
        <f>Tabela2[[#This Row],[Coluna6]]</f>
        <v>46029</v>
      </c>
    </row>
    <row r="302" spans="2:23" x14ac:dyDescent="0.2">
      <c r="B302" t="s">
        <v>18</v>
      </c>
      <c r="C302" t="s">
        <v>95</v>
      </c>
      <c r="D302" t="s">
        <v>13</v>
      </c>
      <c r="E302" s="8">
        <v>46014</v>
      </c>
      <c r="F302" t="s">
        <v>84</v>
      </c>
      <c r="G302" s="8">
        <v>46029</v>
      </c>
      <c r="H302" t="s">
        <v>570</v>
      </c>
      <c r="I302" t="e">
        <f>VLOOKUP(Tabela2[[#This Row],[Coluna7]],[1]!Tabela1[#All],2,0)</f>
        <v>#REF!</v>
      </c>
      <c r="J302" t="s">
        <v>744</v>
      </c>
      <c r="L302">
        <v>54</v>
      </c>
      <c r="Q302" s="10" t="str">
        <f>Tabela2[[#This Row],[Coluna5]]</f>
        <v>01/2026</v>
      </c>
      <c r="R302" s="10" t="str">
        <f>IF(Tabela2[[#This Row],[Coluna9]]&gt;0,"Entrada","Saída")</f>
        <v>Saída</v>
      </c>
      <c r="S302" s="10" t="str">
        <f>Tabela2[[#This Row],[Coluna8]]</f>
        <v xml:space="preserve">CARTÃO EFÍ </v>
      </c>
      <c r="T302" s="10" t="e">
        <f>Tabela2[[#This Row],[Coluna72]]</f>
        <v>#REF!</v>
      </c>
      <c r="U302" s="10">
        <f>SUM(Tabela2[[#This Row],[Coluna9]],Tabela2[[#This Row],[Coluna10]])</f>
        <v>54</v>
      </c>
      <c r="V302" s="2">
        <f>Tabela2[[#This Row],[Coluna4]]</f>
        <v>46014</v>
      </c>
      <c r="W302" s="2">
        <f>Tabela2[[#This Row],[Coluna6]]</f>
        <v>46029</v>
      </c>
    </row>
    <row r="303" spans="2:23" x14ac:dyDescent="0.2">
      <c r="B303" t="s">
        <v>18</v>
      </c>
      <c r="C303" t="s">
        <v>95</v>
      </c>
      <c r="D303" t="s">
        <v>13</v>
      </c>
      <c r="E303" s="8">
        <v>46014</v>
      </c>
      <c r="F303" t="s">
        <v>84</v>
      </c>
      <c r="G303" s="8">
        <v>46029</v>
      </c>
      <c r="H303" t="s">
        <v>570</v>
      </c>
      <c r="I303" t="e">
        <f>VLOOKUP(Tabela2[[#This Row],[Coluna7]],[1]!Tabela1[#All],2,0)</f>
        <v>#REF!</v>
      </c>
      <c r="J303" t="s">
        <v>744</v>
      </c>
      <c r="L303">
        <v>27.31</v>
      </c>
      <c r="Q303" s="10" t="str">
        <f>Tabela2[[#This Row],[Coluna5]]</f>
        <v>01/2026</v>
      </c>
      <c r="R303" s="10" t="str">
        <f>IF(Tabela2[[#This Row],[Coluna9]]&gt;0,"Entrada","Saída")</f>
        <v>Saída</v>
      </c>
      <c r="S303" s="10" t="str">
        <f>Tabela2[[#This Row],[Coluna8]]</f>
        <v xml:space="preserve">CARTÃO EFÍ </v>
      </c>
      <c r="T303" s="10" t="e">
        <f>Tabela2[[#This Row],[Coluna72]]</f>
        <v>#REF!</v>
      </c>
      <c r="U303" s="10">
        <f>SUM(Tabela2[[#This Row],[Coluna9]],Tabela2[[#This Row],[Coluna10]])</f>
        <v>27.31</v>
      </c>
      <c r="V303" s="2">
        <f>Tabela2[[#This Row],[Coluna4]]</f>
        <v>46014</v>
      </c>
      <c r="W303" s="2">
        <f>Tabela2[[#This Row],[Coluna6]]</f>
        <v>46029</v>
      </c>
    </row>
    <row r="304" spans="2:23" x14ac:dyDescent="0.2">
      <c r="B304" t="s">
        <v>18</v>
      </c>
      <c r="C304" t="s">
        <v>95</v>
      </c>
      <c r="D304" t="s">
        <v>13</v>
      </c>
      <c r="E304" s="8">
        <v>46014</v>
      </c>
      <c r="F304" t="s">
        <v>84</v>
      </c>
      <c r="G304" s="8">
        <v>46029</v>
      </c>
      <c r="H304" t="s">
        <v>570</v>
      </c>
      <c r="I304" t="e">
        <f>VLOOKUP(Tabela2[[#This Row],[Coluna7]],[1]!Tabela1[#All],2,0)</f>
        <v>#REF!</v>
      </c>
      <c r="J304" t="s">
        <v>744</v>
      </c>
      <c r="L304">
        <v>21.43</v>
      </c>
      <c r="Q304" s="10" t="str">
        <f>Tabela2[[#This Row],[Coluna5]]</f>
        <v>01/2026</v>
      </c>
      <c r="R304" s="10" t="str">
        <f>IF(Tabela2[[#This Row],[Coluna9]]&gt;0,"Entrada","Saída")</f>
        <v>Saída</v>
      </c>
      <c r="S304" s="10" t="str">
        <f>Tabela2[[#This Row],[Coluna8]]</f>
        <v xml:space="preserve">CARTÃO EFÍ </v>
      </c>
      <c r="T304" s="10" t="e">
        <f>Tabela2[[#This Row],[Coluna72]]</f>
        <v>#REF!</v>
      </c>
      <c r="U304" s="10">
        <f>SUM(Tabela2[[#This Row],[Coluna9]],Tabela2[[#This Row],[Coluna10]])</f>
        <v>21.43</v>
      </c>
      <c r="V304" s="2">
        <f>Tabela2[[#This Row],[Coluna4]]</f>
        <v>46014</v>
      </c>
      <c r="W304" s="2">
        <f>Tabela2[[#This Row],[Coluna6]]</f>
        <v>46029</v>
      </c>
    </row>
    <row r="305" spans="2:23" x14ac:dyDescent="0.2">
      <c r="B305" t="s">
        <v>18</v>
      </c>
      <c r="C305" t="s">
        <v>95</v>
      </c>
      <c r="D305" t="s">
        <v>13</v>
      </c>
      <c r="E305" s="8">
        <v>46016</v>
      </c>
      <c r="F305" t="s">
        <v>84</v>
      </c>
      <c r="G305" s="8">
        <v>46029</v>
      </c>
      <c r="H305" t="s">
        <v>445</v>
      </c>
      <c r="I305" t="e">
        <f>VLOOKUP(Tabela2[[#This Row],[Coluna7]],[1]!Tabela1[#All],2,0)</f>
        <v>#REF!</v>
      </c>
      <c r="J305" t="s">
        <v>744</v>
      </c>
      <c r="L305">
        <v>768.4</v>
      </c>
      <c r="Q305" s="10" t="str">
        <f>Tabela2[[#This Row],[Coluna5]]</f>
        <v>01/2026</v>
      </c>
      <c r="R305" s="10" t="str">
        <f>IF(Tabela2[[#This Row],[Coluna9]]&gt;0,"Entrada","Saída")</f>
        <v>Saída</v>
      </c>
      <c r="S305" s="10" t="str">
        <f>Tabela2[[#This Row],[Coluna8]]</f>
        <v xml:space="preserve">CARTÃO EFÍ </v>
      </c>
      <c r="T305" s="10" t="e">
        <f>Tabela2[[#This Row],[Coluna72]]</f>
        <v>#REF!</v>
      </c>
      <c r="U305" s="10">
        <f>SUM(Tabela2[[#This Row],[Coluna9]],Tabela2[[#This Row],[Coluna10]])</f>
        <v>768.4</v>
      </c>
      <c r="V305" s="2">
        <f>Tabela2[[#This Row],[Coluna4]]</f>
        <v>46016</v>
      </c>
      <c r="W305" s="2">
        <f>Tabela2[[#This Row],[Coluna6]]</f>
        <v>46029</v>
      </c>
    </row>
    <row r="306" spans="2:23" x14ac:dyDescent="0.2">
      <c r="B306" t="s">
        <v>18</v>
      </c>
      <c r="C306" t="s">
        <v>95</v>
      </c>
      <c r="D306" t="s">
        <v>13</v>
      </c>
      <c r="E306" s="8">
        <v>46017</v>
      </c>
      <c r="F306" t="s">
        <v>84</v>
      </c>
      <c r="G306" s="8">
        <v>46029</v>
      </c>
      <c r="H306" t="s">
        <v>570</v>
      </c>
      <c r="I306" t="e">
        <f>VLOOKUP(Tabela2[[#This Row],[Coluna7]],[1]!Tabela1[#All],2,0)</f>
        <v>#REF!</v>
      </c>
      <c r="J306" t="s">
        <v>744</v>
      </c>
      <c r="L306">
        <v>29.8</v>
      </c>
      <c r="Q306" s="10" t="str">
        <f>Tabela2[[#This Row],[Coluna5]]</f>
        <v>01/2026</v>
      </c>
      <c r="R306" s="10" t="str">
        <f>IF(Tabela2[[#This Row],[Coluna9]]&gt;0,"Entrada","Saída")</f>
        <v>Saída</v>
      </c>
      <c r="S306" s="10" t="str">
        <f>Tabela2[[#This Row],[Coluna8]]</f>
        <v xml:space="preserve">CARTÃO EFÍ </v>
      </c>
      <c r="T306" s="10" t="e">
        <f>Tabela2[[#This Row],[Coluna72]]</f>
        <v>#REF!</v>
      </c>
      <c r="U306" s="10">
        <f>SUM(Tabela2[[#This Row],[Coluna9]],Tabela2[[#This Row],[Coluna10]])</f>
        <v>29.8</v>
      </c>
      <c r="V306" s="2">
        <f>Tabela2[[#This Row],[Coluna4]]</f>
        <v>46017</v>
      </c>
      <c r="W306" s="2">
        <f>Tabela2[[#This Row],[Coluna6]]</f>
        <v>46029</v>
      </c>
    </row>
    <row r="307" spans="2:23" x14ac:dyDescent="0.2">
      <c r="B307" t="s">
        <v>18</v>
      </c>
      <c r="C307" t="s">
        <v>95</v>
      </c>
      <c r="D307" t="s">
        <v>13</v>
      </c>
      <c r="E307" s="8">
        <v>46017</v>
      </c>
      <c r="F307" t="s">
        <v>84</v>
      </c>
      <c r="G307" s="8">
        <v>46029</v>
      </c>
      <c r="H307" t="s">
        <v>443</v>
      </c>
      <c r="I307" t="e">
        <f>VLOOKUP(Tabela2[[#This Row],[Coluna7]],[1]!Tabela1[#All],2,0)</f>
        <v>#REF!</v>
      </c>
      <c r="J307" t="s">
        <v>744</v>
      </c>
      <c r="L307">
        <v>84.41</v>
      </c>
      <c r="Q307" s="10" t="str">
        <f>Tabela2[[#This Row],[Coluna5]]</f>
        <v>01/2026</v>
      </c>
      <c r="R307" s="10" t="str">
        <f>IF(Tabela2[[#This Row],[Coluna9]]&gt;0,"Entrada","Saída")</f>
        <v>Saída</v>
      </c>
      <c r="S307" s="10" t="str">
        <f>Tabela2[[#This Row],[Coluna8]]</f>
        <v xml:space="preserve">CARTÃO EFÍ </v>
      </c>
      <c r="T307" s="10" t="e">
        <f>Tabela2[[#This Row],[Coluna72]]</f>
        <v>#REF!</v>
      </c>
      <c r="U307" s="10">
        <f>SUM(Tabela2[[#This Row],[Coluna9]],Tabela2[[#This Row],[Coluna10]])</f>
        <v>84.41</v>
      </c>
      <c r="V307" s="2">
        <f>Tabela2[[#This Row],[Coluna4]]</f>
        <v>46017</v>
      </c>
      <c r="W307" s="2">
        <f>Tabela2[[#This Row],[Coluna6]]</f>
        <v>46029</v>
      </c>
    </row>
    <row r="308" spans="2:23" x14ac:dyDescent="0.2">
      <c r="B308" t="s">
        <v>18</v>
      </c>
      <c r="C308" t="s">
        <v>95</v>
      </c>
      <c r="D308" t="s">
        <v>13</v>
      </c>
      <c r="E308" s="8">
        <v>46020</v>
      </c>
      <c r="F308" t="s">
        <v>84</v>
      </c>
      <c r="G308" s="8">
        <v>46029</v>
      </c>
      <c r="H308" t="s">
        <v>570</v>
      </c>
      <c r="I308" t="e">
        <f>VLOOKUP(Tabela2[[#This Row],[Coluna7]],[1]!Tabela1[#All],2,0)</f>
        <v>#REF!</v>
      </c>
      <c r="J308" t="s">
        <v>744</v>
      </c>
      <c r="L308">
        <v>2</v>
      </c>
      <c r="Q308" s="10" t="str">
        <f>Tabela2[[#This Row],[Coluna5]]</f>
        <v>01/2026</v>
      </c>
      <c r="R308" s="10" t="str">
        <f>IF(Tabela2[[#This Row],[Coluna9]]&gt;0,"Entrada","Saída")</f>
        <v>Saída</v>
      </c>
      <c r="S308" s="10" t="str">
        <f>Tabela2[[#This Row],[Coluna8]]</f>
        <v xml:space="preserve">CARTÃO EFÍ </v>
      </c>
      <c r="T308" s="10" t="e">
        <f>Tabela2[[#This Row],[Coluna72]]</f>
        <v>#REF!</v>
      </c>
      <c r="U308" s="10">
        <f>SUM(Tabela2[[#This Row],[Coluna9]],Tabela2[[#This Row],[Coluna10]])</f>
        <v>2</v>
      </c>
      <c r="V308" s="2">
        <f>Tabela2[[#This Row],[Coluna4]]</f>
        <v>46020</v>
      </c>
      <c r="W308" s="2">
        <f>Tabela2[[#This Row],[Coluna6]]</f>
        <v>46029</v>
      </c>
    </row>
    <row r="309" spans="2:23" x14ac:dyDescent="0.2">
      <c r="B309" t="s">
        <v>18</v>
      </c>
      <c r="C309" t="s">
        <v>95</v>
      </c>
      <c r="D309" t="s">
        <v>13</v>
      </c>
      <c r="E309" s="8">
        <v>46020</v>
      </c>
      <c r="F309" t="s">
        <v>84</v>
      </c>
      <c r="G309" s="8">
        <v>46029</v>
      </c>
      <c r="H309" t="s">
        <v>570</v>
      </c>
      <c r="I309" t="e">
        <f>VLOOKUP(Tabela2[[#This Row],[Coluna7]],[1]!Tabela1[#All],2,0)</f>
        <v>#REF!</v>
      </c>
      <c r="J309" t="s">
        <v>744</v>
      </c>
      <c r="L309">
        <v>10.9</v>
      </c>
      <c r="Q309" s="10" t="str">
        <f>Tabela2[[#This Row],[Coluna5]]</f>
        <v>01/2026</v>
      </c>
      <c r="R309" s="10" t="str">
        <f>IF(Tabela2[[#This Row],[Coluna9]]&gt;0,"Entrada","Saída")</f>
        <v>Saída</v>
      </c>
      <c r="S309" s="10" t="str">
        <f>Tabela2[[#This Row],[Coluna8]]</f>
        <v xml:space="preserve">CARTÃO EFÍ </v>
      </c>
      <c r="T309" s="10" t="e">
        <f>Tabela2[[#This Row],[Coluna72]]</f>
        <v>#REF!</v>
      </c>
      <c r="U309" s="10">
        <f>SUM(Tabela2[[#This Row],[Coluna9]],Tabela2[[#This Row],[Coluna10]])</f>
        <v>10.9</v>
      </c>
      <c r="V309" s="2">
        <f>Tabela2[[#This Row],[Coluna4]]</f>
        <v>46020</v>
      </c>
      <c r="W309" s="2">
        <f>Tabela2[[#This Row],[Coluna6]]</f>
        <v>46029</v>
      </c>
    </row>
    <row r="310" spans="2:23" x14ac:dyDescent="0.2">
      <c r="B310" t="s">
        <v>18</v>
      </c>
      <c r="C310" t="s">
        <v>95</v>
      </c>
      <c r="D310" t="s">
        <v>13</v>
      </c>
      <c r="E310" s="8">
        <v>46020</v>
      </c>
      <c r="F310" t="s">
        <v>84</v>
      </c>
      <c r="G310" s="8">
        <v>46029</v>
      </c>
      <c r="H310" t="s">
        <v>443</v>
      </c>
      <c r="I310" t="e">
        <f>VLOOKUP(Tabela2[[#This Row],[Coluna7]],[1]!Tabela1[#All],2,0)</f>
        <v>#REF!</v>
      </c>
      <c r="J310" t="s">
        <v>744</v>
      </c>
      <c r="L310">
        <v>14</v>
      </c>
      <c r="Q310" s="10" t="str">
        <f>Tabela2[[#This Row],[Coluna5]]</f>
        <v>01/2026</v>
      </c>
      <c r="R310" s="10" t="str">
        <f>IF(Tabela2[[#This Row],[Coluna9]]&gt;0,"Entrada","Saída")</f>
        <v>Saída</v>
      </c>
      <c r="S310" s="10" t="str">
        <f>Tabela2[[#This Row],[Coluna8]]</f>
        <v xml:space="preserve">CARTÃO EFÍ </v>
      </c>
      <c r="T310" s="10" t="e">
        <f>Tabela2[[#This Row],[Coluna72]]</f>
        <v>#REF!</v>
      </c>
      <c r="U310" s="10">
        <f>SUM(Tabela2[[#This Row],[Coluna9]],Tabela2[[#This Row],[Coluna10]])</f>
        <v>14</v>
      </c>
      <c r="V310" s="2">
        <f>Tabela2[[#This Row],[Coluna4]]</f>
        <v>46020</v>
      </c>
      <c r="W310" s="2">
        <f>Tabela2[[#This Row],[Coluna6]]</f>
        <v>46029</v>
      </c>
    </row>
    <row r="311" spans="2:23" x14ac:dyDescent="0.2">
      <c r="B311" t="s">
        <v>18</v>
      </c>
      <c r="C311" t="s">
        <v>95</v>
      </c>
      <c r="D311" t="s">
        <v>13</v>
      </c>
      <c r="E311" s="8">
        <v>46021</v>
      </c>
      <c r="F311" t="s">
        <v>84</v>
      </c>
      <c r="G311" s="8">
        <v>46029</v>
      </c>
      <c r="H311" t="s">
        <v>443</v>
      </c>
      <c r="I311" t="e">
        <f>VLOOKUP(Tabela2[[#This Row],[Coluna7]],[1]!Tabela1[#All],2,0)</f>
        <v>#REF!</v>
      </c>
      <c r="J311" t="s">
        <v>744</v>
      </c>
      <c r="L311">
        <v>6.22</v>
      </c>
      <c r="Q311" s="10" t="str">
        <f>Tabela2[[#This Row],[Coluna5]]</f>
        <v>01/2026</v>
      </c>
      <c r="R311" s="10" t="str">
        <f>IF(Tabela2[[#This Row],[Coluna9]]&gt;0,"Entrada","Saída")</f>
        <v>Saída</v>
      </c>
      <c r="S311" s="10" t="str">
        <f>Tabela2[[#This Row],[Coluna8]]</f>
        <v xml:space="preserve">CARTÃO EFÍ </v>
      </c>
      <c r="T311" s="10" t="e">
        <f>Tabela2[[#This Row],[Coluna72]]</f>
        <v>#REF!</v>
      </c>
      <c r="U311" s="10">
        <f>SUM(Tabela2[[#This Row],[Coluna9]],Tabela2[[#This Row],[Coluna10]])</f>
        <v>6.22</v>
      </c>
      <c r="V311" s="2">
        <f>Tabela2[[#This Row],[Coluna4]]</f>
        <v>46021</v>
      </c>
      <c r="W311" s="2">
        <f>Tabela2[[#This Row],[Coluna6]]</f>
        <v>46029</v>
      </c>
    </row>
    <row r="312" spans="2:23" x14ac:dyDescent="0.2">
      <c r="B312" t="s">
        <v>12</v>
      </c>
      <c r="C312" t="s">
        <v>95</v>
      </c>
      <c r="D312" t="s">
        <v>13</v>
      </c>
      <c r="E312" s="8">
        <v>45937</v>
      </c>
      <c r="F312" t="s">
        <v>84</v>
      </c>
      <c r="G312" s="8">
        <v>46030</v>
      </c>
      <c r="H312" t="s">
        <v>435</v>
      </c>
      <c r="I312" t="e">
        <f>VLOOKUP(Tabela2[[#This Row],[Coluna7]],[1]!Tabela1[#All],2,0)</f>
        <v>#REF!</v>
      </c>
      <c r="J312" t="s">
        <v>745</v>
      </c>
      <c r="L312">
        <v>112.87</v>
      </c>
      <c r="Q312" s="10" t="str">
        <f>Tabela2[[#This Row],[Coluna5]]</f>
        <v>01/2026</v>
      </c>
      <c r="R312" s="10" t="str">
        <f>IF(Tabela2[[#This Row],[Coluna9]]&gt;0,"Entrada","Saída")</f>
        <v>Saída</v>
      </c>
      <c r="S312" s="10" t="str">
        <f>Tabela2[[#This Row],[Coluna8]]</f>
        <v xml:space="preserve">CARTÃO INTER </v>
      </c>
      <c r="T312" s="10" t="e">
        <f>Tabela2[[#This Row],[Coluna72]]</f>
        <v>#REF!</v>
      </c>
      <c r="U312" s="10">
        <f>SUM(Tabela2[[#This Row],[Coluna9]],Tabela2[[#This Row],[Coluna10]])</f>
        <v>112.87</v>
      </c>
      <c r="V312" s="2">
        <f>Tabela2[[#This Row],[Coluna4]]</f>
        <v>45937</v>
      </c>
      <c r="W312" s="2">
        <f>Tabela2[[#This Row],[Coluna6]]</f>
        <v>46030</v>
      </c>
    </row>
    <row r="313" spans="2:23" x14ac:dyDescent="0.2">
      <c r="B313" t="s">
        <v>12</v>
      </c>
      <c r="C313" t="s">
        <v>95</v>
      </c>
      <c r="D313" t="s">
        <v>13</v>
      </c>
      <c r="E313" s="8">
        <v>45937</v>
      </c>
      <c r="F313" t="s">
        <v>84</v>
      </c>
      <c r="G313" s="8">
        <v>46030</v>
      </c>
      <c r="H313" t="s">
        <v>435</v>
      </c>
      <c r="I313" t="e">
        <f>VLOOKUP(Tabela2[[#This Row],[Coluna7]],[1]!Tabela1[#All],2,0)</f>
        <v>#REF!</v>
      </c>
      <c r="J313" t="s">
        <v>745</v>
      </c>
      <c r="L313">
        <v>34.99</v>
      </c>
      <c r="Q313" s="10" t="str">
        <f>Tabela2[[#This Row],[Coluna5]]</f>
        <v>01/2026</v>
      </c>
      <c r="R313" s="10" t="str">
        <f>IF(Tabela2[[#This Row],[Coluna9]]&gt;0,"Entrada","Saída")</f>
        <v>Saída</v>
      </c>
      <c r="S313" s="10" t="str">
        <f>Tabela2[[#This Row],[Coluna8]]</f>
        <v xml:space="preserve">CARTÃO INTER </v>
      </c>
      <c r="T313" s="10" t="e">
        <f>Tabela2[[#This Row],[Coluna72]]</f>
        <v>#REF!</v>
      </c>
      <c r="U313" s="10">
        <f>SUM(Tabela2[[#This Row],[Coluna9]],Tabela2[[#This Row],[Coluna10]])</f>
        <v>34.99</v>
      </c>
      <c r="V313" s="2">
        <f>Tabela2[[#This Row],[Coluna4]]</f>
        <v>45937</v>
      </c>
      <c r="W313" s="2">
        <f>Tabela2[[#This Row],[Coluna6]]</f>
        <v>46030</v>
      </c>
    </row>
    <row r="314" spans="2:23" x14ac:dyDescent="0.2">
      <c r="B314" t="s">
        <v>12</v>
      </c>
      <c r="C314" t="s">
        <v>95</v>
      </c>
      <c r="D314" t="s">
        <v>13</v>
      </c>
      <c r="E314" s="8">
        <v>45930</v>
      </c>
      <c r="F314" t="s">
        <v>84</v>
      </c>
      <c r="G314" s="8">
        <v>46030</v>
      </c>
      <c r="H314" t="s">
        <v>458</v>
      </c>
      <c r="I314" t="e">
        <f>VLOOKUP(Tabela2[[#This Row],[Coluna7]],[1]!Tabela1[#All],2,0)</f>
        <v>#REF!</v>
      </c>
      <c r="J314" t="s">
        <v>737</v>
      </c>
      <c r="L314">
        <v>110</v>
      </c>
      <c r="Q314" s="10" t="str">
        <f>Tabela2[[#This Row],[Coluna5]]</f>
        <v>01/2026</v>
      </c>
      <c r="R314" s="10" t="str">
        <f>IF(Tabela2[[#This Row],[Coluna9]]&gt;0,"Entrada","Saída")</f>
        <v>Saída</v>
      </c>
      <c r="S314" s="10" t="str">
        <f>Tabela2[[#This Row],[Coluna8]]</f>
        <v>CARTÃO SANTANDER</v>
      </c>
      <c r="T314" s="10" t="e">
        <f>Tabela2[[#This Row],[Coluna72]]</f>
        <v>#REF!</v>
      </c>
      <c r="U314" s="10">
        <f>SUM(Tabela2[[#This Row],[Coluna9]],Tabela2[[#This Row],[Coluna10]])</f>
        <v>110</v>
      </c>
      <c r="V314" s="2">
        <f>Tabela2[[#This Row],[Coluna4]]</f>
        <v>45930</v>
      </c>
      <c r="W314" s="2">
        <f>Tabela2[[#This Row],[Coluna6]]</f>
        <v>46030</v>
      </c>
    </row>
    <row r="315" spans="2:23" x14ac:dyDescent="0.2">
      <c r="B315" t="s">
        <v>12</v>
      </c>
      <c r="C315" t="s">
        <v>95</v>
      </c>
      <c r="D315" t="s">
        <v>13</v>
      </c>
      <c r="E315" s="8">
        <v>45930</v>
      </c>
      <c r="F315" t="s">
        <v>84</v>
      </c>
      <c r="G315" s="8">
        <v>46030</v>
      </c>
      <c r="H315" t="s">
        <v>458</v>
      </c>
      <c r="I315" t="e">
        <f>VLOOKUP(Tabela2[[#This Row],[Coluna7]],[1]!Tabela1[#All],2,0)</f>
        <v>#REF!</v>
      </c>
      <c r="J315" t="s">
        <v>737</v>
      </c>
      <c r="L315">
        <v>200</v>
      </c>
      <c r="Q315" s="10" t="str">
        <f>Tabela2[[#This Row],[Coluna5]]</f>
        <v>01/2026</v>
      </c>
      <c r="R315" s="10" t="str">
        <f>IF(Tabela2[[#This Row],[Coluna9]]&gt;0,"Entrada","Saída")</f>
        <v>Saída</v>
      </c>
      <c r="S315" s="10" t="str">
        <f>Tabela2[[#This Row],[Coluna8]]</f>
        <v>CARTÃO SANTANDER</v>
      </c>
      <c r="T315" s="10" t="e">
        <f>Tabela2[[#This Row],[Coluna72]]</f>
        <v>#REF!</v>
      </c>
      <c r="U315" s="10">
        <f>SUM(Tabela2[[#This Row],[Coluna9]],Tabela2[[#This Row],[Coluna10]])</f>
        <v>200</v>
      </c>
      <c r="V315" s="2">
        <f>Tabela2[[#This Row],[Coluna4]]</f>
        <v>45930</v>
      </c>
      <c r="W315" s="2">
        <f>Tabela2[[#This Row],[Coluna6]]</f>
        <v>46030</v>
      </c>
    </row>
    <row r="316" spans="2:23" x14ac:dyDescent="0.2">
      <c r="B316" t="s">
        <v>12</v>
      </c>
      <c r="C316" t="s">
        <v>95</v>
      </c>
      <c r="D316" t="s">
        <v>13</v>
      </c>
      <c r="E316" s="8">
        <v>45930</v>
      </c>
      <c r="F316" t="s">
        <v>84</v>
      </c>
      <c r="G316" s="8">
        <v>46030</v>
      </c>
      <c r="H316" t="s">
        <v>693</v>
      </c>
      <c r="I316" t="e">
        <f>VLOOKUP(Tabela2[[#This Row],[Coluna7]],[1]!Tabela1[#All],2,0)</f>
        <v>#REF!</v>
      </c>
      <c r="J316" t="s">
        <v>737</v>
      </c>
      <c r="L316">
        <v>39</v>
      </c>
      <c r="Q316" s="10" t="str">
        <f>Tabela2[[#This Row],[Coluna5]]</f>
        <v>01/2026</v>
      </c>
      <c r="R316" s="10" t="str">
        <f>IF(Tabela2[[#This Row],[Coluna9]]&gt;0,"Entrada","Saída")</f>
        <v>Saída</v>
      </c>
      <c r="S316" s="10" t="str">
        <f>Tabela2[[#This Row],[Coluna8]]</f>
        <v>CARTÃO SANTANDER</v>
      </c>
      <c r="T316" s="10" t="e">
        <f>Tabela2[[#This Row],[Coluna72]]</f>
        <v>#REF!</v>
      </c>
      <c r="U316" s="10">
        <f>SUM(Tabela2[[#This Row],[Coluna9]],Tabela2[[#This Row],[Coluna10]])</f>
        <v>39</v>
      </c>
      <c r="V316" s="2">
        <f>Tabela2[[#This Row],[Coluna4]]</f>
        <v>45930</v>
      </c>
      <c r="W316" s="2">
        <f>Tabela2[[#This Row],[Coluna6]]</f>
        <v>46030</v>
      </c>
    </row>
    <row r="317" spans="2:23" x14ac:dyDescent="0.2">
      <c r="B317" t="s">
        <v>12</v>
      </c>
      <c r="C317" t="s">
        <v>95</v>
      </c>
      <c r="D317" t="s">
        <v>13</v>
      </c>
      <c r="E317" s="8">
        <v>45930</v>
      </c>
      <c r="F317" t="s">
        <v>84</v>
      </c>
      <c r="G317" s="8">
        <v>46030</v>
      </c>
      <c r="H317" t="s">
        <v>528</v>
      </c>
      <c r="I317" t="e">
        <f>VLOOKUP(Tabela2[[#This Row],[Coluna7]],[1]!Tabela1[#All],2,0)</f>
        <v>#REF!</v>
      </c>
      <c r="J317" t="s">
        <v>737</v>
      </c>
      <c r="L317">
        <v>80.91</v>
      </c>
      <c r="Q317" s="10" t="str">
        <f>Tabela2[[#This Row],[Coluna5]]</f>
        <v>01/2026</v>
      </c>
      <c r="R317" s="10" t="str">
        <f>IF(Tabela2[[#This Row],[Coluna9]]&gt;0,"Entrada","Saída")</f>
        <v>Saída</v>
      </c>
      <c r="S317" s="10" t="str">
        <f>Tabela2[[#This Row],[Coluna8]]</f>
        <v>CARTÃO SANTANDER</v>
      </c>
      <c r="T317" s="10" t="e">
        <f>Tabela2[[#This Row],[Coluna72]]</f>
        <v>#REF!</v>
      </c>
      <c r="U317" s="10">
        <f>SUM(Tabela2[[#This Row],[Coluna9]],Tabela2[[#This Row],[Coluna10]])</f>
        <v>80.91</v>
      </c>
      <c r="V317" s="2">
        <f>Tabela2[[#This Row],[Coluna4]]</f>
        <v>45930</v>
      </c>
      <c r="W317" s="2">
        <f>Tabela2[[#This Row],[Coluna6]]</f>
        <v>46030</v>
      </c>
    </row>
    <row r="318" spans="2:23" x14ac:dyDescent="0.2">
      <c r="B318" t="s">
        <v>12</v>
      </c>
      <c r="C318" t="s">
        <v>95</v>
      </c>
      <c r="D318" t="s">
        <v>13</v>
      </c>
      <c r="E318" s="8">
        <v>45930</v>
      </c>
      <c r="F318" t="s">
        <v>84</v>
      </c>
      <c r="G318" s="8">
        <v>46030</v>
      </c>
      <c r="H318" t="s">
        <v>469</v>
      </c>
      <c r="I318" t="e">
        <f>VLOOKUP(Tabela2[[#This Row],[Coluna7]],[1]!Tabela1[#All],2,0)</f>
        <v>#REF!</v>
      </c>
      <c r="J318" t="s">
        <v>737</v>
      </c>
      <c r="L318">
        <v>53.7</v>
      </c>
      <c r="Q318" s="10" t="str">
        <f>Tabela2[[#This Row],[Coluna5]]</f>
        <v>01/2026</v>
      </c>
      <c r="R318" s="10" t="str">
        <f>IF(Tabela2[[#This Row],[Coluna9]]&gt;0,"Entrada","Saída")</f>
        <v>Saída</v>
      </c>
      <c r="S318" s="10" t="str">
        <f>Tabela2[[#This Row],[Coluna8]]</f>
        <v>CARTÃO SANTANDER</v>
      </c>
      <c r="T318" s="10" t="e">
        <f>Tabela2[[#This Row],[Coluna72]]</f>
        <v>#REF!</v>
      </c>
      <c r="U318" s="10">
        <f>SUM(Tabela2[[#This Row],[Coluna9]],Tabela2[[#This Row],[Coluna10]])</f>
        <v>53.7</v>
      </c>
      <c r="V318" s="2">
        <f>Tabela2[[#This Row],[Coluna4]]</f>
        <v>45930</v>
      </c>
      <c r="W318" s="2">
        <f>Tabela2[[#This Row],[Coluna6]]</f>
        <v>46030</v>
      </c>
    </row>
    <row r="319" spans="2:23" x14ac:dyDescent="0.2">
      <c r="B319" t="s">
        <v>12</v>
      </c>
      <c r="C319" t="s">
        <v>95</v>
      </c>
      <c r="D319" t="s">
        <v>13</v>
      </c>
      <c r="E319" s="8">
        <v>45930</v>
      </c>
      <c r="F319" t="s">
        <v>84</v>
      </c>
      <c r="G319" s="8">
        <v>46030</v>
      </c>
      <c r="H319" t="s">
        <v>458</v>
      </c>
      <c r="I319" t="e">
        <f>VLOOKUP(Tabela2[[#This Row],[Coluna7]],[1]!Tabela1[#All],2,0)</f>
        <v>#REF!</v>
      </c>
      <c r="J319" t="s">
        <v>737</v>
      </c>
      <c r="L319">
        <v>329.03</v>
      </c>
      <c r="Q319" s="10" t="str">
        <f>Tabela2[[#This Row],[Coluna5]]</f>
        <v>01/2026</v>
      </c>
      <c r="R319" s="10" t="str">
        <f>IF(Tabela2[[#This Row],[Coluna9]]&gt;0,"Entrada","Saída")</f>
        <v>Saída</v>
      </c>
      <c r="S319" s="10" t="str">
        <f>Tabela2[[#This Row],[Coluna8]]</f>
        <v>CARTÃO SANTANDER</v>
      </c>
      <c r="T319" s="10" t="e">
        <f>Tabela2[[#This Row],[Coluna72]]</f>
        <v>#REF!</v>
      </c>
      <c r="U319" s="10">
        <f>SUM(Tabela2[[#This Row],[Coluna9]],Tabela2[[#This Row],[Coluna10]])</f>
        <v>329.03</v>
      </c>
      <c r="V319" s="2">
        <f>Tabela2[[#This Row],[Coluna4]]</f>
        <v>45930</v>
      </c>
      <c r="W319" s="2">
        <f>Tabela2[[#This Row],[Coluna6]]</f>
        <v>46030</v>
      </c>
    </row>
    <row r="320" spans="2:23" x14ac:dyDescent="0.2">
      <c r="B320" t="s">
        <v>12</v>
      </c>
      <c r="C320" t="s">
        <v>95</v>
      </c>
      <c r="D320" t="s">
        <v>13</v>
      </c>
      <c r="E320" s="8">
        <v>45930</v>
      </c>
      <c r="F320" t="s">
        <v>84</v>
      </c>
      <c r="G320" s="8">
        <v>46030</v>
      </c>
      <c r="H320" t="s">
        <v>458</v>
      </c>
      <c r="I320" t="e">
        <f>VLOOKUP(Tabela2[[#This Row],[Coluna7]],[1]!Tabela1[#All],2,0)</f>
        <v>#REF!</v>
      </c>
      <c r="J320" t="s">
        <v>737</v>
      </c>
      <c r="L320">
        <v>263.01</v>
      </c>
      <c r="Q320" s="10" t="str">
        <f>Tabela2[[#This Row],[Coluna5]]</f>
        <v>01/2026</v>
      </c>
      <c r="R320" s="10" t="str">
        <f>IF(Tabela2[[#This Row],[Coluna9]]&gt;0,"Entrada","Saída")</f>
        <v>Saída</v>
      </c>
      <c r="S320" s="10" t="str">
        <f>Tabela2[[#This Row],[Coluna8]]</f>
        <v>CARTÃO SANTANDER</v>
      </c>
      <c r="T320" s="10" t="e">
        <f>Tabela2[[#This Row],[Coluna72]]</f>
        <v>#REF!</v>
      </c>
      <c r="U320" s="10">
        <f>SUM(Tabela2[[#This Row],[Coluna9]],Tabela2[[#This Row],[Coluna10]])</f>
        <v>263.01</v>
      </c>
      <c r="V320" s="2">
        <f>Tabela2[[#This Row],[Coluna4]]</f>
        <v>45930</v>
      </c>
      <c r="W320" s="2">
        <f>Tabela2[[#This Row],[Coluna6]]</f>
        <v>46030</v>
      </c>
    </row>
    <row r="321" spans="2:23" x14ac:dyDescent="0.2">
      <c r="B321" t="s">
        <v>12</v>
      </c>
      <c r="C321" t="s">
        <v>95</v>
      </c>
      <c r="D321" t="s">
        <v>13</v>
      </c>
      <c r="E321" s="8">
        <v>45930</v>
      </c>
      <c r="F321" t="s">
        <v>84</v>
      </c>
      <c r="G321" s="8">
        <v>46030</v>
      </c>
      <c r="H321" t="s">
        <v>570</v>
      </c>
      <c r="I321" t="e">
        <f>VLOOKUP(Tabela2[[#This Row],[Coluna7]],[1]!Tabela1[#All],2,0)</f>
        <v>#REF!</v>
      </c>
      <c r="J321" t="s">
        <v>737</v>
      </c>
      <c r="L321">
        <v>127.85</v>
      </c>
      <c r="Q321" s="10" t="str">
        <f>Tabela2[[#This Row],[Coluna5]]</f>
        <v>01/2026</v>
      </c>
      <c r="R321" s="10" t="str">
        <f>IF(Tabela2[[#This Row],[Coluna9]]&gt;0,"Entrada","Saída")</f>
        <v>Saída</v>
      </c>
      <c r="S321" s="10" t="str">
        <f>Tabela2[[#This Row],[Coluna8]]</f>
        <v>CARTÃO SANTANDER</v>
      </c>
      <c r="T321" s="10" t="e">
        <f>Tabela2[[#This Row],[Coluna72]]</f>
        <v>#REF!</v>
      </c>
      <c r="U321" s="10">
        <f>SUM(Tabela2[[#This Row],[Coluna9]],Tabela2[[#This Row],[Coluna10]])</f>
        <v>127.85</v>
      </c>
      <c r="V321" s="2">
        <f>Tabela2[[#This Row],[Coluna4]]</f>
        <v>45930</v>
      </c>
      <c r="W321" s="2">
        <f>Tabela2[[#This Row],[Coluna6]]</f>
        <v>46030</v>
      </c>
    </row>
    <row r="322" spans="2:23" x14ac:dyDescent="0.2">
      <c r="B322" t="s">
        <v>12</v>
      </c>
      <c r="C322" t="s">
        <v>95</v>
      </c>
      <c r="D322" t="s">
        <v>13</v>
      </c>
      <c r="E322" s="8">
        <v>45930</v>
      </c>
      <c r="F322" t="s">
        <v>84</v>
      </c>
      <c r="G322" s="8">
        <v>46030</v>
      </c>
      <c r="H322" t="s">
        <v>435</v>
      </c>
      <c r="I322" t="e">
        <f>VLOOKUP(Tabela2[[#This Row],[Coluna7]],[1]!Tabela1[#All],2,0)</f>
        <v>#REF!</v>
      </c>
      <c r="J322" t="s">
        <v>737</v>
      </c>
      <c r="L322">
        <v>66.400000000000006</v>
      </c>
      <c r="Q322" s="10" t="str">
        <f>Tabela2[[#This Row],[Coluna5]]</f>
        <v>01/2026</v>
      </c>
      <c r="R322" s="10" t="str">
        <f>IF(Tabela2[[#This Row],[Coluna9]]&gt;0,"Entrada","Saída")</f>
        <v>Saída</v>
      </c>
      <c r="S322" s="10" t="str">
        <f>Tabela2[[#This Row],[Coluna8]]</f>
        <v>CARTÃO SANTANDER</v>
      </c>
      <c r="T322" s="10" t="e">
        <f>Tabela2[[#This Row],[Coluna72]]</f>
        <v>#REF!</v>
      </c>
      <c r="U322" s="10">
        <f>SUM(Tabela2[[#This Row],[Coluna9]],Tabela2[[#This Row],[Coluna10]])</f>
        <v>66.400000000000006</v>
      </c>
      <c r="V322" s="2">
        <f>Tabela2[[#This Row],[Coluna4]]</f>
        <v>45930</v>
      </c>
      <c r="W322" s="2">
        <f>Tabela2[[#This Row],[Coluna6]]</f>
        <v>46030</v>
      </c>
    </row>
    <row r="323" spans="2:23" x14ac:dyDescent="0.2">
      <c r="B323" t="s">
        <v>12</v>
      </c>
      <c r="C323" t="s">
        <v>95</v>
      </c>
      <c r="D323" t="s">
        <v>13</v>
      </c>
      <c r="E323" s="8">
        <v>45934</v>
      </c>
      <c r="F323" t="s">
        <v>84</v>
      </c>
      <c r="G323" s="8">
        <v>46030</v>
      </c>
      <c r="H323" t="s">
        <v>458</v>
      </c>
      <c r="I323" t="e">
        <f>VLOOKUP(Tabela2[[#This Row],[Coluna7]],[1]!Tabela1[#All],2,0)</f>
        <v>#REF!</v>
      </c>
      <c r="J323" t="s">
        <v>737</v>
      </c>
      <c r="L323">
        <v>617.5</v>
      </c>
      <c r="Q323" s="10" t="str">
        <f>Tabela2[[#This Row],[Coluna5]]</f>
        <v>01/2026</v>
      </c>
      <c r="R323" s="10" t="str">
        <f>IF(Tabela2[[#This Row],[Coluna9]]&gt;0,"Entrada","Saída")</f>
        <v>Saída</v>
      </c>
      <c r="S323" s="10" t="str">
        <f>Tabela2[[#This Row],[Coluna8]]</f>
        <v>CARTÃO SANTANDER</v>
      </c>
      <c r="T323" s="10" t="e">
        <f>Tabela2[[#This Row],[Coluna72]]</f>
        <v>#REF!</v>
      </c>
      <c r="U323" s="10">
        <f>SUM(Tabela2[[#This Row],[Coluna9]],Tabela2[[#This Row],[Coluna10]])</f>
        <v>617.5</v>
      </c>
      <c r="V323" s="2">
        <f>Tabela2[[#This Row],[Coluna4]]</f>
        <v>45934</v>
      </c>
      <c r="W323" s="2">
        <f>Tabela2[[#This Row],[Coluna6]]</f>
        <v>46030</v>
      </c>
    </row>
    <row r="324" spans="2:23" x14ac:dyDescent="0.2">
      <c r="B324" t="s">
        <v>12</v>
      </c>
      <c r="C324" t="s">
        <v>95</v>
      </c>
      <c r="D324" t="s">
        <v>13</v>
      </c>
      <c r="E324" s="8">
        <v>45945</v>
      </c>
      <c r="F324" t="s">
        <v>84</v>
      </c>
      <c r="G324" s="8">
        <v>46030</v>
      </c>
      <c r="H324" t="s">
        <v>458</v>
      </c>
      <c r="I324" t="e">
        <f>VLOOKUP(Tabela2[[#This Row],[Coluna7]],[1]!Tabela1[#All],2,0)</f>
        <v>#REF!</v>
      </c>
      <c r="J324" t="s">
        <v>737</v>
      </c>
      <c r="L324">
        <v>71</v>
      </c>
      <c r="Q324" s="10" t="str">
        <f>Tabela2[[#This Row],[Coluna5]]</f>
        <v>01/2026</v>
      </c>
      <c r="R324" s="10" t="str">
        <f>IF(Tabela2[[#This Row],[Coluna9]]&gt;0,"Entrada","Saída")</f>
        <v>Saída</v>
      </c>
      <c r="S324" s="10" t="str">
        <f>Tabela2[[#This Row],[Coluna8]]</f>
        <v>CARTÃO SANTANDER</v>
      </c>
      <c r="T324" s="10" t="e">
        <f>Tabela2[[#This Row],[Coluna72]]</f>
        <v>#REF!</v>
      </c>
      <c r="U324" s="10">
        <f>SUM(Tabela2[[#This Row],[Coluna9]],Tabela2[[#This Row],[Coluna10]])</f>
        <v>71</v>
      </c>
      <c r="V324" s="2">
        <f>Tabela2[[#This Row],[Coluna4]]</f>
        <v>45945</v>
      </c>
      <c r="W324" s="2">
        <f>Tabela2[[#This Row],[Coluna6]]</f>
        <v>46030</v>
      </c>
    </row>
    <row r="325" spans="2:23" x14ac:dyDescent="0.2">
      <c r="B325" t="s">
        <v>12</v>
      </c>
      <c r="C325" t="s">
        <v>95</v>
      </c>
      <c r="D325" t="s">
        <v>13</v>
      </c>
      <c r="E325" s="8">
        <v>45963</v>
      </c>
      <c r="F325" t="s">
        <v>84</v>
      </c>
      <c r="G325" s="8">
        <v>46030</v>
      </c>
      <c r="H325" t="s">
        <v>570</v>
      </c>
      <c r="I325" t="e">
        <f>VLOOKUP(Tabela2[[#This Row],[Coluna7]],[1]!Tabela1[#All],2,0)</f>
        <v>#REF!</v>
      </c>
      <c r="J325" t="s">
        <v>737</v>
      </c>
      <c r="L325">
        <v>0.56999999999999995</v>
      </c>
      <c r="Q325" s="10" t="str">
        <f>Tabela2[[#This Row],[Coluna5]]</f>
        <v>01/2026</v>
      </c>
      <c r="R325" s="10" t="str">
        <f>IF(Tabela2[[#This Row],[Coluna9]]&gt;0,"Entrada","Saída")</f>
        <v>Saída</v>
      </c>
      <c r="S325" s="10" t="str">
        <f>Tabela2[[#This Row],[Coluna8]]</f>
        <v>CARTÃO SANTANDER</v>
      </c>
      <c r="T325" s="10" t="e">
        <f>Tabela2[[#This Row],[Coluna72]]</f>
        <v>#REF!</v>
      </c>
      <c r="U325" s="10">
        <f>SUM(Tabela2[[#This Row],[Coluna9]],Tabela2[[#This Row],[Coluna10]])</f>
        <v>0.56999999999999995</v>
      </c>
      <c r="V325" s="2">
        <f>Tabela2[[#This Row],[Coluna4]]</f>
        <v>45963</v>
      </c>
      <c r="W325" s="2">
        <f>Tabela2[[#This Row],[Coluna6]]</f>
        <v>46030</v>
      </c>
    </row>
    <row r="326" spans="2:23" x14ac:dyDescent="0.2">
      <c r="B326" t="s">
        <v>12</v>
      </c>
      <c r="C326" t="s">
        <v>95</v>
      </c>
      <c r="D326" t="s">
        <v>13</v>
      </c>
      <c r="E326" s="8">
        <v>45964</v>
      </c>
      <c r="F326" t="s">
        <v>84</v>
      </c>
      <c r="G326" s="8">
        <v>46030</v>
      </c>
      <c r="H326" t="s">
        <v>570</v>
      </c>
      <c r="I326" t="e">
        <f>VLOOKUP(Tabela2[[#This Row],[Coluna7]],[1]!Tabela1[#All],2,0)</f>
        <v>#REF!</v>
      </c>
      <c r="J326" t="s">
        <v>737</v>
      </c>
      <c r="L326">
        <v>299.99</v>
      </c>
      <c r="Q326" s="10" t="str">
        <f>Tabela2[[#This Row],[Coluna5]]</f>
        <v>01/2026</v>
      </c>
      <c r="R326" s="10" t="str">
        <f>IF(Tabela2[[#This Row],[Coluna9]]&gt;0,"Entrada","Saída")</f>
        <v>Saída</v>
      </c>
      <c r="S326" s="10" t="str">
        <f>Tabela2[[#This Row],[Coluna8]]</f>
        <v>CARTÃO SANTANDER</v>
      </c>
      <c r="T326" s="10" t="e">
        <f>Tabela2[[#This Row],[Coluna72]]</f>
        <v>#REF!</v>
      </c>
      <c r="U326" s="10">
        <f>SUM(Tabela2[[#This Row],[Coluna9]],Tabela2[[#This Row],[Coluna10]])</f>
        <v>299.99</v>
      </c>
      <c r="V326" s="2">
        <f>Tabela2[[#This Row],[Coluna4]]</f>
        <v>45964</v>
      </c>
      <c r="W326" s="2">
        <f>Tabela2[[#This Row],[Coluna6]]</f>
        <v>46030</v>
      </c>
    </row>
    <row r="327" spans="2:23" x14ac:dyDescent="0.2">
      <c r="B327" t="s">
        <v>12</v>
      </c>
      <c r="C327" t="s">
        <v>95</v>
      </c>
      <c r="D327" t="s">
        <v>13</v>
      </c>
      <c r="E327" s="8">
        <v>45964</v>
      </c>
      <c r="F327" t="s">
        <v>84</v>
      </c>
      <c r="G327" s="8">
        <v>46030</v>
      </c>
      <c r="H327" t="s">
        <v>570</v>
      </c>
      <c r="I327" t="e">
        <f>VLOOKUP(Tabela2[[#This Row],[Coluna7]],[1]!Tabela1[#All],2,0)</f>
        <v>#REF!</v>
      </c>
      <c r="J327" t="s">
        <v>737</v>
      </c>
      <c r="L327">
        <v>5.91</v>
      </c>
      <c r="Q327" s="10" t="str">
        <f>Tabela2[[#This Row],[Coluna5]]</f>
        <v>01/2026</v>
      </c>
      <c r="R327" s="10" t="str">
        <f>IF(Tabela2[[#This Row],[Coluna9]]&gt;0,"Entrada","Saída")</f>
        <v>Saída</v>
      </c>
      <c r="S327" s="10" t="str">
        <f>Tabela2[[#This Row],[Coluna8]]</f>
        <v>CARTÃO SANTANDER</v>
      </c>
      <c r="T327" s="10" t="e">
        <f>Tabela2[[#This Row],[Coluna72]]</f>
        <v>#REF!</v>
      </c>
      <c r="U327" s="10">
        <f>SUM(Tabela2[[#This Row],[Coluna9]],Tabela2[[#This Row],[Coluna10]])</f>
        <v>5.91</v>
      </c>
      <c r="V327" s="2">
        <f>Tabela2[[#This Row],[Coluna4]]</f>
        <v>45964</v>
      </c>
      <c r="W327" s="2">
        <f>Tabela2[[#This Row],[Coluna6]]</f>
        <v>46030</v>
      </c>
    </row>
    <row r="328" spans="2:23" x14ac:dyDescent="0.2">
      <c r="B328" t="s">
        <v>12</v>
      </c>
      <c r="C328" t="s">
        <v>95</v>
      </c>
      <c r="D328" t="s">
        <v>13</v>
      </c>
      <c r="E328" s="8">
        <v>45987</v>
      </c>
      <c r="F328" t="s">
        <v>84</v>
      </c>
      <c r="G328" s="8">
        <v>46030</v>
      </c>
      <c r="H328" t="s">
        <v>458</v>
      </c>
      <c r="I328" t="e">
        <f>VLOOKUP(Tabela2[[#This Row],[Coluna7]],[1]!Tabela1[#All],2,0)</f>
        <v>#REF!</v>
      </c>
      <c r="J328" t="s">
        <v>737</v>
      </c>
      <c r="L328">
        <v>175</v>
      </c>
      <c r="Q328" s="10" t="str">
        <f>Tabela2[[#This Row],[Coluna5]]</f>
        <v>01/2026</v>
      </c>
      <c r="R328" s="10" t="str">
        <f>IF(Tabela2[[#This Row],[Coluna9]]&gt;0,"Entrada","Saída")</f>
        <v>Saída</v>
      </c>
      <c r="S328" s="10" t="str">
        <f>Tabela2[[#This Row],[Coluna8]]</f>
        <v>CARTÃO SANTANDER</v>
      </c>
      <c r="T328" s="10" t="e">
        <f>Tabela2[[#This Row],[Coluna72]]</f>
        <v>#REF!</v>
      </c>
      <c r="U328" s="10">
        <f>SUM(Tabela2[[#This Row],[Coluna9]],Tabela2[[#This Row],[Coluna10]])</f>
        <v>175</v>
      </c>
      <c r="V328" s="2">
        <f>Tabela2[[#This Row],[Coluna4]]</f>
        <v>45987</v>
      </c>
      <c r="W328" s="2">
        <f>Tabela2[[#This Row],[Coluna6]]</f>
        <v>46030</v>
      </c>
    </row>
    <row r="329" spans="2:23" x14ac:dyDescent="0.2">
      <c r="B329" t="s">
        <v>12</v>
      </c>
      <c r="C329" t="s">
        <v>95</v>
      </c>
      <c r="D329" t="s">
        <v>13</v>
      </c>
      <c r="E329" s="8">
        <v>45990</v>
      </c>
      <c r="F329" t="s">
        <v>84</v>
      </c>
      <c r="G329" s="8">
        <v>46030</v>
      </c>
      <c r="H329" t="s">
        <v>435</v>
      </c>
      <c r="I329" t="e">
        <f>VLOOKUP(Tabela2[[#This Row],[Coluna7]],[1]!Tabela1[#All],2,0)</f>
        <v>#REF!</v>
      </c>
      <c r="J329" t="s">
        <v>737</v>
      </c>
      <c r="L329">
        <v>30</v>
      </c>
      <c r="Q329" s="10" t="str">
        <f>Tabela2[[#This Row],[Coluna5]]</f>
        <v>01/2026</v>
      </c>
      <c r="R329" s="10" t="str">
        <f>IF(Tabela2[[#This Row],[Coluna9]]&gt;0,"Entrada","Saída")</f>
        <v>Saída</v>
      </c>
      <c r="S329" s="10" t="str">
        <f>Tabela2[[#This Row],[Coluna8]]</f>
        <v>CARTÃO SANTANDER</v>
      </c>
      <c r="T329" s="10" t="e">
        <f>Tabela2[[#This Row],[Coluna72]]</f>
        <v>#REF!</v>
      </c>
      <c r="U329" s="10">
        <f>SUM(Tabela2[[#This Row],[Coluna9]],Tabela2[[#This Row],[Coluna10]])</f>
        <v>30</v>
      </c>
      <c r="V329" s="2">
        <f>Tabela2[[#This Row],[Coluna4]]</f>
        <v>45990</v>
      </c>
      <c r="W329" s="2">
        <f>Tabela2[[#This Row],[Coluna6]]</f>
        <v>46030</v>
      </c>
    </row>
    <row r="330" spans="2:23" x14ac:dyDescent="0.2">
      <c r="B330" t="s">
        <v>12</v>
      </c>
      <c r="C330" t="s">
        <v>95</v>
      </c>
      <c r="D330" t="s">
        <v>13</v>
      </c>
      <c r="E330" s="8">
        <v>45990</v>
      </c>
      <c r="F330" t="s">
        <v>84</v>
      </c>
      <c r="G330" s="8">
        <v>46030</v>
      </c>
      <c r="H330" t="s">
        <v>435</v>
      </c>
      <c r="I330" t="e">
        <f>VLOOKUP(Tabela2[[#This Row],[Coluna7]],[1]!Tabela1[#All],2,0)</f>
        <v>#REF!</v>
      </c>
      <c r="J330" t="s">
        <v>737</v>
      </c>
      <c r="L330">
        <v>63.39</v>
      </c>
      <c r="Q330" s="10" t="str">
        <f>Tabela2[[#This Row],[Coluna5]]</f>
        <v>01/2026</v>
      </c>
      <c r="R330" s="10" t="str">
        <f>IF(Tabela2[[#This Row],[Coluna9]]&gt;0,"Entrada","Saída")</f>
        <v>Saída</v>
      </c>
      <c r="S330" s="10" t="str">
        <f>Tabela2[[#This Row],[Coluna8]]</f>
        <v>CARTÃO SANTANDER</v>
      </c>
      <c r="T330" s="10" t="e">
        <f>Tabela2[[#This Row],[Coluna72]]</f>
        <v>#REF!</v>
      </c>
      <c r="U330" s="10">
        <f>SUM(Tabela2[[#This Row],[Coluna9]],Tabela2[[#This Row],[Coluna10]])</f>
        <v>63.39</v>
      </c>
      <c r="V330" s="2">
        <f>Tabela2[[#This Row],[Coluna4]]</f>
        <v>45990</v>
      </c>
      <c r="W330" s="2">
        <f>Tabela2[[#This Row],[Coluna6]]</f>
        <v>46030</v>
      </c>
    </row>
    <row r="331" spans="2:23" x14ac:dyDescent="0.2">
      <c r="B331" t="s">
        <v>12</v>
      </c>
      <c r="C331" t="s">
        <v>95</v>
      </c>
      <c r="D331" t="s">
        <v>13</v>
      </c>
      <c r="E331" s="8">
        <v>45992</v>
      </c>
      <c r="F331" t="s">
        <v>84</v>
      </c>
      <c r="G331" s="8">
        <v>46030</v>
      </c>
      <c r="H331" t="s">
        <v>458</v>
      </c>
      <c r="I331" t="e">
        <f>VLOOKUP(Tabela2[[#This Row],[Coluna7]],[1]!Tabela1[#All],2,0)</f>
        <v>#REF!</v>
      </c>
      <c r="J331" t="s">
        <v>737</v>
      </c>
      <c r="L331">
        <v>110</v>
      </c>
      <c r="Q331" s="10" t="str">
        <f>Tabela2[[#This Row],[Coluna5]]</f>
        <v>01/2026</v>
      </c>
      <c r="R331" s="10" t="str">
        <f>IF(Tabela2[[#This Row],[Coluna9]]&gt;0,"Entrada","Saída")</f>
        <v>Saída</v>
      </c>
      <c r="S331" s="10" t="str">
        <f>Tabela2[[#This Row],[Coluna8]]</f>
        <v>CARTÃO SANTANDER</v>
      </c>
      <c r="T331" s="10" t="e">
        <f>Tabela2[[#This Row],[Coluna72]]</f>
        <v>#REF!</v>
      </c>
      <c r="U331" s="10">
        <f>SUM(Tabela2[[#This Row],[Coluna9]],Tabela2[[#This Row],[Coluna10]])</f>
        <v>110</v>
      </c>
      <c r="V331" s="2">
        <f>Tabela2[[#This Row],[Coluna4]]</f>
        <v>45992</v>
      </c>
      <c r="W331" s="2">
        <f>Tabela2[[#This Row],[Coluna6]]</f>
        <v>46030</v>
      </c>
    </row>
    <row r="332" spans="2:23" x14ac:dyDescent="0.2">
      <c r="B332" t="s">
        <v>12</v>
      </c>
      <c r="C332" t="s">
        <v>95</v>
      </c>
      <c r="D332" t="s">
        <v>13</v>
      </c>
      <c r="E332" s="8">
        <v>45993</v>
      </c>
      <c r="F332" t="s">
        <v>84</v>
      </c>
      <c r="G332" s="8">
        <v>46030</v>
      </c>
      <c r="H332" t="s">
        <v>719</v>
      </c>
      <c r="I332" t="e">
        <f>VLOOKUP(Tabela2[[#This Row],[Coluna7]],[1]!Tabela1[#All],2,0)</f>
        <v>#REF!</v>
      </c>
      <c r="J332" t="s">
        <v>737</v>
      </c>
      <c r="L332">
        <v>67.75</v>
      </c>
      <c r="Q332" s="10" t="str">
        <f>Tabela2[[#This Row],[Coluna5]]</f>
        <v>01/2026</v>
      </c>
      <c r="R332" s="10" t="str">
        <f>IF(Tabela2[[#This Row],[Coluna9]]&gt;0,"Entrada","Saída")</f>
        <v>Saída</v>
      </c>
      <c r="S332" s="10" t="str">
        <f>Tabela2[[#This Row],[Coluna8]]</f>
        <v>CARTÃO SANTANDER</v>
      </c>
      <c r="T332" s="10" t="e">
        <f>Tabela2[[#This Row],[Coluna72]]</f>
        <v>#REF!</v>
      </c>
      <c r="U332" s="10">
        <f>SUM(Tabela2[[#This Row],[Coluna9]],Tabela2[[#This Row],[Coluna10]])</f>
        <v>67.75</v>
      </c>
      <c r="V332" s="2">
        <f>Tabela2[[#This Row],[Coluna4]]</f>
        <v>45993</v>
      </c>
      <c r="W332" s="2">
        <f>Tabela2[[#This Row],[Coluna6]]</f>
        <v>46030</v>
      </c>
    </row>
    <row r="333" spans="2:23" x14ac:dyDescent="0.2">
      <c r="B333" t="s">
        <v>12</v>
      </c>
      <c r="C333" t="s">
        <v>95</v>
      </c>
      <c r="D333" t="s">
        <v>13</v>
      </c>
      <c r="E333" s="8">
        <v>45994</v>
      </c>
      <c r="F333" t="s">
        <v>84</v>
      </c>
      <c r="G333" s="8">
        <v>46030</v>
      </c>
      <c r="H333" t="s">
        <v>488</v>
      </c>
      <c r="I333" t="e">
        <f>VLOOKUP(Tabela2[[#This Row],[Coluna7]],[1]!Tabela1[#All],2,0)</f>
        <v>#REF!</v>
      </c>
      <c r="J333" t="s">
        <v>737</v>
      </c>
      <c r="L333">
        <v>16.489999999999998</v>
      </c>
      <c r="Q333" s="10" t="str">
        <f>Tabela2[[#This Row],[Coluna5]]</f>
        <v>01/2026</v>
      </c>
      <c r="R333" s="10" t="str">
        <f>IF(Tabela2[[#This Row],[Coluna9]]&gt;0,"Entrada","Saída")</f>
        <v>Saída</v>
      </c>
      <c r="S333" s="10" t="str">
        <f>Tabela2[[#This Row],[Coluna8]]</f>
        <v>CARTÃO SANTANDER</v>
      </c>
      <c r="T333" s="10" t="e">
        <f>Tabela2[[#This Row],[Coluna72]]</f>
        <v>#REF!</v>
      </c>
      <c r="U333" s="10">
        <f>SUM(Tabela2[[#This Row],[Coluna9]],Tabela2[[#This Row],[Coluna10]])</f>
        <v>16.489999999999998</v>
      </c>
      <c r="V333" s="2">
        <f>Tabela2[[#This Row],[Coluna4]]</f>
        <v>45994</v>
      </c>
      <c r="W333" s="2">
        <f>Tabela2[[#This Row],[Coluna6]]</f>
        <v>46030</v>
      </c>
    </row>
    <row r="334" spans="2:23" x14ac:dyDescent="0.2">
      <c r="B334" t="s">
        <v>12</v>
      </c>
      <c r="C334" t="s">
        <v>95</v>
      </c>
      <c r="D334" t="s">
        <v>13</v>
      </c>
      <c r="E334" s="8">
        <v>45995</v>
      </c>
      <c r="F334" t="s">
        <v>84</v>
      </c>
      <c r="G334" s="8">
        <v>46030</v>
      </c>
      <c r="H334" t="s">
        <v>719</v>
      </c>
      <c r="I334" t="e">
        <f>VLOOKUP(Tabela2[[#This Row],[Coluna7]],[1]!Tabela1[#All],2,0)</f>
        <v>#REF!</v>
      </c>
      <c r="J334" t="s">
        <v>737</v>
      </c>
      <c r="L334">
        <v>92.42</v>
      </c>
      <c r="Q334" s="10" t="str">
        <f>Tabela2[[#This Row],[Coluna5]]</f>
        <v>01/2026</v>
      </c>
      <c r="R334" s="10" t="str">
        <f>IF(Tabela2[[#This Row],[Coluna9]]&gt;0,"Entrada","Saída")</f>
        <v>Saída</v>
      </c>
      <c r="S334" s="10" t="str">
        <f>Tabela2[[#This Row],[Coluna8]]</f>
        <v>CARTÃO SANTANDER</v>
      </c>
      <c r="T334" s="10" t="e">
        <f>Tabela2[[#This Row],[Coluna72]]</f>
        <v>#REF!</v>
      </c>
      <c r="U334" s="10">
        <f>SUM(Tabela2[[#This Row],[Coluna9]],Tabela2[[#This Row],[Coluna10]])</f>
        <v>92.42</v>
      </c>
      <c r="V334" s="2">
        <f>Tabela2[[#This Row],[Coluna4]]</f>
        <v>45995</v>
      </c>
      <c r="W334" s="2">
        <f>Tabela2[[#This Row],[Coluna6]]</f>
        <v>46030</v>
      </c>
    </row>
    <row r="335" spans="2:23" x14ac:dyDescent="0.2">
      <c r="B335" t="s">
        <v>12</v>
      </c>
      <c r="C335" t="s">
        <v>95</v>
      </c>
      <c r="D335" t="s">
        <v>13</v>
      </c>
      <c r="E335" s="8">
        <v>45997</v>
      </c>
      <c r="F335" t="s">
        <v>84</v>
      </c>
      <c r="G335" s="8">
        <v>46030</v>
      </c>
      <c r="H335" t="s">
        <v>488</v>
      </c>
      <c r="I335" t="e">
        <f>VLOOKUP(Tabela2[[#This Row],[Coluna7]],[1]!Tabela1[#All],2,0)</f>
        <v>#REF!</v>
      </c>
      <c r="J335" t="s">
        <v>737</v>
      </c>
      <c r="L335">
        <v>17.440000000000001</v>
      </c>
      <c r="Q335" s="10" t="str">
        <f>Tabela2[[#This Row],[Coluna5]]</f>
        <v>01/2026</v>
      </c>
      <c r="R335" s="10" t="str">
        <f>IF(Tabela2[[#This Row],[Coluna9]]&gt;0,"Entrada","Saída")</f>
        <v>Saída</v>
      </c>
      <c r="S335" s="10" t="str">
        <f>Tabela2[[#This Row],[Coluna8]]</f>
        <v>CARTÃO SANTANDER</v>
      </c>
      <c r="T335" s="10" t="e">
        <f>Tabela2[[#This Row],[Coluna72]]</f>
        <v>#REF!</v>
      </c>
      <c r="U335" s="10">
        <f>SUM(Tabela2[[#This Row],[Coluna9]],Tabela2[[#This Row],[Coluna10]])</f>
        <v>17.440000000000001</v>
      </c>
      <c r="V335" s="2">
        <f>Tabela2[[#This Row],[Coluna4]]</f>
        <v>45997</v>
      </c>
      <c r="W335" s="2">
        <f>Tabela2[[#This Row],[Coluna6]]</f>
        <v>46030</v>
      </c>
    </row>
    <row r="336" spans="2:23" x14ac:dyDescent="0.2">
      <c r="B336" t="s">
        <v>12</v>
      </c>
      <c r="C336" t="s">
        <v>95</v>
      </c>
      <c r="D336" t="s">
        <v>13</v>
      </c>
      <c r="E336" s="8">
        <v>45998</v>
      </c>
      <c r="F336" t="s">
        <v>84</v>
      </c>
      <c r="G336" s="8">
        <v>46030</v>
      </c>
      <c r="H336" t="s">
        <v>528</v>
      </c>
      <c r="I336" t="e">
        <f>VLOOKUP(Tabela2[[#This Row],[Coluna7]],[1]!Tabela1[#All],2,0)</f>
        <v>#REF!</v>
      </c>
      <c r="J336" t="s">
        <v>737</v>
      </c>
      <c r="L336">
        <v>5.9</v>
      </c>
      <c r="Q336" s="10" t="str">
        <f>Tabela2[[#This Row],[Coluna5]]</f>
        <v>01/2026</v>
      </c>
      <c r="R336" s="10" t="str">
        <f>IF(Tabela2[[#This Row],[Coluna9]]&gt;0,"Entrada","Saída")</f>
        <v>Saída</v>
      </c>
      <c r="S336" s="10" t="str">
        <f>Tabela2[[#This Row],[Coluna8]]</f>
        <v>CARTÃO SANTANDER</v>
      </c>
      <c r="T336" s="10" t="e">
        <f>Tabela2[[#This Row],[Coluna72]]</f>
        <v>#REF!</v>
      </c>
      <c r="U336" s="10">
        <f>SUM(Tabela2[[#This Row],[Coluna9]],Tabela2[[#This Row],[Coluna10]])</f>
        <v>5.9</v>
      </c>
      <c r="V336" s="2">
        <f>Tabela2[[#This Row],[Coluna4]]</f>
        <v>45998</v>
      </c>
      <c r="W336" s="2">
        <f>Tabela2[[#This Row],[Coluna6]]</f>
        <v>46030</v>
      </c>
    </row>
    <row r="337" spans="2:23" x14ac:dyDescent="0.2">
      <c r="B337" t="s">
        <v>12</v>
      </c>
      <c r="C337" t="s">
        <v>95</v>
      </c>
      <c r="D337" t="s">
        <v>13</v>
      </c>
      <c r="E337" s="8">
        <v>45999</v>
      </c>
      <c r="F337" t="s">
        <v>84</v>
      </c>
      <c r="G337" s="8">
        <v>46030</v>
      </c>
      <c r="H337" t="s">
        <v>570</v>
      </c>
      <c r="I337" t="e">
        <f>VLOOKUP(Tabela2[[#This Row],[Coluna7]],[1]!Tabela1[#All],2,0)</f>
        <v>#REF!</v>
      </c>
      <c r="J337" t="s">
        <v>737</v>
      </c>
      <c r="L337">
        <v>14.76</v>
      </c>
      <c r="Q337" s="10" t="str">
        <f>Tabela2[[#This Row],[Coluna5]]</f>
        <v>01/2026</v>
      </c>
      <c r="R337" s="10" t="str">
        <f>IF(Tabela2[[#This Row],[Coluna9]]&gt;0,"Entrada","Saída")</f>
        <v>Saída</v>
      </c>
      <c r="S337" s="10" t="str">
        <f>Tabela2[[#This Row],[Coluna8]]</f>
        <v>CARTÃO SANTANDER</v>
      </c>
      <c r="T337" s="10" t="e">
        <f>Tabela2[[#This Row],[Coluna72]]</f>
        <v>#REF!</v>
      </c>
      <c r="U337" s="10">
        <f>SUM(Tabela2[[#This Row],[Coluna9]],Tabela2[[#This Row],[Coluna10]])</f>
        <v>14.76</v>
      </c>
      <c r="V337" s="2">
        <f>Tabela2[[#This Row],[Coluna4]]</f>
        <v>45999</v>
      </c>
      <c r="W337" s="2">
        <f>Tabela2[[#This Row],[Coluna6]]</f>
        <v>46030</v>
      </c>
    </row>
    <row r="338" spans="2:23" x14ac:dyDescent="0.2">
      <c r="B338" t="s">
        <v>12</v>
      </c>
      <c r="C338" t="s">
        <v>95</v>
      </c>
      <c r="D338" t="s">
        <v>13</v>
      </c>
      <c r="E338" s="8">
        <v>46000</v>
      </c>
      <c r="F338" t="s">
        <v>84</v>
      </c>
      <c r="G338" s="8">
        <v>46030</v>
      </c>
      <c r="H338" t="s">
        <v>458</v>
      </c>
      <c r="I338" t="e">
        <f>VLOOKUP(Tabela2[[#This Row],[Coluna7]],[1]!Tabela1[#All],2,0)</f>
        <v>#REF!</v>
      </c>
      <c r="J338" t="s">
        <v>737</v>
      </c>
      <c r="L338">
        <v>37.5</v>
      </c>
      <c r="Q338" s="10" t="str">
        <f>Tabela2[[#This Row],[Coluna5]]</f>
        <v>01/2026</v>
      </c>
      <c r="R338" s="10" t="str">
        <f>IF(Tabela2[[#This Row],[Coluna9]]&gt;0,"Entrada","Saída")</f>
        <v>Saída</v>
      </c>
      <c r="S338" s="10" t="str">
        <f>Tabela2[[#This Row],[Coluna8]]</f>
        <v>CARTÃO SANTANDER</v>
      </c>
      <c r="T338" s="10" t="e">
        <f>Tabela2[[#This Row],[Coluna72]]</f>
        <v>#REF!</v>
      </c>
      <c r="U338" s="10">
        <f>SUM(Tabela2[[#This Row],[Coluna9]],Tabela2[[#This Row],[Coluna10]])</f>
        <v>37.5</v>
      </c>
      <c r="V338" s="2">
        <f>Tabela2[[#This Row],[Coluna4]]</f>
        <v>46000</v>
      </c>
      <c r="W338" s="2">
        <f>Tabela2[[#This Row],[Coluna6]]</f>
        <v>46030</v>
      </c>
    </row>
    <row r="339" spans="2:23" x14ac:dyDescent="0.2">
      <c r="B339" t="s">
        <v>12</v>
      </c>
      <c r="C339" t="s">
        <v>95</v>
      </c>
      <c r="D339" t="s">
        <v>13</v>
      </c>
      <c r="E339" s="8">
        <v>46001</v>
      </c>
      <c r="F339" t="s">
        <v>84</v>
      </c>
      <c r="G339" s="8">
        <v>46030</v>
      </c>
      <c r="H339" t="s">
        <v>570</v>
      </c>
      <c r="I339" t="e">
        <f>VLOOKUP(Tabela2[[#This Row],[Coluna7]],[1]!Tabela1[#All],2,0)</f>
        <v>#REF!</v>
      </c>
      <c r="J339" t="s">
        <v>737</v>
      </c>
      <c r="L339">
        <v>163.81</v>
      </c>
      <c r="Q339" s="10" t="str">
        <f>Tabela2[[#This Row],[Coluna5]]</f>
        <v>01/2026</v>
      </c>
      <c r="R339" s="10" t="str">
        <f>IF(Tabela2[[#This Row],[Coluna9]]&gt;0,"Entrada","Saída")</f>
        <v>Saída</v>
      </c>
      <c r="S339" s="10" t="str">
        <f>Tabela2[[#This Row],[Coluna8]]</f>
        <v>CARTÃO SANTANDER</v>
      </c>
      <c r="T339" s="10" t="e">
        <f>Tabela2[[#This Row],[Coluna72]]</f>
        <v>#REF!</v>
      </c>
      <c r="U339" s="10">
        <f>SUM(Tabela2[[#This Row],[Coluna9]],Tabela2[[#This Row],[Coluna10]])</f>
        <v>163.81</v>
      </c>
      <c r="V339" s="2">
        <f>Tabela2[[#This Row],[Coluna4]]</f>
        <v>46001</v>
      </c>
      <c r="W339" s="2">
        <f>Tabela2[[#This Row],[Coluna6]]</f>
        <v>46030</v>
      </c>
    </row>
    <row r="340" spans="2:23" x14ac:dyDescent="0.2">
      <c r="B340" t="s">
        <v>12</v>
      </c>
      <c r="C340" t="s">
        <v>95</v>
      </c>
      <c r="D340" t="s">
        <v>13</v>
      </c>
      <c r="E340" s="8">
        <v>46001</v>
      </c>
      <c r="F340" t="s">
        <v>84</v>
      </c>
      <c r="G340" s="8">
        <v>46030</v>
      </c>
      <c r="H340" t="s">
        <v>719</v>
      </c>
      <c r="I340" t="e">
        <f>VLOOKUP(Tabela2[[#This Row],[Coluna7]],[1]!Tabela1[#All],2,0)</f>
        <v>#REF!</v>
      </c>
      <c r="J340" t="s">
        <v>737</v>
      </c>
      <c r="L340">
        <v>70.98</v>
      </c>
      <c r="Q340" s="10" t="str">
        <f>Tabela2[[#This Row],[Coluna5]]</f>
        <v>01/2026</v>
      </c>
      <c r="R340" s="10" t="str">
        <f>IF(Tabela2[[#This Row],[Coluna9]]&gt;0,"Entrada","Saída")</f>
        <v>Saída</v>
      </c>
      <c r="S340" s="10" t="str">
        <f>Tabela2[[#This Row],[Coluna8]]</f>
        <v>CARTÃO SANTANDER</v>
      </c>
      <c r="T340" s="10" t="e">
        <f>Tabela2[[#This Row],[Coluna72]]</f>
        <v>#REF!</v>
      </c>
      <c r="U340" s="10">
        <f>SUM(Tabela2[[#This Row],[Coluna9]],Tabela2[[#This Row],[Coluna10]])</f>
        <v>70.98</v>
      </c>
      <c r="V340" s="2">
        <f>Tabela2[[#This Row],[Coluna4]]</f>
        <v>46001</v>
      </c>
      <c r="W340" s="2">
        <f>Tabela2[[#This Row],[Coluna6]]</f>
        <v>46030</v>
      </c>
    </row>
    <row r="341" spans="2:23" x14ac:dyDescent="0.2">
      <c r="B341" t="s">
        <v>12</v>
      </c>
      <c r="C341" t="s">
        <v>95</v>
      </c>
      <c r="D341" t="s">
        <v>13</v>
      </c>
      <c r="E341" s="8">
        <v>46001</v>
      </c>
      <c r="F341" t="s">
        <v>84</v>
      </c>
      <c r="G341" s="8">
        <v>46030</v>
      </c>
      <c r="H341" t="s">
        <v>488</v>
      </c>
      <c r="I341" t="e">
        <f>VLOOKUP(Tabela2[[#This Row],[Coluna7]],[1]!Tabela1[#All],2,0)</f>
        <v>#REF!</v>
      </c>
      <c r="J341" t="s">
        <v>737</v>
      </c>
      <c r="L341">
        <v>21.9</v>
      </c>
      <c r="Q341" s="10" t="str">
        <f>Tabela2[[#This Row],[Coluna5]]</f>
        <v>01/2026</v>
      </c>
      <c r="R341" s="10" t="str">
        <f>IF(Tabela2[[#This Row],[Coluna9]]&gt;0,"Entrada","Saída")</f>
        <v>Saída</v>
      </c>
      <c r="S341" s="10" t="str">
        <f>Tabela2[[#This Row],[Coluna8]]</f>
        <v>CARTÃO SANTANDER</v>
      </c>
      <c r="T341" s="10" t="e">
        <f>Tabela2[[#This Row],[Coluna72]]</f>
        <v>#REF!</v>
      </c>
      <c r="U341" s="10">
        <f>SUM(Tabela2[[#This Row],[Coluna9]],Tabela2[[#This Row],[Coluna10]])</f>
        <v>21.9</v>
      </c>
      <c r="V341" s="2">
        <f>Tabela2[[#This Row],[Coluna4]]</f>
        <v>46001</v>
      </c>
      <c r="W341" s="2">
        <f>Tabela2[[#This Row],[Coluna6]]</f>
        <v>46030</v>
      </c>
    </row>
    <row r="342" spans="2:23" x14ac:dyDescent="0.2">
      <c r="B342" t="s">
        <v>12</v>
      </c>
      <c r="C342" t="s">
        <v>95</v>
      </c>
      <c r="D342" t="s">
        <v>13</v>
      </c>
      <c r="E342" s="8">
        <v>46003</v>
      </c>
      <c r="F342" t="s">
        <v>84</v>
      </c>
      <c r="G342" s="8">
        <v>46030</v>
      </c>
      <c r="H342" t="s">
        <v>488</v>
      </c>
      <c r="I342" t="e">
        <f>VLOOKUP(Tabela2[[#This Row],[Coluna7]],[1]!Tabela1[#All],2,0)</f>
        <v>#REF!</v>
      </c>
      <c r="J342" t="s">
        <v>737</v>
      </c>
      <c r="L342">
        <v>17.7</v>
      </c>
      <c r="Q342" s="10" t="str">
        <f>Tabela2[[#This Row],[Coluna5]]</f>
        <v>01/2026</v>
      </c>
      <c r="R342" s="10" t="str">
        <f>IF(Tabela2[[#This Row],[Coluna9]]&gt;0,"Entrada","Saída")</f>
        <v>Saída</v>
      </c>
      <c r="S342" s="10" t="str">
        <f>Tabela2[[#This Row],[Coluna8]]</f>
        <v>CARTÃO SANTANDER</v>
      </c>
      <c r="T342" s="10" t="e">
        <f>Tabela2[[#This Row],[Coluna72]]</f>
        <v>#REF!</v>
      </c>
      <c r="U342" s="10">
        <f>SUM(Tabela2[[#This Row],[Coluna9]],Tabela2[[#This Row],[Coluna10]])</f>
        <v>17.7</v>
      </c>
      <c r="V342" s="2">
        <f>Tabela2[[#This Row],[Coluna4]]</f>
        <v>46003</v>
      </c>
      <c r="W342" s="2">
        <f>Tabela2[[#This Row],[Coluna6]]</f>
        <v>46030</v>
      </c>
    </row>
    <row r="343" spans="2:23" x14ac:dyDescent="0.2">
      <c r="B343" t="s">
        <v>12</v>
      </c>
      <c r="C343" t="s">
        <v>95</v>
      </c>
      <c r="D343" t="s">
        <v>13</v>
      </c>
      <c r="E343" s="8">
        <v>46003</v>
      </c>
      <c r="F343" t="s">
        <v>84</v>
      </c>
      <c r="G343" s="8">
        <v>46030</v>
      </c>
      <c r="H343" t="s">
        <v>570</v>
      </c>
      <c r="I343" t="e">
        <f>VLOOKUP(Tabela2[[#This Row],[Coluna7]],[1]!Tabela1[#All],2,0)</f>
        <v>#REF!</v>
      </c>
      <c r="J343" t="s">
        <v>737</v>
      </c>
      <c r="L343">
        <v>111.99</v>
      </c>
      <c r="Q343" s="10" t="str">
        <f>Tabela2[[#This Row],[Coluna5]]</f>
        <v>01/2026</v>
      </c>
      <c r="R343" s="10" t="str">
        <f>IF(Tabela2[[#This Row],[Coluna9]]&gt;0,"Entrada","Saída")</f>
        <v>Saída</v>
      </c>
      <c r="S343" s="10" t="str">
        <f>Tabela2[[#This Row],[Coluna8]]</f>
        <v>CARTÃO SANTANDER</v>
      </c>
      <c r="T343" s="10" t="e">
        <f>Tabela2[[#This Row],[Coluna72]]</f>
        <v>#REF!</v>
      </c>
      <c r="U343" s="10">
        <f>SUM(Tabela2[[#This Row],[Coluna9]],Tabela2[[#This Row],[Coluna10]])</f>
        <v>111.99</v>
      </c>
      <c r="V343" s="2">
        <f>Tabela2[[#This Row],[Coluna4]]</f>
        <v>46003</v>
      </c>
      <c r="W343" s="2">
        <f>Tabela2[[#This Row],[Coluna6]]</f>
        <v>46030</v>
      </c>
    </row>
    <row r="344" spans="2:23" x14ac:dyDescent="0.2">
      <c r="B344" t="s">
        <v>12</v>
      </c>
      <c r="C344" t="s">
        <v>95</v>
      </c>
      <c r="D344" t="s">
        <v>13</v>
      </c>
      <c r="E344" s="8">
        <v>46003</v>
      </c>
      <c r="F344" t="s">
        <v>84</v>
      </c>
      <c r="G344" s="8">
        <v>46030</v>
      </c>
      <c r="H344" t="s">
        <v>488</v>
      </c>
      <c r="I344" t="e">
        <f>VLOOKUP(Tabela2[[#This Row],[Coluna7]],[1]!Tabela1[#All],2,0)</f>
        <v>#REF!</v>
      </c>
      <c r="J344" t="s">
        <v>737</v>
      </c>
      <c r="L344">
        <v>307.01</v>
      </c>
      <c r="Q344" s="10" t="str">
        <f>Tabela2[[#This Row],[Coluna5]]</f>
        <v>01/2026</v>
      </c>
      <c r="R344" s="10" t="str">
        <f>IF(Tabela2[[#This Row],[Coluna9]]&gt;0,"Entrada","Saída")</f>
        <v>Saída</v>
      </c>
      <c r="S344" s="10" t="str">
        <f>Tabela2[[#This Row],[Coluna8]]</f>
        <v>CARTÃO SANTANDER</v>
      </c>
      <c r="T344" s="10" t="e">
        <f>Tabela2[[#This Row],[Coluna72]]</f>
        <v>#REF!</v>
      </c>
      <c r="U344" s="10">
        <f>SUM(Tabela2[[#This Row],[Coluna9]],Tabela2[[#This Row],[Coluna10]])</f>
        <v>307.01</v>
      </c>
      <c r="V344" s="2">
        <f>Tabela2[[#This Row],[Coluna4]]</f>
        <v>46003</v>
      </c>
      <c r="W344" s="2">
        <f>Tabela2[[#This Row],[Coluna6]]</f>
        <v>46030</v>
      </c>
    </row>
    <row r="345" spans="2:23" x14ac:dyDescent="0.2">
      <c r="B345" t="s">
        <v>12</v>
      </c>
      <c r="C345" t="s">
        <v>95</v>
      </c>
      <c r="D345" t="s">
        <v>13</v>
      </c>
      <c r="E345" s="8">
        <v>46007</v>
      </c>
      <c r="F345" t="s">
        <v>84</v>
      </c>
      <c r="G345" s="8">
        <v>46030</v>
      </c>
      <c r="H345" t="s">
        <v>488</v>
      </c>
      <c r="I345" t="e">
        <f>VLOOKUP(Tabela2[[#This Row],[Coluna7]],[1]!Tabela1[#All],2,0)</f>
        <v>#REF!</v>
      </c>
      <c r="J345" t="s">
        <v>737</v>
      </c>
      <c r="L345">
        <v>25</v>
      </c>
      <c r="Q345" s="10" t="str">
        <f>Tabela2[[#This Row],[Coluna5]]</f>
        <v>01/2026</v>
      </c>
      <c r="R345" s="10" t="str">
        <f>IF(Tabela2[[#This Row],[Coluna9]]&gt;0,"Entrada","Saída")</f>
        <v>Saída</v>
      </c>
      <c r="S345" s="10" t="str">
        <f>Tabela2[[#This Row],[Coluna8]]</f>
        <v>CARTÃO SANTANDER</v>
      </c>
      <c r="T345" s="10" t="e">
        <f>Tabela2[[#This Row],[Coluna72]]</f>
        <v>#REF!</v>
      </c>
      <c r="U345" s="10">
        <f>SUM(Tabela2[[#This Row],[Coluna9]],Tabela2[[#This Row],[Coluna10]])</f>
        <v>25</v>
      </c>
      <c r="V345" s="2">
        <f>Tabela2[[#This Row],[Coluna4]]</f>
        <v>46007</v>
      </c>
      <c r="W345" s="2">
        <f>Tabela2[[#This Row],[Coluna6]]</f>
        <v>46030</v>
      </c>
    </row>
    <row r="346" spans="2:23" x14ac:dyDescent="0.2">
      <c r="B346" t="s">
        <v>12</v>
      </c>
      <c r="C346" t="s">
        <v>95</v>
      </c>
      <c r="D346" t="s">
        <v>13</v>
      </c>
      <c r="E346" s="8">
        <v>46007</v>
      </c>
      <c r="F346" t="s">
        <v>84</v>
      </c>
      <c r="G346" s="8">
        <v>46030</v>
      </c>
      <c r="H346" t="s">
        <v>458</v>
      </c>
      <c r="I346" t="e">
        <f>VLOOKUP(Tabela2[[#This Row],[Coluna7]],[1]!Tabela1[#All],2,0)</f>
        <v>#REF!</v>
      </c>
      <c r="J346" t="s">
        <v>737</v>
      </c>
      <c r="L346">
        <v>110</v>
      </c>
      <c r="Q346" s="10" t="str">
        <f>Tabela2[[#This Row],[Coluna5]]</f>
        <v>01/2026</v>
      </c>
      <c r="R346" s="10" t="str">
        <f>IF(Tabela2[[#This Row],[Coluna9]]&gt;0,"Entrada","Saída")</f>
        <v>Saída</v>
      </c>
      <c r="S346" s="10" t="str">
        <f>Tabela2[[#This Row],[Coluna8]]</f>
        <v>CARTÃO SANTANDER</v>
      </c>
      <c r="T346" s="10" t="e">
        <f>Tabela2[[#This Row],[Coluna72]]</f>
        <v>#REF!</v>
      </c>
      <c r="U346" s="10">
        <f>SUM(Tabela2[[#This Row],[Coluna9]],Tabela2[[#This Row],[Coluna10]])</f>
        <v>110</v>
      </c>
      <c r="V346" s="2">
        <f>Tabela2[[#This Row],[Coluna4]]</f>
        <v>46007</v>
      </c>
      <c r="W346" s="2">
        <f>Tabela2[[#This Row],[Coluna6]]</f>
        <v>46030</v>
      </c>
    </row>
    <row r="347" spans="2:23" x14ac:dyDescent="0.2">
      <c r="B347" t="s">
        <v>12</v>
      </c>
      <c r="C347" t="s">
        <v>95</v>
      </c>
      <c r="D347" t="s">
        <v>13</v>
      </c>
      <c r="E347" s="8">
        <v>46009</v>
      </c>
      <c r="F347" t="s">
        <v>84</v>
      </c>
      <c r="G347" s="8">
        <v>46030</v>
      </c>
      <c r="H347" t="s">
        <v>156</v>
      </c>
      <c r="I347" t="e">
        <f>VLOOKUP(Tabela2[[#This Row],[Coluna7]],[1]!Tabela1[#All],2,0)</f>
        <v>#REF!</v>
      </c>
      <c r="J347" t="s">
        <v>737</v>
      </c>
      <c r="L347">
        <v>171.08</v>
      </c>
      <c r="Q347" s="10" t="str">
        <f>Tabela2[[#This Row],[Coluna5]]</f>
        <v>01/2026</v>
      </c>
      <c r="R347" s="10" t="str">
        <f>IF(Tabela2[[#This Row],[Coluna9]]&gt;0,"Entrada","Saída")</f>
        <v>Saída</v>
      </c>
      <c r="S347" s="10" t="str">
        <f>Tabela2[[#This Row],[Coluna8]]</f>
        <v>CARTÃO SANTANDER</v>
      </c>
      <c r="T347" s="10" t="e">
        <f>Tabela2[[#This Row],[Coluna72]]</f>
        <v>#REF!</v>
      </c>
      <c r="U347" s="10">
        <f>SUM(Tabela2[[#This Row],[Coluna9]],Tabela2[[#This Row],[Coluna10]])</f>
        <v>171.08</v>
      </c>
      <c r="V347" s="2">
        <f>Tabela2[[#This Row],[Coluna4]]</f>
        <v>46009</v>
      </c>
      <c r="W347" s="2">
        <f>Tabela2[[#This Row],[Coluna6]]</f>
        <v>46030</v>
      </c>
    </row>
    <row r="348" spans="2:23" x14ac:dyDescent="0.2">
      <c r="B348" t="s">
        <v>12</v>
      </c>
      <c r="C348" t="s">
        <v>95</v>
      </c>
      <c r="D348" t="s">
        <v>13</v>
      </c>
      <c r="E348" s="8">
        <v>46010</v>
      </c>
      <c r="F348" t="s">
        <v>84</v>
      </c>
      <c r="G348" s="8">
        <v>46030</v>
      </c>
      <c r="H348" t="s">
        <v>570</v>
      </c>
      <c r="I348" t="e">
        <f>VLOOKUP(Tabela2[[#This Row],[Coluna7]],[1]!Tabela1[#All],2,0)</f>
        <v>#REF!</v>
      </c>
      <c r="J348" t="s">
        <v>737</v>
      </c>
      <c r="L348">
        <v>15.44</v>
      </c>
      <c r="Q348" s="10" t="str">
        <f>Tabela2[[#This Row],[Coluna5]]</f>
        <v>01/2026</v>
      </c>
      <c r="R348" s="10" t="str">
        <f>IF(Tabela2[[#This Row],[Coluna9]]&gt;0,"Entrada","Saída")</f>
        <v>Saída</v>
      </c>
      <c r="S348" s="10" t="str">
        <f>Tabela2[[#This Row],[Coluna8]]</f>
        <v>CARTÃO SANTANDER</v>
      </c>
      <c r="T348" s="10" t="e">
        <f>Tabela2[[#This Row],[Coluna72]]</f>
        <v>#REF!</v>
      </c>
      <c r="U348" s="10">
        <f>SUM(Tabela2[[#This Row],[Coluna9]],Tabela2[[#This Row],[Coluna10]])</f>
        <v>15.44</v>
      </c>
      <c r="V348" s="2">
        <f>Tabela2[[#This Row],[Coluna4]]</f>
        <v>46010</v>
      </c>
      <c r="W348" s="2">
        <f>Tabela2[[#This Row],[Coluna6]]</f>
        <v>46030</v>
      </c>
    </row>
    <row r="349" spans="2:23" x14ac:dyDescent="0.2">
      <c r="B349" t="s">
        <v>12</v>
      </c>
      <c r="C349" t="s">
        <v>95</v>
      </c>
      <c r="D349" t="s">
        <v>13</v>
      </c>
      <c r="E349" s="8">
        <v>46010</v>
      </c>
      <c r="F349" t="s">
        <v>84</v>
      </c>
      <c r="G349" s="8">
        <v>46030</v>
      </c>
      <c r="H349" t="s">
        <v>445</v>
      </c>
      <c r="I349" t="e">
        <f>VLOOKUP(Tabela2[[#This Row],[Coluna7]],[1]!Tabela1[#All],2,0)</f>
        <v>#REF!</v>
      </c>
      <c r="J349" t="s">
        <v>737</v>
      </c>
      <c r="L349">
        <v>125</v>
      </c>
      <c r="Q349" s="10" t="str">
        <f>Tabela2[[#This Row],[Coluna5]]</f>
        <v>01/2026</v>
      </c>
      <c r="R349" s="10" t="str">
        <f>IF(Tabela2[[#This Row],[Coluna9]]&gt;0,"Entrada","Saída")</f>
        <v>Saída</v>
      </c>
      <c r="S349" s="10" t="str">
        <f>Tabela2[[#This Row],[Coluna8]]</f>
        <v>CARTÃO SANTANDER</v>
      </c>
      <c r="T349" s="10" t="e">
        <f>Tabela2[[#This Row],[Coluna72]]</f>
        <v>#REF!</v>
      </c>
      <c r="U349" s="10">
        <f>SUM(Tabela2[[#This Row],[Coluna9]],Tabela2[[#This Row],[Coluna10]])</f>
        <v>125</v>
      </c>
      <c r="V349" s="2">
        <f>Tabela2[[#This Row],[Coluna4]]</f>
        <v>46010</v>
      </c>
      <c r="W349" s="2">
        <f>Tabela2[[#This Row],[Coluna6]]</f>
        <v>46030</v>
      </c>
    </row>
    <row r="350" spans="2:23" x14ac:dyDescent="0.2">
      <c r="B350" t="s">
        <v>12</v>
      </c>
      <c r="C350" t="s">
        <v>95</v>
      </c>
      <c r="D350" t="s">
        <v>13</v>
      </c>
      <c r="E350" s="8">
        <v>46011</v>
      </c>
      <c r="F350" t="s">
        <v>84</v>
      </c>
      <c r="G350" s="8">
        <v>46030</v>
      </c>
      <c r="H350" t="s">
        <v>488</v>
      </c>
      <c r="I350" t="e">
        <f>VLOOKUP(Tabela2[[#This Row],[Coluna7]],[1]!Tabela1[#All],2,0)</f>
        <v>#REF!</v>
      </c>
      <c r="J350" t="s">
        <v>737</v>
      </c>
      <c r="L350">
        <v>16.190000000000001</v>
      </c>
      <c r="Q350" s="10" t="str">
        <f>Tabela2[[#This Row],[Coluna5]]</f>
        <v>01/2026</v>
      </c>
      <c r="R350" s="10" t="str">
        <f>IF(Tabela2[[#This Row],[Coluna9]]&gt;0,"Entrada","Saída")</f>
        <v>Saída</v>
      </c>
      <c r="S350" s="10" t="str">
        <f>Tabela2[[#This Row],[Coluna8]]</f>
        <v>CARTÃO SANTANDER</v>
      </c>
      <c r="T350" s="10" t="e">
        <f>Tabela2[[#This Row],[Coluna72]]</f>
        <v>#REF!</v>
      </c>
      <c r="U350" s="10">
        <f>SUM(Tabela2[[#This Row],[Coluna9]],Tabela2[[#This Row],[Coluna10]])</f>
        <v>16.190000000000001</v>
      </c>
      <c r="V350" s="2">
        <f>Tabela2[[#This Row],[Coluna4]]</f>
        <v>46011</v>
      </c>
      <c r="W350" s="2">
        <f>Tabela2[[#This Row],[Coluna6]]</f>
        <v>46030</v>
      </c>
    </row>
    <row r="351" spans="2:23" x14ac:dyDescent="0.2">
      <c r="B351" t="s">
        <v>12</v>
      </c>
      <c r="C351" t="s">
        <v>95</v>
      </c>
      <c r="D351" t="s">
        <v>13</v>
      </c>
      <c r="E351" s="8">
        <v>46012</v>
      </c>
      <c r="F351" t="s">
        <v>84</v>
      </c>
      <c r="G351" s="8">
        <v>46030</v>
      </c>
      <c r="H351" t="s">
        <v>488</v>
      </c>
      <c r="I351" t="e">
        <f>VLOOKUP(Tabela2[[#This Row],[Coluna7]],[1]!Tabela1[#All],2,0)</f>
        <v>#REF!</v>
      </c>
      <c r="J351" t="s">
        <v>737</v>
      </c>
      <c r="L351">
        <v>58.9</v>
      </c>
      <c r="Q351" s="10" t="str">
        <f>Tabela2[[#This Row],[Coluna5]]</f>
        <v>01/2026</v>
      </c>
      <c r="R351" s="10" t="str">
        <f>IF(Tabela2[[#This Row],[Coluna9]]&gt;0,"Entrada","Saída")</f>
        <v>Saída</v>
      </c>
      <c r="S351" s="10" t="str">
        <f>Tabela2[[#This Row],[Coluna8]]</f>
        <v>CARTÃO SANTANDER</v>
      </c>
      <c r="T351" s="10" t="e">
        <f>Tabela2[[#This Row],[Coluna72]]</f>
        <v>#REF!</v>
      </c>
      <c r="U351" s="10">
        <f>SUM(Tabela2[[#This Row],[Coluna9]],Tabela2[[#This Row],[Coluna10]])</f>
        <v>58.9</v>
      </c>
      <c r="V351" s="2">
        <f>Tabela2[[#This Row],[Coluna4]]</f>
        <v>46012</v>
      </c>
      <c r="W351" s="2">
        <f>Tabela2[[#This Row],[Coluna6]]</f>
        <v>46030</v>
      </c>
    </row>
    <row r="352" spans="2:23" x14ac:dyDescent="0.2">
      <c r="B352" t="s">
        <v>12</v>
      </c>
      <c r="C352" t="s">
        <v>95</v>
      </c>
      <c r="D352" t="s">
        <v>13</v>
      </c>
      <c r="E352" s="8">
        <v>46013</v>
      </c>
      <c r="F352" t="s">
        <v>84</v>
      </c>
      <c r="G352" s="8">
        <v>46030</v>
      </c>
      <c r="H352" t="s">
        <v>528</v>
      </c>
      <c r="I352" t="e">
        <f>VLOOKUP(Tabela2[[#This Row],[Coluna7]],[1]!Tabela1[#All],2,0)</f>
        <v>#REF!</v>
      </c>
      <c r="J352" t="s">
        <v>737</v>
      </c>
      <c r="L352">
        <v>326.33</v>
      </c>
      <c r="Q352" s="10" t="str">
        <f>Tabela2[[#This Row],[Coluna5]]</f>
        <v>01/2026</v>
      </c>
      <c r="R352" s="10" t="str">
        <f>IF(Tabela2[[#This Row],[Coluna9]]&gt;0,"Entrada","Saída")</f>
        <v>Saída</v>
      </c>
      <c r="S352" s="10" t="str">
        <f>Tabela2[[#This Row],[Coluna8]]</f>
        <v>CARTÃO SANTANDER</v>
      </c>
      <c r="T352" s="10" t="e">
        <f>Tabela2[[#This Row],[Coluna72]]</f>
        <v>#REF!</v>
      </c>
      <c r="U352" s="10">
        <f>SUM(Tabela2[[#This Row],[Coluna9]],Tabela2[[#This Row],[Coluna10]])</f>
        <v>326.33</v>
      </c>
      <c r="V352" s="2">
        <f>Tabela2[[#This Row],[Coluna4]]</f>
        <v>46013</v>
      </c>
      <c r="W352" s="2">
        <f>Tabela2[[#This Row],[Coluna6]]</f>
        <v>46030</v>
      </c>
    </row>
    <row r="353" spans="2:23" x14ac:dyDescent="0.2">
      <c r="B353" t="s">
        <v>12</v>
      </c>
      <c r="C353" t="s">
        <v>95</v>
      </c>
      <c r="D353" t="s">
        <v>13</v>
      </c>
      <c r="E353" s="8">
        <v>46013</v>
      </c>
      <c r="F353" t="s">
        <v>84</v>
      </c>
      <c r="G353" s="8">
        <v>46030</v>
      </c>
      <c r="H353" t="s">
        <v>730</v>
      </c>
      <c r="I353" t="e">
        <f>VLOOKUP(Tabela2[[#This Row],[Coluna7]],[1]!Tabela1[#All],2,0)</f>
        <v>#REF!</v>
      </c>
      <c r="J353" t="s">
        <v>737</v>
      </c>
      <c r="L353">
        <v>64.33</v>
      </c>
      <c r="Q353" s="10" t="str">
        <f>Tabela2[[#This Row],[Coluna5]]</f>
        <v>01/2026</v>
      </c>
      <c r="R353" s="10" t="str">
        <f>IF(Tabela2[[#This Row],[Coluna9]]&gt;0,"Entrada","Saída")</f>
        <v>Saída</v>
      </c>
      <c r="S353" s="10" t="str">
        <f>Tabela2[[#This Row],[Coluna8]]</f>
        <v>CARTÃO SANTANDER</v>
      </c>
      <c r="T353" s="10" t="e">
        <f>Tabela2[[#This Row],[Coluna72]]</f>
        <v>#REF!</v>
      </c>
      <c r="U353" s="10">
        <f>SUM(Tabela2[[#This Row],[Coluna9]],Tabela2[[#This Row],[Coluna10]])</f>
        <v>64.33</v>
      </c>
      <c r="V353" s="2">
        <f>Tabela2[[#This Row],[Coluna4]]</f>
        <v>46013</v>
      </c>
      <c r="W353" s="2">
        <f>Tabela2[[#This Row],[Coluna6]]</f>
        <v>46030</v>
      </c>
    </row>
    <row r="354" spans="2:23" x14ac:dyDescent="0.2">
      <c r="B354" t="s">
        <v>12</v>
      </c>
      <c r="C354" t="s">
        <v>95</v>
      </c>
      <c r="D354" t="s">
        <v>13</v>
      </c>
      <c r="E354" s="8">
        <v>46013</v>
      </c>
      <c r="F354" t="s">
        <v>84</v>
      </c>
      <c r="G354" s="8">
        <v>46030</v>
      </c>
      <c r="H354" t="s">
        <v>458</v>
      </c>
      <c r="I354" t="e">
        <f>VLOOKUP(Tabela2[[#This Row],[Coluna7]],[1]!Tabela1[#All],2,0)</f>
        <v>#REF!</v>
      </c>
      <c r="J354" t="s">
        <v>737</v>
      </c>
      <c r="L354">
        <v>200</v>
      </c>
      <c r="Q354" s="10" t="str">
        <f>Tabela2[[#This Row],[Coluna5]]</f>
        <v>01/2026</v>
      </c>
      <c r="R354" s="10" t="str">
        <f>IF(Tabela2[[#This Row],[Coluna9]]&gt;0,"Entrada","Saída")</f>
        <v>Saída</v>
      </c>
      <c r="S354" s="10" t="str">
        <f>Tabela2[[#This Row],[Coluna8]]</f>
        <v>CARTÃO SANTANDER</v>
      </c>
      <c r="T354" s="10" t="e">
        <f>Tabela2[[#This Row],[Coluna72]]</f>
        <v>#REF!</v>
      </c>
      <c r="U354" s="10">
        <f>SUM(Tabela2[[#This Row],[Coluna9]],Tabela2[[#This Row],[Coluna10]])</f>
        <v>200</v>
      </c>
      <c r="V354" s="2">
        <f>Tabela2[[#This Row],[Coluna4]]</f>
        <v>46013</v>
      </c>
      <c r="W354" s="2">
        <f>Tabela2[[#This Row],[Coluna6]]</f>
        <v>46030</v>
      </c>
    </row>
    <row r="355" spans="2:23" x14ac:dyDescent="0.2">
      <c r="B355" t="s">
        <v>12</v>
      </c>
      <c r="C355" t="s">
        <v>95</v>
      </c>
      <c r="D355" t="s">
        <v>13</v>
      </c>
      <c r="E355" s="8">
        <v>46012</v>
      </c>
      <c r="F355" t="s">
        <v>84</v>
      </c>
      <c r="G355" s="8">
        <v>46030</v>
      </c>
      <c r="H355" t="s">
        <v>719</v>
      </c>
      <c r="I355" t="e">
        <f>VLOOKUP(Tabela2[[#This Row],[Coluna7]],[1]!Tabela1[#All],2,0)</f>
        <v>#REF!</v>
      </c>
      <c r="J355" t="s">
        <v>737</v>
      </c>
      <c r="L355">
        <v>242.38</v>
      </c>
      <c r="Q355" s="10" t="str">
        <f>Tabela2[[#This Row],[Coluna5]]</f>
        <v>01/2026</v>
      </c>
      <c r="R355" s="10" t="str">
        <f>IF(Tabela2[[#This Row],[Coluna9]]&gt;0,"Entrada","Saída")</f>
        <v>Saída</v>
      </c>
      <c r="S355" s="10" t="str">
        <f>Tabela2[[#This Row],[Coluna8]]</f>
        <v>CARTÃO SANTANDER</v>
      </c>
      <c r="T355" s="10" t="e">
        <f>Tabela2[[#This Row],[Coluna72]]</f>
        <v>#REF!</v>
      </c>
      <c r="U355" s="10">
        <f>SUM(Tabela2[[#This Row],[Coluna9]],Tabela2[[#This Row],[Coluna10]])</f>
        <v>242.38</v>
      </c>
      <c r="V355" s="2">
        <f>Tabela2[[#This Row],[Coluna4]]</f>
        <v>46012</v>
      </c>
      <c r="W355" s="2">
        <f>Tabela2[[#This Row],[Coluna6]]</f>
        <v>46030</v>
      </c>
    </row>
    <row r="356" spans="2:23" x14ac:dyDescent="0.2">
      <c r="B356" t="s">
        <v>12</v>
      </c>
      <c r="C356" t="s">
        <v>95</v>
      </c>
      <c r="D356" t="s">
        <v>13</v>
      </c>
      <c r="E356" s="8">
        <v>46013</v>
      </c>
      <c r="F356" t="s">
        <v>84</v>
      </c>
      <c r="G356" s="8">
        <v>46030</v>
      </c>
      <c r="H356" t="s">
        <v>435</v>
      </c>
      <c r="I356" t="e">
        <f>VLOOKUP(Tabela2[[#This Row],[Coluna7]],[1]!Tabela1[#All],2,0)</f>
        <v>#REF!</v>
      </c>
      <c r="J356" t="s">
        <v>737</v>
      </c>
      <c r="L356">
        <v>26.33</v>
      </c>
      <c r="Q356" s="10" t="str">
        <f>Tabela2[[#This Row],[Coluna5]]</f>
        <v>01/2026</v>
      </c>
      <c r="R356" s="10" t="str">
        <f>IF(Tabela2[[#This Row],[Coluna9]]&gt;0,"Entrada","Saída")</f>
        <v>Saída</v>
      </c>
      <c r="S356" s="10" t="str">
        <f>Tabela2[[#This Row],[Coluna8]]</f>
        <v>CARTÃO SANTANDER</v>
      </c>
      <c r="T356" s="10" t="e">
        <f>Tabela2[[#This Row],[Coluna72]]</f>
        <v>#REF!</v>
      </c>
      <c r="U356" s="10">
        <f>SUM(Tabela2[[#This Row],[Coluna9]],Tabela2[[#This Row],[Coluna10]])</f>
        <v>26.33</v>
      </c>
      <c r="V356" s="2">
        <f>Tabela2[[#This Row],[Coluna4]]</f>
        <v>46013</v>
      </c>
      <c r="W356" s="2">
        <f>Tabela2[[#This Row],[Coluna6]]</f>
        <v>46030</v>
      </c>
    </row>
    <row r="357" spans="2:23" x14ac:dyDescent="0.2">
      <c r="B357" t="s">
        <v>12</v>
      </c>
      <c r="C357" t="s">
        <v>95</v>
      </c>
      <c r="D357" t="s">
        <v>13</v>
      </c>
      <c r="E357" s="8">
        <v>46013</v>
      </c>
      <c r="F357" t="s">
        <v>84</v>
      </c>
      <c r="G357" s="8">
        <v>46030</v>
      </c>
      <c r="H357" t="s">
        <v>435</v>
      </c>
      <c r="I357" t="e">
        <f>VLOOKUP(Tabela2[[#This Row],[Coluna7]],[1]!Tabela1[#All],2,0)</f>
        <v>#REF!</v>
      </c>
      <c r="J357" t="s">
        <v>737</v>
      </c>
      <c r="L357">
        <v>84.7</v>
      </c>
      <c r="Q357" s="10" t="str">
        <f>Tabela2[[#This Row],[Coluna5]]</f>
        <v>01/2026</v>
      </c>
      <c r="R357" s="10" t="str">
        <f>IF(Tabela2[[#This Row],[Coluna9]]&gt;0,"Entrada","Saída")</f>
        <v>Saída</v>
      </c>
      <c r="S357" s="10" t="str">
        <f>Tabela2[[#This Row],[Coluna8]]</f>
        <v>CARTÃO SANTANDER</v>
      </c>
      <c r="T357" s="10" t="e">
        <f>Tabela2[[#This Row],[Coluna72]]</f>
        <v>#REF!</v>
      </c>
      <c r="U357" s="10">
        <f>SUM(Tabela2[[#This Row],[Coluna9]],Tabela2[[#This Row],[Coluna10]])</f>
        <v>84.7</v>
      </c>
      <c r="V357" s="2">
        <f>Tabela2[[#This Row],[Coluna4]]</f>
        <v>46013</v>
      </c>
      <c r="W357" s="2">
        <f>Tabela2[[#This Row],[Coluna6]]</f>
        <v>46030</v>
      </c>
    </row>
    <row r="358" spans="2:23" x14ac:dyDescent="0.2">
      <c r="B358" t="s">
        <v>12</v>
      </c>
      <c r="C358" t="s">
        <v>95</v>
      </c>
      <c r="D358" t="s">
        <v>13</v>
      </c>
      <c r="E358" s="8">
        <v>46013</v>
      </c>
      <c r="F358" t="s">
        <v>84</v>
      </c>
      <c r="G358" s="8">
        <v>46030</v>
      </c>
      <c r="H358" t="s">
        <v>570</v>
      </c>
      <c r="I358" t="e">
        <f>VLOOKUP(Tabela2[[#This Row],[Coluna7]],[1]!Tabela1[#All],2,0)</f>
        <v>#REF!</v>
      </c>
      <c r="J358" t="s">
        <v>737</v>
      </c>
      <c r="L358">
        <v>31.53</v>
      </c>
      <c r="Q358" s="10" t="str">
        <f>Tabela2[[#This Row],[Coluna5]]</f>
        <v>01/2026</v>
      </c>
      <c r="R358" s="10" t="str">
        <f>IF(Tabela2[[#This Row],[Coluna9]]&gt;0,"Entrada","Saída")</f>
        <v>Saída</v>
      </c>
      <c r="S358" s="10" t="str">
        <f>Tabela2[[#This Row],[Coluna8]]</f>
        <v>CARTÃO SANTANDER</v>
      </c>
      <c r="T358" s="10" t="e">
        <f>Tabela2[[#This Row],[Coluna72]]</f>
        <v>#REF!</v>
      </c>
      <c r="U358" s="10">
        <f>SUM(Tabela2[[#This Row],[Coluna9]],Tabela2[[#This Row],[Coluna10]])</f>
        <v>31.53</v>
      </c>
      <c r="V358" s="2">
        <f>Tabela2[[#This Row],[Coluna4]]</f>
        <v>46013</v>
      </c>
      <c r="W358" s="2">
        <f>Tabela2[[#This Row],[Coluna6]]</f>
        <v>46030</v>
      </c>
    </row>
    <row r="359" spans="2:23" x14ac:dyDescent="0.2">
      <c r="B359" t="s">
        <v>12</v>
      </c>
      <c r="C359" t="s">
        <v>95</v>
      </c>
      <c r="D359" t="s">
        <v>13</v>
      </c>
      <c r="E359" s="8">
        <v>46012</v>
      </c>
      <c r="F359" t="s">
        <v>84</v>
      </c>
      <c r="G359" s="8">
        <v>46030</v>
      </c>
      <c r="H359" t="s">
        <v>435</v>
      </c>
      <c r="I359" t="e">
        <f>VLOOKUP(Tabela2[[#This Row],[Coluna7]],[1]!Tabela1[#All],2,0)</f>
        <v>#REF!</v>
      </c>
      <c r="J359" t="s">
        <v>737</v>
      </c>
      <c r="L359">
        <v>83.95</v>
      </c>
      <c r="Q359" s="10" t="str">
        <f>Tabela2[[#This Row],[Coluna5]]</f>
        <v>01/2026</v>
      </c>
      <c r="R359" s="10" t="str">
        <f>IF(Tabela2[[#This Row],[Coluna9]]&gt;0,"Entrada","Saída")</f>
        <v>Saída</v>
      </c>
      <c r="S359" s="10" t="str">
        <f>Tabela2[[#This Row],[Coluna8]]</f>
        <v>CARTÃO SANTANDER</v>
      </c>
      <c r="T359" s="10" t="e">
        <f>Tabela2[[#This Row],[Coluna72]]</f>
        <v>#REF!</v>
      </c>
      <c r="U359" s="10">
        <f>SUM(Tabela2[[#This Row],[Coluna9]],Tabela2[[#This Row],[Coluna10]])</f>
        <v>83.95</v>
      </c>
      <c r="V359" s="2">
        <f>Tabela2[[#This Row],[Coluna4]]</f>
        <v>46012</v>
      </c>
      <c r="W359" s="2">
        <f>Tabela2[[#This Row],[Coluna6]]</f>
        <v>46030</v>
      </c>
    </row>
    <row r="360" spans="2:23" x14ac:dyDescent="0.2">
      <c r="B360" t="s">
        <v>12</v>
      </c>
      <c r="C360" t="s">
        <v>95</v>
      </c>
      <c r="D360" t="s">
        <v>13</v>
      </c>
      <c r="E360" s="8">
        <v>46013</v>
      </c>
      <c r="F360" t="s">
        <v>84</v>
      </c>
      <c r="G360" s="8">
        <v>46030</v>
      </c>
      <c r="H360" t="s">
        <v>438</v>
      </c>
      <c r="I360" t="e">
        <f>VLOOKUP(Tabela2[[#This Row],[Coluna7]],[1]!Tabela1[#All],2,0)</f>
        <v>#REF!</v>
      </c>
      <c r="J360" t="s">
        <v>737</v>
      </c>
      <c r="L360">
        <v>60</v>
      </c>
      <c r="Q360" s="10" t="str">
        <f>Tabela2[[#This Row],[Coluna5]]</f>
        <v>01/2026</v>
      </c>
      <c r="R360" s="10" t="str">
        <f>IF(Tabela2[[#This Row],[Coluna9]]&gt;0,"Entrada","Saída")</f>
        <v>Saída</v>
      </c>
      <c r="S360" s="10" t="str">
        <f>Tabela2[[#This Row],[Coluna8]]</f>
        <v>CARTÃO SANTANDER</v>
      </c>
      <c r="T360" s="10" t="e">
        <f>Tabela2[[#This Row],[Coluna72]]</f>
        <v>#REF!</v>
      </c>
      <c r="U360" s="10">
        <f>SUM(Tabela2[[#This Row],[Coluna9]],Tabela2[[#This Row],[Coluna10]])</f>
        <v>60</v>
      </c>
      <c r="V360" s="2">
        <f>Tabela2[[#This Row],[Coluna4]]</f>
        <v>46013</v>
      </c>
      <c r="W360" s="2">
        <f>Tabela2[[#This Row],[Coluna6]]</f>
        <v>46030</v>
      </c>
    </row>
    <row r="361" spans="2:23" x14ac:dyDescent="0.2">
      <c r="B361" t="s">
        <v>12</v>
      </c>
      <c r="C361" t="s">
        <v>95</v>
      </c>
      <c r="D361" t="s">
        <v>13</v>
      </c>
      <c r="E361" s="8">
        <v>46013</v>
      </c>
      <c r="F361" t="s">
        <v>84</v>
      </c>
      <c r="G361" s="8">
        <v>46030</v>
      </c>
      <c r="H361" t="s">
        <v>570</v>
      </c>
      <c r="I361" t="e">
        <f>VLOOKUP(Tabela2[[#This Row],[Coluna7]],[1]!Tabela1[#All],2,0)</f>
        <v>#REF!</v>
      </c>
      <c r="J361" t="s">
        <v>737</v>
      </c>
      <c r="L361">
        <v>225.58</v>
      </c>
      <c r="Q361" s="10" t="str">
        <f>Tabela2[[#This Row],[Coluna5]]</f>
        <v>01/2026</v>
      </c>
      <c r="R361" s="10" t="str">
        <f>IF(Tabela2[[#This Row],[Coluna9]]&gt;0,"Entrada","Saída")</f>
        <v>Saída</v>
      </c>
      <c r="S361" s="10" t="str">
        <f>Tabela2[[#This Row],[Coluna8]]</f>
        <v>CARTÃO SANTANDER</v>
      </c>
      <c r="T361" s="10" t="e">
        <f>Tabela2[[#This Row],[Coluna72]]</f>
        <v>#REF!</v>
      </c>
      <c r="U361" s="10">
        <f>SUM(Tabela2[[#This Row],[Coluna9]],Tabela2[[#This Row],[Coluna10]])</f>
        <v>225.58</v>
      </c>
      <c r="V361" s="2">
        <f>Tabela2[[#This Row],[Coluna4]]</f>
        <v>46013</v>
      </c>
      <c r="W361" s="2">
        <f>Tabela2[[#This Row],[Coluna6]]</f>
        <v>46030</v>
      </c>
    </row>
    <row r="362" spans="2:23" x14ac:dyDescent="0.2">
      <c r="B362" t="s">
        <v>12</v>
      </c>
      <c r="C362" t="s">
        <v>95</v>
      </c>
      <c r="D362" t="s">
        <v>13</v>
      </c>
      <c r="E362" s="8">
        <v>46013</v>
      </c>
      <c r="F362" t="s">
        <v>84</v>
      </c>
      <c r="G362" s="8">
        <v>46030</v>
      </c>
      <c r="H362" t="s">
        <v>730</v>
      </c>
      <c r="I362" t="e">
        <f>VLOOKUP(Tabela2[[#This Row],[Coluna7]],[1]!Tabela1[#All],2,0)</f>
        <v>#REF!</v>
      </c>
      <c r="J362" t="s">
        <v>737</v>
      </c>
      <c r="L362">
        <v>812.99</v>
      </c>
      <c r="Q362" s="10" t="str">
        <f>Tabela2[[#This Row],[Coluna5]]</f>
        <v>01/2026</v>
      </c>
      <c r="R362" s="10" t="str">
        <f>IF(Tabela2[[#This Row],[Coluna9]]&gt;0,"Entrada","Saída")</f>
        <v>Saída</v>
      </c>
      <c r="S362" s="10" t="str">
        <f>Tabela2[[#This Row],[Coluna8]]</f>
        <v>CARTÃO SANTANDER</v>
      </c>
      <c r="T362" s="10" t="e">
        <f>Tabela2[[#This Row],[Coluna72]]</f>
        <v>#REF!</v>
      </c>
      <c r="U362" s="10">
        <f>SUM(Tabela2[[#This Row],[Coluna9]],Tabela2[[#This Row],[Coluna10]])</f>
        <v>812.99</v>
      </c>
      <c r="V362" s="2">
        <f>Tabela2[[#This Row],[Coluna4]]</f>
        <v>46013</v>
      </c>
      <c r="W362" s="2">
        <f>Tabela2[[#This Row],[Coluna6]]</f>
        <v>46030</v>
      </c>
    </row>
    <row r="363" spans="2:23" x14ac:dyDescent="0.2">
      <c r="B363" t="s">
        <v>12</v>
      </c>
      <c r="C363" t="s">
        <v>95</v>
      </c>
      <c r="D363" t="s">
        <v>13</v>
      </c>
      <c r="E363" s="8">
        <v>46012</v>
      </c>
      <c r="F363" t="s">
        <v>84</v>
      </c>
      <c r="G363" s="8">
        <v>46030</v>
      </c>
      <c r="H363" t="s">
        <v>435</v>
      </c>
      <c r="I363" t="e">
        <f>VLOOKUP(Tabela2[[#This Row],[Coluna7]],[1]!Tabela1[#All],2,0)</f>
        <v>#REF!</v>
      </c>
      <c r="J363" t="s">
        <v>737</v>
      </c>
      <c r="L363">
        <v>38.880000000000003</v>
      </c>
      <c r="Q363" s="10" t="str">
        <f>Tabela2[[#This Row],[Coluna5]]</f>
        <v>01/2026</v>
      </c>
      <c r="R363" s="10" t="str">
        <f>IF(Tabela2[[#This Row],[Coluna9]]&gt;0,"Entrada","Saída")</f>
        <v>Saída</v>
      </c>
      <c r="S363" s="10" t="str">
        <f>Tabela2[[#This Row],[Coluna8]]</f>
        <v>CARTÃO SANTANDER</v>
      </c>
      <c r="T363" s="10" t="e">
        <f>Tabela2[[#This Row],[Coluna72]]</f>
        <v>#REF!</v>
      </c>
      <c r="U363" s="10">
        <f>SUM(Tabela2[[#This Row],[Coluna9]],Tabela2[[#This Row],[Coluna10]])</f>
        <v>38.880000000000003</v>
      </c>
      <c r="V363" s="2">
        <f>Tabela2[[#This Row],[Coluna4]]</f>
        <v>46012</v>
      </c>
      <c r="W363" s="2">
        <f>Tabela2[[#This Row],[Coluna6]]</f>
        <v>46030</v>
      </c>
    </row>
    <row r="364" spans="2:23" x14ac:dyDescent="0.2">
      <c r="B364" t="s">
        <v>12</v>
      </c>
      <c r="C364" t="s">
        <v>95</v>
      </c>
      <c r="D364" t="s">
        <v>13</v>
      </c>
      <c r="E364" s="8">
        <v>46013</v>
      </c>
      <c r="F364" t="s">
        <v>84</v>
      </c>
      <c r="G364" s="8">
        <v>46030</v>
      </c>
      <c r="H364" t="s">
        <v>488</v>
      </c>
      <c r="I364" t="e">
        <f>VLOOKUP(Tabela2[[#This Row],[Coluna7]],[1]!Tabela1[#All],2,0)</f>
        <v>#REF!</v>
      </c>
      <c r="J364" t="s">
        <v>737</v>
      </c>
      <c r="L364">
        <v>52.5</v>
      </c>
      <c r="Q364" s="10" t="str">
        <f>Tabela2[[#This Row],[Coluna5]]</f>
        <v>01/2026</v>
      </c>
      <c r="R364" s="10" t="str">
        <f>IF(Tabela2[[#This Row],[Coluna9]]&gt;0,"Entrada","Saída")</f>
        <v>Saída</v>
      </c>
      <c r="S364" s="10" t="str">
        <f>Tabela2[[#This Row],[Coluna8]]</f>
        <v>CARTÃO SANTANDER</v>
      </c>
      <c r="T364" s="10" t="e">
        <f>Tabela2[[#This Row],[Coluna72]]</f>
        <v>#REF!</v>
      </c>
      <c r="U364" s="10">
        <f>SUM(Tabela2[[#This Row],[Coluna9]],Tabela2[[#This Row],[Coluna10]])</f>
        <v>52.5</v>
      </c>
      <c r="V364" s="2">
        <f>Tabela2[[#This Row],[Coluna4]]</f>
        <v>46013</v>
      </c>
      <c r="W364" s="2">
        <f>Tabela2[[#This Row],[Coluna6]]</f>
        <v>46030</v>
      </c>
    </row>
    <row r="365" spans="2:23" x14ac:dyDescent="0.2">
      <c r="B365" t="s">
        <v>12</v>
      </c>
      <c r="C365" t="s">
        <v>95</v>
      </c>
      <c r="D365" t="s">
        <v>13</v>
      </c>
      <c r="E365" s="8">
        <v>46013</v>
      </c>
      <c r="F365" t="s">
        <v>84</v>
      </c>
      <c r="G365" s="8">
        <v>46030</v>
      </c>
      <c r="H365" t="s">
        <v>458</v>
      </c>
      <c r="I365" t="e">
        <f>VLOOKUP(Tabela2[[#This Row],[Coluna7]],[1]!Tabela1[#All],2,0)</f>
        <v>#REF!</v>
      </c>
      <c r="J365" t="s">
        <v>737</v>
      </c>
      <c r="L365">
        <v>262.5</v>
      </c>
      <c r="Q365" s="10" t="str">
        <f>Tabela2[[#This Row],[Coluna5]]</f>
        <v>01/2026</v>
      </c>
      <c r="R365" s="10" t="str">
        <f>IF(Tabela2[[#This Row],[Coluna9]]&gt;0,"Entrada","Saída")</f>
        <v>Saída</v>
      </c>
      <c r="S365" s="10" t="str">
        <f>Tabela2[[#This Row],[Coluna8]]</f>
        <v>CARTÃO SANTANDER</v>
      </c>
      <c r="T365" s="10" t="e">
        <f>Tabela2[[#This Row],[Coluna72]]</f>
        <v>#REF!</v>
      </c>
      <c r="U365" s="10">
        <f>SUM(Tabela2[[#This Row],[Coluna9]],Tabela2[[#This Row],[Coluna10]])</f>
        <v>262.5</v>
      </c>
      <c r="V365" s="2">
        <f>Tabela2[[#This Row],[Coluna4]]</f>
        <v>46013</v>
      </c>
      <c r="W365" s="2">
        <f>Tabela2[[#This Row],[Coluna6]]</f>
        <v>46030</v>
      </c>
    </row>
    <row r="366" spans="2:23" x14ac:dyDescent="0.2">
      <c r="B366" t="s">
        <v>12</v>
      </c>
      <c r="C366" t="s">
        <v>95</v>
      </c>
      <c r="D366" t="s">
        <v>13</v>
      </c>
      <c r="E366" s="8">
        <v>46013</v>
      </c>
      <c r="F366" t="s">
        <v>84</v>
      </c>
      <c r="G366" s="8">
        <v>46030</v>
      </c>
      <c r="H366" t="s">
        <v>469</v>
      </c>
      <c r="I366" t="e">
        <f>VLOOKUP(Tabela2[[#This Row],[Coluna7]],[1]!Tabela1[#All],2,0)</f>
        <v>#REF!</v>
      </c>
      <c r="J366" t="s">
        <v>741</v>
      </c>
      <c r="L366">
        <v>87.2</v>
      </c>
      <c r="Q366" s="10" t="str">
        <f>Tabela2[[#This Row],[Coluna5]]</f>
        <v>01/2026</v>
      </c>
      <c r="R366" s="10" t="str">
        <f>IF(Tabela2[[#This Row],[Coluna9]]&gt;0,"Entrada","Saída")</f>
        <v>Saída</v>
      </c>
      <c r="S366" s="10" t="str">
        <f>Tabela2[[#This Row],[Coluna8]]</f>
        <v>CARTÃO NUBANK</v>
      </c>
      <c r="T366" s="10" t="e">
        <f>Tabela2[[#This Row],[Coluna72]]</f>
        <v>#REF!</v>
      </c>
      <c r="U366" s="10">
        <f>SUM(Tabela2[[#This Row],[Coluna9]],Tabela2[[#This Row],[Coluna10]])</f>
        <v>87.2</v>
      </c>
      <c r="V366" s="2">
        <f>Tabela2[[#This Row],[Coluna4]]</f>
        <v>46013</v>
      </c>
      <c r="W366" s="2">
        <f>Tabela2[[#This Row],[Coluna6]]</f>
        <v>46030</v>
      </c>
    </row>
    <row r="367" spans="2:23" x14ac:dyDescent="0.2">
      <c r="B367" t="s">
        <v>12</v>
      </c>
      <c r="C367" t="s">
        <v>95</v>
      </c>
      <c r="D367" t="s">
        <v>13</v>
      </c>
      <c r="E367" s="8">
        <v>46013</v>
      </c>
      <c r="F367" t="s">
        <v>84</v>
      </c>
      <c r="G367" s="8">
        <v>46030</v>
      </c>
      <c r="H367" s="3" t="s">
        <v>538</v>
      </c>
      <c r="I367" s="3" t="e">
        <f>VLOOKUP(Tabela2[[#This Row],[Coluna7]],[1]!Tabela1[#All],2,0)</f>
        <v>#REF!</v>
      </c>
      <c r="J367" t="s">
        <v>741</v>
      </c>
      <c r="L367">
        <v>16.64</v>
      </c>
      <c r="Q367" s="10" t="str">
        <f>Tabela2[[#This Row],[Coluna5]]</f>
        <v>01/2026</v>
      </c>
      <c r="R367" s="10" t="str">
        <f>IF(Tabela2[[#This Row],[Coluna9]]&gt;0,"Entrada","Saída")</f>
        <v>Saída</v>
      </c>
      <c r="S367" s="10" t="str">
        <f>Tabela2[[#This Row],[Coluna8]]</f>
        <v>CARTÃO NUBANK</v>
      </c>
      <c r="T367" s="10" t="e">
        <f>Tabela2[[#This Row],[Coluna72]]</f>
        <v>#REF!</v>
      </c>
      <c r="U367" s="10">
        <f>SUM(Tabela2[[#This Row],[Coluna9]],Tabela2[[#This Row],[Coluna10]])</f>
        <v>16.64</v>
      </c>
      <c r="V367" s="2">
        <f>Tabela2[[#This Row],[Coluna4]]</f>
        <v>46013</v>
      </c>
      <c r="W367" s="2">
        <f>Tabela2[[#This Row],[Coluna6]]</f>
        <v>46030</v>
      </c>
    </row>
    <row r="368" spans="2:23" x14ac:dyDescent="0.2">
      <c r="B368" t="s">
        <v>12</v>
      </c>
      <c r="C368" t="s">
        <v>95</v>
      </c>
      <c r="D368" t="s">
        <v>13</v>
      </c>
      <c r="E368" s="8">
        <v>46013</v>
      </c>
      <c r="F368" t="s">
        <v>84</v>
      </c>
      <c r="G368" s="8">
        <v>46030</v>
      </c>
      <c r="H368" t="s">
        <v>435</v>
      </c>
      <c r="I368" t="e">
        <f>VLOOKUP(Tabela2[[#This Row],[Coluna7]],[1]!Tabela1[#All],2,0)</f>
        <v>#REF!</v>
      </c>
      <c r="J368" t="s">
        <v>741</v>
      </c>
      <c r="L368">
        <v>229.9</v>
      </c>
      <c r="Q368" s="10" t="str">
        <f>Tabela2[[#This Row],[Coluna5]]</f>
        <v>01/2026</v>
      </c>
      <c r="R368" s="10" t="str">
        <f>IF(Tabela2[[#This Row],[Coluna9]]&gt;0,"Entrada","Saída")</f>
        <v>Saída</v>
      </c>
      <c r="S368" s="10" t="str">
        <f>Tabela2[[#This Row],[Coluna8]]</f>
        <v>CARTÃO NUBANK</v>
      </c>
      <c r="T368" s="10" t="e">
        <f>Tabela2[[#This Row],[Coluna72]]</f>
        <v>#REF!</v>
      </c>
      <c r="U368" s="10">
        <f>SUM(Tabela2[[#This Row],[Coluna9]],Tabela2[[#This Row],[Coluna10]])</f>
        <v>229.9</v>
      </c>
      <c r="V368" s="2">
        <f>Tabela2[[#This Row],[Coluna4]]</f>
        <v>46013</v>
      </c>
      <c r="W368" s="2">
        <f>Tabela2[[#This Row],[Coluna6]]</f>
        <v>46030</v>
      </c>
    </row>
    <row r="369" spans="2:23" x14ac:dyDescent="0.2">
      <c r="B369" t="s">
        <v>12</v>
      </c>
      <c r="C369" t="s">
        <v>95</v>
      </c>
      <c r="D369" t="s">
        <v>13</v>
      </c>
      <c r="E369" s="8">
        <v>46013</v>
      </c>
      <c r="F369" t="s">
        <v>84</v>
      </c>
      <c r="G369" s="8">
        <v>46030</v>
      </c>
      <c r="H369" t="s">
        <v>458</v>
      </c>
      <c r="I369" t="e">
        <f>VLOOKUP(Tabela2[[#This Row],[Coluna7]],[1]!Tabela1[#All],2,0)</f>
        <v>#REF!</v>
      </c>
      <c r="J369" t="s">
        <v>741</v>
      </c>
      <c r="L369">
        <v>198.5</v>
      </c>
      <c r="Q369" s="10" t="str">
        <f>Tabela2[[#This Row],[Coluna5]]</f>
        <v>01/2026</v>
      </c>
      <c r="R369" s="10" t="str">
        <f>IF(Tabela2[[#This Row],[Coluna9]]&gt;0,"Entrada","Saída")</f>
        <v>Saída</v>
      </c>
      <c r="S369" s="10" t="str">
        <f>Tabela2[[#This Row],[Coluna8]]</f>
        <v>CARTÃO NUBANK</v>
      </c>
      <c r="T369" s="10" t="e">
        <f>Tabela2[[#This Row],[Coluna72]]</f>
        <v>#REF!</v>
      </c>
      <c r="U369" s="10">
        <f>SUM(Tabela2[[#This Row],[Coluna9]],Tabela2[[#This Row],[Coluna10]])</f>
        <v>198.5</v>
      </c>
      <c r="V369" s="2">
        <f>Tabela2[[#This Row],[Coluna4]]</f>
        <v>46013</v>
      </c>
      <c r="W369" s="2">
        <f>Tabela2[[#This Row],[Coluna6]]</f>
        <v>46030</v>
      </c>
    </row>
    <row r="370" spans="2:23" x14ac:dyDescent="0.2">
      <c r="B370" t="s">
        <v>12</v>
      </c>
      <c r="C370" t="s">
        <v>95</v>
      </c>
      <c r="D370" t="s">
        <v>13</v>
      </c>
      <c r="E370" s="8">
        <v>46013</v>
      </c>
      <c r="F370" t="s">
        <v>84</v>
      </c>
      <c r="G370" s="8">
        <v>46030</v>
      </c>
      <c r="H370" s="3" t="s">
        <v>538</v>
      </c>
      <c r="I370" s="3" t="e">
        <f>VLOOKUP(Tabela2[[#This Row],[Coluna7]],[1]!Tabela1[#All],2,0)</f>
        <v>#REF!</v>
      </c>
      <c r="J370" t="s">
        <v>741</v>
      </c>
      <c r="L370">
        <v>53.09</v>
      </c>
      <c r="Q370" s="10" t="str">
        <f>Tabela2[[#This Row],[Coluna5]]</f>
        <v>01/2026</v>
      </c>
      <c r="R370" s="10" t="str">
        <f>IF(Tabela2[[#This Row],[Coluna9]]&gt;0,"Entrada","Saída")</f>
        <v>Saída</v>
      </c>
      <c r="S370" s="10" t="str">
        <f>Tabela2[[#This Row],[Coluna8]]</f>
        <v>CARTÃO NUBANK</v>
      </c>
      <c r="T370" s="10" t="e">
        <f>Tabela2[[#This Row],[Coluna72]]</f>
        <v>#REF!</v>
      </c>
      <c r="U370" s="10">
        <f>SUM(Tabela2[[#This Row],[Coluna9]],Tabela2[[#This Row],[Coluna10]])</f>
        <v>53.09</v>
      </c>
      <c r="V370" s="2">
        <f>Tabela2[[#This Row],[Coluna4]]</f>
        <v>46013</v>
      </c>
      <c r="W370" s="2">
        <f>Tabela2[[#This Row],[Coluna6]]</f>
        <v>46030</v>
      </c>
    </row>
    <row r="371" spans="2:23" x14ac:dyDescent="0.2">
      <c r="B371" t="s">
        <v>12</v>
      </c>
      <c r="C371" t="s">
        <v>95</v>
      </c>
      <c r="D371" t="s">
        <v>13</v>
      </c>
      <c r="E371" s="8">
        <v>46013</v>
      </c>
      <c r="F371" t="s">
        <v>84</v>
      </c>
      <c r="G371" s="8">
        <v>46030</v>
      </c>
      <c r="H371" s="3" t="s">
        <v>538</v>
      </c>
      <c r="I371" s="3" t="e">
        <f>VLOOKUP(Tabela2[[#This Row],[Coluna7]],[1]!Tabela1[#All],2,0)</f>
        <v>#REF!</v>
      </c>
      <c r="J371" t="s">
        <v>741</v>
      </c>
      <c r="L371">
        <v>153.83000000000001</v>
      </c>
      <c r="Q371" s="10" t="str">
        <f>Tabela2[[#This Row],[Coluna5]]</f>
        <v>01/2026</v>
      </c>
      <c r="R371" s="10" t="str">
        <f>IF(Tabela2[[#This Row],[Coluna9]]&gt;0,"Entrada","Saída")</f>
        <v>Saída</v>
      </c>
      <c r="S371" s="10" t="str">
        <f>Tabela2[[#This Row],[Coluna8]]</f>
        <v>CARTÃO NUBANK</v>
      </c>
      <c r="T371" s="10" t="e">
        <f>Tabela2[[#This Row],[Coluna72]]</f>
        <v>#REF!</v>
      </c>
      <c r="U371" s="10">
        <f>SUM(Tabela2[[#This Row],[Coluna9]],Tabela2[[#This Row],[Coluna10]])</f>
        <v>153.83000000000001</v>
      </c>
      <c r="V371" s="2">
        <f>Tabela2[[#This Row],[Coluna4]]</f>
        <v>46013</v>
      </c>
      <c r="W371" s="2">
        <f>Tabela2[[#This Row],[Coluna6]]</f>
        <v>46030</v>
      </c>
    </row>
    <row r="372" spans="2:23" x14ac:dyDescent="0.2">
      <c r="B372" t="s">
        <v>12</v>
      </c>
      <c r="C372" t="s">
        <v>95</v>
      </c>
      <c r="D372" t="s">
        <v>13</v>
      </c>
      <c r="E372" s="8">
        <v>46013</v>
      </c>
      <c r="F372" t="s">
        <v>84</v>
      </c>
      <c r="G372" s="8">
        <v>46030</v>
      </c>
      <c r="H372" t="s">
        <v>570</v>
      </c>
      <c r="I372" t="e">
        <f>VLOOKUP(Tabela2[[#This Row],[Coluna7]],[1]!Tabela1[#All],2,0)</f>
        <v>#REF!</v>
      </c>
      <c r="J372" t="s">
        <v>741</v>
      </c>
      <c r="L372">
        <v>153.6</v>
      </c>
      <c r="Q372" s="10" t="str">
        <f>Tabela2[[#This Row],[Coluna5]]</f>
        <v>01/2026</v>
      </c>
      <c r="R372" s="10" t="str">
        <f>IF(Tabela2[[#This Row],[Coluna9]]&gt;0,"Entrada","Saída")</f>
        <v>Saída</v>
      </c>
      <c r="S372" s="10" t="str">
        <f>Tabela2[[#This Row],[Coluna8]]</f>
        <v>CARTÃO NUBANK</v>
      </c>
      <c r="T372" s="10" t="e">
        <f>Tabela2[[#This Row],[Coluna72]]</f>
        <v>#REF!</v>
      </c>
      <c r="U372" s="10">
        <f>SUM(Tabela2[[#This Row],[Coluna9]],Tabela2[[#This Row],[Coluna10]])</f>
        <v>153.6</v>
      </c>
      <c r="V372" s="2">
        <f>Tabela2[[#This Row],[Coluna4]]</f>
        <v>46013</v>
      </c>
      <c r="W372" s="2">
        <f>Tabela2[[#This Row],[Coluna6]]</f>
        <v>46030</v>
      </c>
    </row>
    <row r="373" spans="2:23" x14ac:dyDescent="0.2">
      <c r="B373" t="s">
        <v>12</v>
      </c>
      <c r="C373" t="s">
        <v>95</v>
      </c>
      <c r="D373" t="s">
        <v>13</v>
      </c>
      <c r="E373" s="8">
        <v>46013</v>
      </c>
      <c r="F373" t="s">
        <v>84</v>
      </c>
      <c r="G373" s="8">
        <v>46030</v>
      </c>
      <c r="H373" t="s">
        <v>469</v>
      </c>
      <c r="I373" t="e">
        <f>VLOOKUP(Tabela2[[#This Row],[Coluna7]],[1]!Tabela1[#All],2,0)</f>
        <v>#REF!</v>
      </c>
      <c r="J373" t="s">
        <v>741</v>
      </c>
      <c r="L373">
        <v>70.790000000000006</v>
      </c>
      <c r="Q373" s="10" t="str">
        <f>Tabela2[[#This Row],[Coluna5]]</f>
        <v>01/2026</v>
      </c>
      <c r="R373" s="10" t="str">
        <f>IF(Tabela2[[#This Row],[Coluna9]]&gt;0,"Entrada","Saída")</f>
        <v>Saída</v>
      </c>
      <c r="S373" s="10" t="str">
        <f>Tabela2[[#This Row],[Coluna8]]</f>
        <v>CARTÃO NUBANK</v>
      </c>
      <c r="T373" s="10" t="e">
        <f>Tabela2[[#This Row],[Coluna72]]</f>
        <v>#REF!</v>
      </c>
      <c r="U373" s="10">
        <f>SUM(Tabela2[[#This Row],[Coluna9]],Tabela2[[#This Row],[Coluna10]])</f>
        <v>70.790000000000006</v>
      </c>
      <c r="V373" s="2">
        <f>Tabela2[[#This Row],[Coluna4]]</f>
        <v>46013</v>
      </c>
      <c r="W373" s="2">
        <f>Tabela2[[#This Row],[Coluna6]]</f>
        <v>46030</v>
      </c>
    </row>
    <row r="374" spans="2:23" x14ac:dyDescent="0.2">
      <c r="B374" s="3" t="s">
        <v>27</v>
      </c>
      <c r="C374" t="s">
        <v>95</v>
      </c>
      <c r="D374" t="s">
        <v>13</v>
      </c>
      <c r="E374" s="8">
        <v>45943</v>
      </c>
      <c r="F374" t="s">
        <v>84</v>
      </c>
      <c r="G374" s="8">
        <v>46036</v>
      </c>
      <c r="H374" t="s">
        <v>469</v>
      </c>
      <c r="I374" t="e">
        <f>VLOOKUP(Tabela2[[#This Row],[Coluna7]],[1]!Tabela1[#All],2,0)</f>
        <v>#REF!</v>
      </c>
      <c r="J374" t="s">
        <v>742</v>
      </c>
      <c r="L374">
        <v>42.16</v>
      </c>
      <c r="Q374" s="10" t="str">
        <f>Tabela2[[#This Row],[Coluna5]]</f>
        <v>01/2026</v>
      </c>
      <c r="R374" s="10" t="str">
        <f>IF(Tabela2[[#This Row],[Coluna9]]&gt;0,"Entrada","Saída")</f>
        <v>Saída</v>
      </c>
      <c r="S374" s="10" t="str">
        <f>Tabela2[[#This Row],[Coluna8]]</f>
        <v>CARTÃO HIPERCARD</v>
      </c>
      <c r="T374" s="10" t="e">
        <f>Tabela2[[#This Row],[Coluna72]]</f>
        <v>#REF!</v>
      </c>
      <c r="U374" s="10">
        <f>SUM(Tabela2[[#This Row],[Coluna9]],Tabela2[[#This Row],[Coluna10]])</f>
        <v>42.16</v>
      </c>
      <c r="V374" s="2">
        <f>Tabela2[[#This Row],[Coluna4]]</f>
        <v>45943</v>
      </c>
      <c r="W374" s="2">
        <f>Tabela2[[#This Row],[Coluna6]]</f>
        <v>46036</v>
      </c>
    </row>
    <row r="375" spans="2:23" x14ac:dyDescent="0.2">
      <c r="B375" s="3" t="s">
        <v>27</v>
      </c>
      <c r="C375" t="s">
        <v>95</v>
      </c>
      <c r="D375" t="s">
        <v>13</v>
      </c>
      <c r="E375" s="8">
        <v>45943</v>
      </c>
      <c r="F375" t="s">
        <v>84</v>
      </c>
      <c r="G375" s="8">
        <v>46036</v>
      </c>
      <c r="H375" t="s">
        <v>469</v>
      </c>
      <c r="I375" t="e">
        <f>VLOOKUP(Tabela2[[#This Row],[Coluna7]],[1]!Tabela1[#All],2,0)</f>
        <v>#REF!</v>
      </c>
      <c r="J375" t="s">
        <v>742</v>
      </c>
      <c r="L375">
        <v>90</v>
      </c>
      <c r="Q375" s="10" t="str">
        <f>Tabela2[[#This Row],[Coluna5]]</f>
        <v>01/2026</v>
      </c>
      <c r="R375" s="10" t="str">
        <f>IF(Tabela2[[#This Row],[Coluna9]]&gt;0,"Entrada","Saída")</f>
        <v>Saída</v>
      </c>
      <c r="S375" s="10" t="str">
        <f>Tabela2[[#This Row],[Coluna8]]</f>
        <v>CARTÃO HIPERCARD</v>
      </c>
      <c r="T375" s="10" t="e">
        <f>Tabela2[[#This Row],[Coluna72]]</f>
        <v>#REF!</v>
      </c>
      <c r="U375" s="10">
        <f>SUM(Tabela2[[#This Row],[Coluna9]],Tabela2[[#This Row],[Coluna10]])</f>
        <v>90</v>
      </c>
      <c r="V375" s="2">
        <f>Tabela2[[#This Row],[Coluna4]]</f>
        <v>45943</v>
      </c>
      <c r="W375" s="2">
        <f>Tabela2[[#This Row],[Coluna6]]</f>
        <v>46036</v>
      </c>
    </row>
    <row r="376" spans="2:23" x14ac:dyDescent="0.2">
      <c r="B376" s="3" t="s">
        <v>27</v>
      </c>
      <c r="C376" t="s">
        <v>95</v>
      </c>
      <c r="D376" t="s">
        <v>13</v>
      </c>
      <c r="E376" s="8">
        <v>45943</v>
      </c>
      <c r="F376" t="s">
        <v>84</v>
      </c>
      <c r="G376" s="8">
        <v>46036</v>
      </c>
      <c r="H376" t="s">
        <v>469</v>
      </c>
      <c r="I376" t="e">
        <f>VLOOKUP(Tabela2[[#This Row],[Coluna7]],[1]!Tabela1[#All],2,0)</f>
        <v>#REF!</v>
      </c>
      <c r="J376" t="s">
        <v>742</v>
      </c>
      <c r="L376">
        <v>54.33</v>
      </c>
      <c r="Q376" s="10" t="str">
        <f>Tabela2[[#This Row],[Coluna5]]</f>
        <v>01/2026</v>
      </c>
      <c r="R376" s="10" t="str">
        <f>IF(Tabela2[[#This Row],[Coluna9]]&gt;0,"Entrada","Saída")</f>
        <v>Saída</v>
      </c>
      <c r="S376" s="10" t="str">
        <f>Tabela2[[#This Row],[Coluna8]]</f>
        <v>CARTÃO HIPERCARD</v>
      </c>
      <c r="T376" s="10" t="e">
        <f>Tabela2[[#This Row],[Coluna72]]</f>
        <v>#REF!</v>
      </c>
      <c r="U376" s="10">
        <f>SUM(Tabela2[[#This Row],[Coluna9]],Tabela2[[#This Row],[Coluna10]])</f>
        <v>54.33</v>
      </c>
      <c r="V376" s="2">
        <f>Tabela2[[#This Row],[Coluna4]]</f>
        <v>45943</v>
      </c>
      <c r="W376" s="2">
        <f>Tabela2[[#This Row],[Coluna6]]</f>
        <v>46036</v>
      </c>
    </row>
    <row r="377" spans="2:23" x14ac:dyDescent="0.2">
      <c r="B377" s="3" t="s">
        <v>27</v>
      </c>
      <c r="C377" t="s">
        <v>95</v>
      </c>
      <c r="D377" t="s">
        <v>13</v>
      </c>
      <c r="E377" s="8">
        <v>46023</v>
      </c>
      <c r="F377" t="s">
        <v>84</v>
      </c>
      <c r="G377" s="8">
        <v>46036</v>
      </c>
      <c r="H377" t="s">
        <v>693</v>
      </c>
      <c r="I377" t="e">
        <f>VLOOKUP(Tabela2[[#This Row],[Coluna7]],[1]!Tabela1[#All],2,0)</f>
        <v>#REF!</v>
      </c>
      <c r="J377" t="s">
        <v>742</v>
      </c>
      <c r="L377">
        <v>10.47</v>
      </c>
      <c r="Q377" s="10" t="str">
        <f>Tabela2[[#This Row],[Coluna5]]</f>
        <v>01/2026</v>
      </c>
      <c r="R377" s="10" t="str">
        <f>IF(Tabela2[[#This Row],[Coluna9]]&gt;0,"Entrada","Saída")</f>
        <v>Saída</v>
      </c>
      <c r="S377" s="10" t="str">
        <f>Tabela2[[#This Row],[Coluna8]]</f>
        <v>CARTÃO HIPERCARD</v>
      </c>
      <c r="T377" s="10" t="e">
        <f>Tabela2[[#This Row],[Coluna72]]</f>
        <v>#REF!</v>
      </c>
      <c r="U377" s="10">
        <f>SUM(Tabela2[[#This Row],[Coluna9]],Tabela2[[#This Row],[Coluna10]])</f>
        <v>10.47</v>
      </c>
      <c r="V377" s="2">
        <f>Tabela2[[#This Row],[Coluna4]]</f>
        <v>46023</v>
      </c>
      <c r="W377" s="2">
        <f>Tabela2[[#This Row],[Coluna6]]</f>
        <v>46036</v>
      </c>
    </row>
    <row r="378" spans="2:23" x14ac:dyDescent="0.2">
      <c r="B378" s="3" t="s">
        <v>27</v>
      </c>
      <c r="C378" t="s">
        <v>95</v>
      </c>
      <c r="D378" t="s">
        <v>13</v>
      </c>
      <c r="E378" s="8">
        <v>46031</v>
      </c>
      <c r="F378" t="s">
        <v>84</v>
      </c>
      <c r="G378" s="8">
        <v>46036</v>
      </c>
      <c r="H378" t="s">
        <v>693</v>
      </c>
      <c r="I378" t="e">
        <f>VLOOKUP(Tabela2[[#This Row],[Coluna7]],[1]!Tabela1[#All],2,0)</f>
        <v>#REF!</v>
      </c>
      <c r="J378" t="s">
        <v>742</v>
      </c>
      <c r="L378">
        <v>13</v>
      </c>
      <c r="Q378" s="10" t="str">
        <f>Tabela2[[#This Row],[Coluna5]]</f>
        <v>01/2026</v>
      </c>
      <c r="R378" s="10" t="str">
        <f>IF(Tabela2[[#This Row],[Coluna9]]&gt;0,"Entrada","Saída")</f>
        <v>Saída</v>
      </c>
      <c r="S378" s="10" t="str">
        <f>Tabela2[[#This Row],[Coluna8]]</f>
        <v>CARTÃO HIPERCARD</v>
      </c>
      <c r="T378" s="10" t="e">
        <f>Tabela2[[#This Row],[Coluna72]]</f>
        <v>#REF!</v>
      </c>
      <c r="U378" s="10">
        <f>SUM(Tabela2[[#This Row],[Coluna9]],Tabela2[[#This Row],[Coluna10]])</f>
        <v>13</v>
      </c>
      <c r="V378" s="2">
        <f>Tabela2[[#This Row],[Coluna4]]</f>
        <v>46031</v>
      </c>
      <c r="W378" s="2">
        <f>Tabela2[[#This Row],[Coluna6]]</f>
        <v>46036</v>
      </c>
    </row>
    <row r="379" spans="2:23" x14ac:dyDescent="0.2">
      <c r="B379" s="3" t="s">
        <v>27</v>
      </c>
      <c r="C379" t="s">
        <v>95</v>
      </c>
      <c r="D379" t="s">
        <v>13</v>
      </c>
      <c r="E379" s="8">
        <v>45937</v>
      </c>
      <c r="F379" t="s">
        <v>84</v>
      </c>
      <c r="G379" s="8">
        <v>46036</v>
      </c>
      <c r="H379" t="s">
        <v>570</v>
      </c>
      <c r="I379" t="e">
        <f>VLOOKUP(Tabela2[[#This Row],[Coluna7]],[1]!Tabela1[#All],2,0)</f>
        <v>#REF!</v>
      </c>
      <c r="J379" s="3" t="s">
        <v>684</v>
      </c>
      <c r="L379">
        <v>35.729999999999997</v>
      </c>
      <c r="Q379" s="10" t="str">
        <f>Tabela2[[#This Row],[Coluna5]]</f>
        <v>01/2026</v>
      </c>
      <c r="R379" s="10" t="str">
        <f>IF(Tabela2[[#This Row],[Coluna9]]&gt;0,"Entrada","Saída")</f>
        <v>Saída</v>
      </c>
      <c r="S379" s="10" t="str">
        <f>Tabela2[[#This Row],[Coluna8]]</f>
        <v>CARTÃO BRADESCO</v>
      </c>
      <c r="T379" s="10" t="e">
        <f>Tabela2[[#This Row],[Coluna72]]</f>
        <v>#REF!</v>
      </c>
      <c r="U379" s="10">
        <f>SUM(Tabela2[[#This Row],[Coluna9]],Tabela2[[#This Row],[Coluna10]])</f>
        <v>35.729999999999997</v>
      </c>
      <c r="V379" s="2">
        <f>Tabela2[[#This Row],[Coluna4]]</f>
        <v>45937</v>
      </c>
      <c r="W379" s="2">
        <f>Tabela2[[#This Row],[Coluna6]]</f>
        <v>46036</v>
      </c>
    </row>
    <row r="380" spans="2:23" x14ac:dyDescent="0.2">
      <c r="B380" s="3" t="s">
        <v>27</v>
      </c>
      <c r="C380" t="s">
        <v>95</v>
      </c>
      <c r="D380" t="s">
        <v>13</v>
      </c>
      <c r="E380" s="8">
        <v>45937</v>
      </c>
      <c r="F380" t="s">
        <v>84</v>
      </c>
      <c r="G380" s="8">
        <v>46036</v>
      </c>
      <c r="H380" t="s">
        <v>469</v>
      </c>
      <c r="I380" t="e">
        <f>VLOOKUP(Tabela2[[#This Row],[Coluna7]],[1]!Tabela1[#All],2,0)</f>
        <v>#REF!</v>
      </c>
      <c r="J380" s="3" t="s">
        <v>684</v>
      </c>
      <c r="L380">
        <v>26.88</v>
      </c>
      <c r="Q380" s="10" t="str">
        <f>Tabela2[[#This Row],[Coluna5]]</f>
        <v>01/2026</v>
      </c>
      <c r="R380" s="10" t="str">
        <f>IF(Tabela2[[#This Row],[Coluna9]]&gt;0,"Entrada","Saída")</f>
        <v>Saída</v>
      </c>
      <c r="S380" s="10" t="str">
        <f>Tabela2[[#This Row],[Coluna8]]</f>
        <v>CARTÃO BRADESCO</v>
      </c>
      <c r="T380" s="10" t="e">
        <f>Tabela2[[#This Row],[Coluna72]]</f>
        <v>#REF!</v>
      </c>
      <c r="U380" s="10">
        <f>SUM(Tabela2[[#This Row],[Coluna9]],Tabela2[[#This Row],[Coluna10]])</f>
        <v>26.88</v>
      </c>
      <c r="V380" s="2">
        <f>Tabela2[[#This Row],[Coluna4]]</f>
        <v>45937</v>
      </c>
      <c r="W380" s="2">
        <f>Tabela2[[#This Row],[Coluna6]]</f>
        <v>46036</v>
      </c>
    </row>
    <row r="381" spans="2:23" x14ac:dyDescent="0.2">
      <c r="B381" s="3" t="s">
        <v>27</v>
      </c>
      <c r="C381" t="s">
        <v>95</v>
      </c>
      <c r="D381" t="s">
        <v>13</v>
      </c>
      <c r="E381" s="8">
        <v>45937</v>
      </c>
      <c r="F381" t="s">
        <v>84</v>
      </c>
      <c r="G381" s="8">
        <v>46036</v>
      </c>
      <c r="H381" t="s">
        <v>570</v>
      </c>
      <c r="I381" t="e">
        <f>VLOOKUP(Tabela2[[#This Row],[Coluna7]],[1]!Tabela1[#All],2,0)</f>
        <v>#REF!</v>
      </c>
      <c r="J381" s="3" t="s">
        <v>684</v>
      </c>
      <c r="L381">
        <v>128.79</v>
      </c>
      <c r="Q381" s="10" t="str">
        <f>Tabela2[[#This Row],[Coluna5]]</f>
        <v>01/2026</v>
      </c>
      <c r="R381" s="10" t="str">
        <f>IF(Tabela2[[#This Row],[Coluna9]]&gt;0,"Entrada","Saída")</f>
        <v>Saída</v>
      </c>
      <c r="S381" s="10" t="str">
        <f>Tabela2[[#This Row],[Coluna8]]</f>
        <v>CARTÃO BRADESCO</v>
      </c>
      <c r="T381" s="10" t="e">
        <f>Tabela2[[#This Row],[Coluna72]]</f>
        <v>#REF!</v>
      </c>
      <c r="U381" s="10">
        <f>SUM(Tabela2[[#This Row],[Coluna9]],Tabela2[[#This Row],[Coluna10]])</f>
        <v>128.79</v>
      </c>
      <c r="V381" s="2">
        <f>Tabela2[[#This Row],[Coluna4]]</f>
        <v>45937</v>
      </c>
      <c r="W381" s="2">
        <f>Tabela2[[#This Row],[Coluna6]]</f>
        <v>46036</v>
      </c>
    </row>
    <row r="382" spans="2:23" x14ac:dyDescent="0.2">
      <c r="B382" s="3" t="s">
        <v>27</v>
      </c>
      <c r="C382" t="s">
        <v>95</v>
      </c>
      <c r="D382" t="s">
        <v>13</v>
      </c>
      <c r="E382" s="8">
        <v>45937</v>
      </c>
      <c r="F382" t="s">
        <v>84</v>
      </c>
      <c r="G382" s="8">
        <v>46036</v>
      </c>
      <c r="H382" t="s">
        <v>570</v>
      </c>
      <c r="I382" t="e">
        <f>VLOOKUP(Tabela2[[#This Row],[Coluna7]],[1]!Tabela1[#All],2,0)</f>
        <v>#REF!</v>
      </c>
      <c r="J382" s="3" t="s">
        <v>684</v>
      </c>
      <c r="L382">
        <v>5.49</v>
      </c>
      <c r="Q382" s="10" t="str">
        <f>Tabela2[[#This Row],[Coluna5]]</f>
        <v>01/2026</v>
      </c>
      <c r="R382" s="10" t="str">
        <f>IF(Tabela2[[#This Row],[Coluna9]]&gt;0,"Entrada","Saída")</f>
        <v>Saída</v>
      </c>
      <c r="S382" s="10" t="str">
        <f>Tabela2[[#This Row],[Coluna8]]</f>
        <v>CARTÃO BRADESCO</v>
      </c>
      <c r="T382" s="10" t="e">
        <f>Tabela2[[#This Row],[Coluna72]]</f>
        <v>#REF!</v>
      </c>
      <c r="U382" s="10">
        <f>SUM(Tabela2[[#This Row],[Coluna9]],Tabela2[[#This Row],[Coluna10]])</f>
        <v>5.49</v>
      </c>
      <c r="V382" s="2">
        <f>Tabela2[[#This Row],[Coluna4]]</f>
        <v>45937</v>
      </c>
      <c r="W382" s="2">
        <f>Tabela2[[#This Row],[Coluna6]]</f>
        <v>46036</v>
      </c>
    </row>
    <row r="383" spans="2:23" x14ac:dyDescent="0.2">
      <c r="B383" s="3" t="s">
        <v>27</v>
      </c>
      <c r="C383" t="s">
        <v>95</v>
      </c>
      <c r="D383" t="s">
        <v>13</v>
      </c>
      <c r="E383" s="8">
        <v>45946</v>
      </c>
      <c r="F383" t="s">
        <v>84</v>
      </c>
      <c r="G383" s="8">
        <v>46036</v>
      </c>
      <c r="H383" t="s">
        <v>570</v>
      </c>
      <c r="I383" t="e">
        <f>VLOOKUP(Tabela2[[#This Row],[Coluna7]],[1]!Tabela1[#All],2,0)</f>
        <v>#REF!</v>
      </c>
      <c r="J383" s="3" t="s">
        <v>684</v>
      </c>
      <c r="L383">
        <v>36.97</v>
      </c>
      <c r="Q383" s="10" t="str">
        <f>Tabela2[[#This Row],[Coluna5]]</f>
        <v>01/2026</v>
      </c>
      <c r="R383" s="10" t="str">
        <f>IF(Tabela2[[#This Row],[Coluna9]]&gt;0,"Entrada","Saída")</f>
        <v>Saída</v>
      </c>
      <c r="S383" s="10" t="str">
        <f>Tabela2[[#This Row],[Coluna8]]</f>
        <v>CARTÃO BRADESCO</v>
      </c>
      <c r="T383" s="10" t="e">
        <f>Tabela2[[#This Row],[Coluna72]]</f>
        <v>#REF!</v>
      </c>
      <c r="U383" s="10">
        <f>SUM(Tabela2[[#This Row],[Coluna9]],Tabela2[[#This Row],[Coluna10]])</f>
        <v>36.97</v>
      </c>
      <c r="V383" s="2">
        <f>Tabela2[[#This Row],[Coluna4]]</f>
        <v>45946</v>
      </c>
      <c r="W383" s="2">
        <f>Tabela2[[#This Row],[Coluna6]]</f>
        <v>46036</v>
      </c>
    </row>
    <row r="384" spans="2:23" x14ac:dyDescent="0.2">
      <c r="B384" s="3" t="s">
        <v>27</v>
      </c>
      <c r="C384" t="s">
        <v>95</v>
      </c>
      <c r="D384" t="s">
        <v>13</v>
      </c>
      <c r="E384" s="8">
        <v>45947</v>
      </c>
      <c r="F384" t="s">
        <v>84</v>
      </c>
      <c r="G384" s="8">
        <v>46036</v>
      </c>
      <c r="H384" t="s">
        <v>570</v>
      </c>
      <c r="I384" t="e">
        <f>VLOOKUP(Tabela2[[#This Row],[Coluna7]],[1]!Tabela1[#All],2,0)</f>
        <v>#REF!</v>
      </c>
      <c r="J384" s="3" t="s">
        <v>684</v>
      </c>
      <c r="L384">
        <v>306.79000000000002</v>
      </c>
      <c r="Q384" s="10" t="str">
        <f>Tabela2[[#This Row],[Coluna5]]</f>
        <v>01/2026</v>
      </c>
      <c r="R384" s="10" t="str">
        <f>IF(Tabela2[[#This Row],[Coluna9]]&gt;0,"Entrada","Saída")</f>
        <v>Saída</v>
      </c>
      <c r="S384" s="10" t="str">
        <f>Tabela2[[#This Row],[Coluna8]]</f>
        <v>CARTÃO BRADESCO</v>
      </c>
      <c r="T384" s="10" t="e">
        <f>Tabela2[[#This Row],[Coluna72]]</f>
        <v>#REF!</v>
      </c>
      <c r="U384" s="10">
        <f>SUM(Tabela2[[#This Row],[Coluna9]],Tabela2[[#This Row],[Coluna10]])</f>
        <v>306.79000000000002</v>
      </c>
      <c r="V384" s="2">
        <f>Tabela2[[#This Row],[Coluna4]]</f>
        <v>45947</v>
      </c>
      <c r="W384" s="2">
        <f>Tabela2[[#This Row],[Coluna6]]</f>
        <v>46036</v>
      </c>
    </row>
    <row r="385" spans="2:23" x14ac:dyDescent="0.2">
      <c r="B385" s="3" t="s">
        <v>27</v>
      </c>
      <c r="C385" t="s">
        <v>95</v>
      </c>
      <c r="D385" t="s">
        <v>13</v>
      </c>
      <c r="E385" s="8">
        <v>45953</v>
      </c>
      <c r="F385" t="s">
        <v>84</v>
      </c>
      <c r="G385" s="8">
        <v>46036</v>
      </c>
      <c r="H385" t="s">
        <v>570</v>
      </c>
      <c r="I385" t="e">
        <f>VLOOKUP(Tabela2[[#This Row],[Coluna7]],[1]!Tabela1[#All],2,0)</f>
        <v>#REF!</v>
      </c>
      <c r="J385" s="3" t="s">
        <v>684</v>
      </c>
      <c r="L385">
        <v>76.709999999999994</v>
      </c>
      <c r="Q385" s="10" t="str">
        <f>Tabela2[[#This Row],[Coluna5]]</f>
        <v>01/2026</v>
      </c>
      <c r="R385" s="10" t="str">
        <f>IF(Tabela2[[#This Row],[Coluna9]]&gt;0,"Entrada","Saída")</f>
        <v>Saída</v>
      </c>
      <c r="S385" s="10" t="str">
        <f>Tabela2[[#This Row],[Coluna8]]</f>
        <v>CARTÃO BRADESCO</v>
      </c>
      <c r="T385" s="10" t="e">
        <f>Tabela2[[#This Row],[Coluna72]]</f>
        <v>#REF!</v>
      </c>
      <c r="U385" s="10">
        <f>SUM(Tabela2[[#This Row],[Coluna9]],Tabela2[[#This Row],[Coluna10]])</f>
        <v>76.709999999999994</v>
      </c>
      <c r="V385" s="2">
        <f>Tabela2[[#This Row],[Coluna4]]</f>
        <v>45953</v>
      </c>
      <c r="W385" s="2">
        <f>Tabela2[[#This Row],[Coluna6]]</f>
        <v>46036</v>
      </c>
    </row>
    <row r="386" spans="2:23" x14ac:dyDescent="0.2">
      <c r="B386" s="3" t="s">
        <v>27</v>
      </c>
      <c r="C386" t="s">
        <v>95</v>
      </c>
      <c r="D386" t="s">
        <v>13</v>
      </c>
      <c r="E386" s="8">
        <v>45956</v>
      </c>
      <c r="F386" t="s">
        <v>84</v>
      </c>
      <c r="G386" s="8">
        <v>46036</v>
      </c>
      <c r="H386" t="s">
        <v>570</v>
      </c>
      <c r="I386" t="e">
        <f>VLOOKUP(Tabela2[[#This Row],[Coluna7]],[1]!Tabela1[#All],2,0)</f>
        <v>#REF!</v>
      </c>
      <c r="J386" s="3" t="s">
        <v>684</v>
      </c>
      <c r="L386">
        <v>50</v>
      </c>
      <c r="Q386" s="10" t="str">
        <f>Tabela2[[#This Row],[Coluna5]]</f>
        <v>01/2026</v>
      </c>
      <c r="R386" s="10" t="str">
        <f>IF(Tabela2[[#This Row],[Coluna9]]&gt;0,"Entrada","Saída")</f>
        <v>Saída</v>
      </c>
      <c r="S386" s="10" t="str">
        <f>Tabela2[[#This Row],[Coluna8]]</f>
        <v>CARTÃO BRADESCO</v>
      </c>
      <c r="T386" s="10" t="e">
        <f>Tabela2[[#This Row],[Coluna72]]</f>
        <v>#REF!</v>
      </c>
      <c r="U386" s="10">
        <f>SUM(Tabela2[[#This Row],[Coluna9]],Tabela2[[#This Row],[Coluna10]])</f>
        <v>50</v>
      </c>
      <c r="V386" s="2">
        <f>Tabela2[[#This Row],[Coluna4]]</f>
        <v>45956</v>
      </c>
      <c r="W386" s="2">
        <f>Tabela2[[#This Row],[Coluna6]]</f>
        <v>46036</v>
      </c>
    </row>
    <row r="387" spans="2:23" x14ac:dyDescent="0.2">
      <c r="B387" s="3" t="s">
        <v>27</v>
      </c>
      <c r="C387" t="s">
        <v>95</v>
      </c>
      <c r="D387" t="s">
        <v>13</v>
      </c>
      <c r="E387" s="8">
        <v>45956</v>
      </c>
      <c r="F387" t="s">
        <v>84</v>
      </c>
      <c r="G387" s="8">
        <v>46036</v>
      </c>
      <c r="H387" t="s">
        <v>570</v>
      </c>
      <c r="I387" t="e">
        <f>VLOOKUP(Tabela2[[#This Row],[Coluna7]],[1]!Tabela1[#All],2,0)</f>
        <v>#REF!</v>
      </c>
      <c r="J387" s="3" t="s">
        <v>684</v>
      </c>
      <c r="L387">
        <v>61.64</v>
      </c>
      <c r="Q387" s="10" t="str">
        <f>Tabela2[[#This Row],[Coluna5]]</f>
        <v>01/2026</v>
      </c>
      <c r="R387" s="10" t="str">
        <f>IF(Tabela2[[#This Row],[Coluna9]]&gt;0,"Entrada","Saída")</f>
        <v>Saída</v>
      </c>
      <c r="S387" s="10" t="str">
        <f>Tabela2[[#This Row],[Coluna8]]</f>
        <v>CARTÃO BRADESCO</v>
      </c>
      <c r="T387" s="10" t="e">
        <f>Tabela2[[#This Row],[Coluna72]]</f>
        <v>#REF!</v>
      </c>
      <c r="U387" s="10">
        <f>SUM(Tabela2[[#This Row],[Coluna9]],Tabela2[[#This Row],[Coluna10]])</f>
        <v>61.64</v>
      </c>
      <c r="V387" s="2">
        <f>Tabela2[[#This Row],[Coluna4]]</f>
        <v>45956</v>
      </c>
      <c r="W387" s="2">
        <f>Tabela2[[#This Row],[Coluna6]]</f>
        <v>46036</v>
      </c>
    </row>
    <row r="388" spans="2:23" x14ac:dyDescent="0.2">
      <c r="B388" s="3" t="s">
        <v>27</v>
      </c>
      <c r="C388" t="s">
        <v>95</v>
      </c>
      <c r="D388" t="s">
        <v>13</v>
      </c>
      <c r="E388" s="8">
        <v>45964</v>
      </c>
      <c r="F388" t="s">
        <v>84</v>
      </c>
      <c r="G388" s="8">
        <v>46036</v>
      </c>
      <c r="H388" t="s">
        <v>469</v>
      </c>
      <c r="I388" t="e">
        <f>VLOOKUP(Tabela2[[#This Row],[Coluna7]],[1]!Tabela1[#All],2,0)</f>
        <v>#REF!</v>
      </c>
      <c r="J388" s="3" t="s">
        <v>684</v>
      </c>
      <c r="L388">
        <v>366.04</v>
      </c>
      <c r="Q388" s="10" t="str">
        <f>Tabela2[[#This Row],[Coluna5]]</f>
        <v>01/2026</v>
      </c>
      <c r="R388" s="10" t="str">
        <f>IF(Tabela2[[#This Row],[Coluna9]]&gt;0,"Entrada","Saída")</f>
        <v>Saída</v>
      </c>
      <c r="S388" s="10" t="str">
        <f>Tabela2[[#This Row],[Coluna8]]</f>
        <v>CARTÃO BRADESCO</v>
      </c>
      <c r="T388" s="10" t="e">
        <f>Tabela2[[#This Row],[Coluna72]]</f>
        <v>#REF!</v>
      </c>
      <c r="U388" s="10">
        <f>SUM(Tabela2[[#This Row],[Coluna9]],Tabela2[[#This Row],[Coluna10]])</f>
        <v>366.04</v>
      </c>
      <c r="V388" s="2">
        <f>Tabela2[[#This Row],[Coluna4]]</f>
        <v>45964</v>
      </c>
      <c r="W388" s="2">
        <f>Tabela2[[#This Row],[Coluna6]]</f>
        <v>46036</v>
      </c>
    </row>
    <row r="389" spans="2:23" x14ac:dyDescent="0.2">
      <c r="B389" s="3" t="s">
        <v>27</v>
      </c>
      <c r="C389" t="s">
        <v>95</v>
      </c>
      <c r="D389" t="s">
        <v>13</v>
      </c>
      <c r="E389" s="8">
        <v>45965</v>
      </c>
      <c r="F389" t="s">
        <v>84</v>
      </c>
      <c r="G389" s="8">
        <v>46036</v>
      </c>
      <c r="H389" t="s">
        <v>538</v>
      </c>
      <c r="I389" t="e">
        <f>VLOOKUP(Tabela2[[#This Row],[Coluna7]],[1]!Tabela1[#All],2,0)</f>
        <v>#REF!</v>
      </c>
      <c r="J389" s="3" t="s">
        <v>684</v>
      </c>
      <c r="L389">
        <v>132.69999999999999</v>
      </c>
      <c r="Q389" s="10" t="str">
        <f>Tabela2[[#This Row],[Coluna5]]</f>
        <v>01/2026</v>
      </c>
      <c r="R389" s="10" t="str">
        <f>IF(Tabela2[[#This Row],[Coluna9]]&gt;0,"Entrada","Saída")</f>
        <v>Saída</v>
      </c>
      <c r="S389" s="10" t="str">
        <f>Tabela2[[#This Row],[Coluna8]]</f>
        <v>CARTÃO BRADESCO</v>
      </c>
      <c r="T389" s="10" t="e">
        <f>Tabela2[[#This Row],[Coluna72]]</f>
        <v>#REF!</v>
      </c>
      <c r="U389" s="10">
        <f>SUM(Tabela2[[#This Row],[Coluna9]],Tabela2[[#This Row],[Coluna10]])</f>
        <v>132.69999999999999</v>
      </c>
      <c r="V389" s="2">
        <f>Tabela2[[#This Row],[Coluna4]]</f>
        <v>45965</v>
      </c>
      <c r="W389" s="2">
        <f>Tabela2[[#This Row],[Coluna6]]</f>
        <v>46036</v>
      </c>
    </row>
    <row r="390" spans="2:23" x14ac:dyDescent="0.2">
      <c r="B390" s="3" t="s">
        <v>27</v>
      </c>
      <c r="C390" t="s">
        <v>95</v>
      </c>
      <c r="D390" t="s">
        <v>13</v>
      </c>
      <c r="E390" s="8">
        <v>45965</v>
      </c>
      <c r="F390" t="s">
        <v>84</v>
      </c>
      <c r="G390" s="8">
        <v>46036</v>
      </c>
      <c r="H390" t="s">
        <v>538</v>
      </c>
      <c r="I390" t="e">
        <f>VLOOKUP(Tabela2[[#This Row],[Coluna7]],[1]!Tabela1[#All],2,0)</f>
        <v>#REF!</v>
      </c>
      <c r="J390" s="3" t="s">
        <v>684</v>
      </c>
      <c r="L390">
        <v>48.33</v>
      </c>
      <c r="Q390" s="10" t="str">
        <f>Tabela2[[#This Row],[Coluna5]]</f>
        <v>01/2026</v>
      </c>
      <c r="R390" s="10" t="str">
        <f>IF(Tabela2[[#This Row],[Coluna9]]&gt;0,"Entrada","Saída")</f>
        <v>Saída</v>
      </c>
      <c r="S390" s="10" t="str">
        <f>Tabela2[[#This Row],[Coluna8]]</f>
        <v>CARTÃO BRADESCO</v>
      </c>
      <c r="T390" s="10" t="e">
        <f>Tabela2[[#This Row],[Coluna72]]</f>
        <v>#REF!</v>
      </c>
      <c r="U390" s="10">
        <f>SUM(Tabela2[[#This Row],[Coluna9]],Tabela2[[#This Row],[Coluna10]])</f>
        <v>48.33</v>
      </c>
      <c r="V390" s="2">
        <f>Tabela2[[#This Row],[Coluna4]]</f>
        <v>45965</v>
      </c>
      <c r="W390" s="2">
        <f>Tabela2[[#This Row],[Coluna6]]</f>
        <v>46036</v>
      </c>
    </row>
    <row r="391" spans="2:23" x14ac:dyDescent="0.2">
      <c r="B391" s="3" t="s">
        <v>27</v>
      </c>
      <c r="C391" t="s">
        <v>95</v>
      </c>
      <c r="D391" t="s">
        <v>13</v>
      </c>
      <c r="E391" s="8">
        <v>45965</v>
      </c>
      <c r="F391" t="s">
        <v>84</v>
      </c>
      <c r="G391" s="8">
        <v>46036</v>
      </c>
      <c r="H391" t="s">
        <v>693</v>
      </c>
      <c r="I391" t="e">
        <f>VLOOKUP(Tabela2[[#This Row],[Coluna7]],[1]!Tabela1[#All],2,0)</f>
        <v>#REF!</v>
      </c>
      <c r="J391" s="3" t="s">
        <v>684</v>
      </c>
      <c r="L391">
        <v>46</v>
      </c>
      <c r="Q391" s="10" t="str">
        <f>Tabela2[[#This Row],[Coluna5]]</f>
        <v>01/2026</v>
      </c>
      <c r="R391" s="10" t="str">
        <f>IF(Tabela2[[#This Row],[Coluna9]]&gt;0,"Entrada","Saída")</f>
        <v>Saída</v>
      </c>
      <c r="S391" s="10" t="str">
        <f>Tabela2[[#This Row],[Coluna8]]</f>
        <v>CARTÃO BRADESCO</v>
      </c>
      <c r="T391" s="10" t="e">
        <f>Tabela2[[#This Row],[Coluna72]]</f>
        <v>#REF!</v>
      </c>
      <c r="U391" s="10">
        <f>SUM(Tabela2[[#This Row],[Coluna9]],Tabela2[[#This Row],[Coluna10]])</f>
        <v>46</v>
      </c>
      <c r="V391" s="2">
        <f>Tabela2[[#This Row],[Coluna4]]</f>
        <v>45965</v>
      </c>
      <c r="W391" s="2">
        <f>Tabela2[[#This Row],[Coluna6]]</f>
        <v>46036</v>
      </c>
    </row>
    <row r="392" spans="2:23" x14ac:dyDescent="0.2">
      <c r="B392" s="3" t="s">
        <v>27</v>
      </c>
      <c r="C392" t="s">
        <v>95</v>
      </c>
      <c r="D392" t="s">
        <v>13</v>
      </c>
      <c r="E392" s="8">
        <v>45968</v>
      </c>
      <c r="F392" t="s">
        <v>84</v>
      </c>
      <c r="G392" s="8">
        <v>46036</v>
      </c>
      <c r="H392" t="s">
        <v>570</v>
      </c>
      <c r="I392" t="e">
        <f>VLOOKUP(Tabela2[[#This Row],[Coluna7]],[1]!Tabela1[#All],2,0)</f>
        <v>#REF!</v>
      </c>
      <c r="J392" s="3" t="s">
        <v>684</v>
      </c>
      <c r="L392">
        <v>319.77999999999997</v>
      </c>
      <c r="Q392" s="10" t="str">
        <f>Tabela2[[#This Row],[Coluna5]]</f>
        <v>01/2026</v>
      </c>
      <c r="R392" s="10" t="str">
        <f>IF(Tabela2[[#This Row],[Coluna9]]&gt;0,"Entrada","Saída")</f>
        <v>Saída</v>
      </c>
      <c r="S392" s="10" t="str">
        <f>Tabela2[[#This Row],[Coluna8]]</f>
        <v>CARTÃO BRADESCO</v>
      </c>
      <c r="T392" s="10" t="e">
        <f>Tabela2[[#This Row],[Coluna72]]</f>
        <v>#REF!</v>
      </c>
      <c r="U392" s="10">
        <f>SUM(Tabela2[[#This Row],[Coluna9]],Tabela2[[#This Row],[Coluna10]])</f>
        <v>319.77999999999997</v>
      </c>
      <c r="V392" s="2">
        <f>Tabela2[[#This Row],[Coluna4]]</f>
        <v>45968</v>
      </c>
      <c r="W392" s="2">
        <f>Tabela2[[#This Row],[Coluna6]]</f>
        <v>46036</v>
      </c>
    </row>
    <row r="393" spans="2:23" x14ac:dyDescent="0.2">
      <c r="B393" s="3" t="s">
        <v>27</v>
      </c>
      <c r="C393" t="s">
        <v>95</v>
      </c>
      <c r="D393" t="s">
        <v>13</v>
      </c>
      <c r="E393" s="8">
        <v>45973</v>
      </c>
      <c r="F393" t="s">
        <v>84</v>
      </c>
      <c r="G393" s="8">
        <v>46036</v>
      </c>
      <c r="H393" t="s">
        <v>538</v>
      </c>
      <c r="I393" t="e">
        <f>VLOOKUP(Tabela2[[#This Row],[Coluna7]],[1]!Tabela1[#All],2,0)</f>
        <v>#REF!</v>
      </c>
      <c r="J393" s="3" t="s">
        <v>684</v>
      </c>
      <c r="L393">
        <v>69.89</v>
      </c>
      <c r="Q393" s="10" t="str">
        <f>Tabela2[[#This Row],[Coluna5]]</f>
        <v>01/2026</v>
      </c>
      <c r="R393" s="10" t="str">
        <f>IF(Tabela2[[#This Row],[Coluna9]]&gt;0,"Entrada","Saída")</f>
        <v>Saída</v>
      </c>
      <c r="S393" s="10" t="str">
        <f>Tabela2[[#This Row],[Coluna8]]</f>
        <v>CARTÃO BRADESCO</v>
      </c>
      <c r="T393" s="10" t="e">
        <f>Tabela2[[#This Row],[Coluna72]]</f>
        <v>#REF!</v>
      </c>
      <c r="U393" s="10">
        <f>SUM(Tabela2[[#This Row],[Coluna9]],Tabela2[[#This Row],[Coluna10]])</f>
        <v>69.89</v>
      </c>
      <c r="V393" s="2">
        <f>Tabela2[[#This Row],[Coluna4]]</f>
        <v>45973</v>
      </c>
      <c r="W393" s="2">
        <f>Tabela2[[#This Row],[Coluna6]]</f>
        <v>46036</v>
      </c>
    </row>
    <row r="394" spans="2:23" x14ac:dyDescent="0.2">
      <c r="B394" s="3" t="s">
        <v>27</v>
      </c>
      <c r="C394" t="s">
        <v>95</v>
      </c>
      <c r="D394" t="s">
        <v>13</v>
      </c>
      <c r="E394" s="8">
        <v>46000</v>
      </c>
      <c r="F394" t="s">
        <v>84</v>
      </c>
      <c r="G394" s="8">
        <v>46030</v>
      </c>
      <c r="H394" t="s">
        <v>435</v>
      </c>
      <c r="I394" t="e">
        <f>VLOOKUP(Tabela2[[#This Row],[Coluna7]],[1]!Tabela1[#All],2,0)</f>
        <v>#REF!</v>
      </c>
      <c r="J394" s="3" t="s">
        <v>684</v>
      </c>
      <c r="L394">
        <v>39.68</v>
      </c>
      <c r="Q394" s="10" t="str">
        <f>Tabela2[[#This Row],[Coluna5]]</f>
        <v>01/2026</v>
      </c>
      <c r="R394" s="10" t="str">
        <f>IF(Tabela2[[#This Row],[Coluna9]]&gt;0,"Entrada","Saída")</f>
        <v>Saída</v>
      </c>
      <c r="S394" s="10" t="str">
        <f>Tabela2[[#This Row],[Coluna8]]</f>
        <v>CARTÃO BRADESCO</v>
      </c>
      <c r="T394" s="10" t="e">
        <f>Tabela2[[#This Row],[Coluna72]]</f>
        <v>#REF!</v>
      </c>
      <c r="U394" s="10">
        <f>SUM(Tabela2[[#This Row],[Coluna9]],Tabela2[[#This Row],[Coluna10]])</f>
        <v>39.68</v>
      </c>
      <c r="V394" s="2">
        <f>Tabela2[[#This Row],[Coluna4]]</f>
        <v>46000</v>
      </c>
      <c r="W394" s="2">
        <f>Tabela2[[#This Row],[Coluna6]]</f>
        <v>46030</v>
      </c>
    </row>
    <row r="395" spans="2:23" x14ac:dyDescent="0.2">
      <c r="B395" s="3" t="s">
        <v>27</v>
      </c>
      <c r="C395" t="s">
        <v>95</v>
      </c>
      <c r="D395" t="s">
        <v>13</v>
      </c>
      <c r="E395" s="8">
        <v>46000</v>
      </c>
      <c r="F395" t="s">
        <v>84</v>
      </c>
      <c r="G395" s="8">
        <v>46037</v>
      </c>
      <c r="H395" t="s">
        <v>538</v>
      </c>
      <c r="I395" t="e">
        <f>VLOOKUP(Tabela2[[#This Row],[Coluna7]],[1]!Tabela1[#All],2,0)</f>
        <v>#REF!</v>
      </c>
      <c r="J395" s="3" t="s">
        <v>684</v>
      </c>
      <c r="L395">
        <v>15</v>
      </c>
      <c r="Q395" s="10" t="str">
        <f>Tabela2[[#This Row],[Coluna5]]</f>
        <v>01/2026</v>
      </c>
      <c r="R395" s="10" t="str">
        <f>IF(Tabela2[[#This Row],[Coluna9]]&gt;0,"Entrada","Saída")</f>
        <v>Saída</v>
      </c>
      <c r="S395" s="10" t="str">
        <f>Tabela2[[#This Row],[Coluna8]]</f>
        <v>CARTÃO BRADESCO</v>
      </c>
      <c r="T395" s="10" t="e">
        <f>Tabela2[[#This Row],[Coluna72]]</f>
        <v>#REF!</v>
      </c>
      <c r="U395" s="10">
        <f>SUM(Tabela2[[#This Row],[Coluna9]],Tabela2[[#This Row],[Coluna10]])</f>
        <v>15</v>
      </c>
      <c r="V395" s="2">
        <f>Tabela2[[#This Row],[Coluna4]]</f>
        <v>46000</v>
      </c>
      <c r="W395" s="2">
        <f>Tabela2[[#This Row],[Coluna6]]</f>
        <v>46037</v>
      </c>
    </row>
    <row r="396" spans="2:23" x14ac:dyDescent="0.2">
      <c r="B396" s="3" t="s">
        <v>27</v>
      </c>
      <c r="C396" t="s">
        <v>95</v>
      </c>
      <c r="D396" t="s">
        <v>13</v>
      </c>
      <c r="E396" s="8">
        <v>46000</v>
      </c>
      <c r="F396" t="s">
        <v>84</v>
      </c>
      <c r="G396" s="8">
        <v>46037</v>
      </c>
      <c r="H396" t="s">
        <v>443</v>
      </c>
      <c r="I396" t="e">
        <f>VLOOKUP(Tabela2[[#This Row],[Coluna7]],[1]!Tabela1[#All],2,0)</f>
        <v>#REF!</v>
      </c>
      <c r="J396" s="3" t="s">
        <v>684</v>
      </c>
      <c r="L396">
        <v>37.520000000000003</v>
      </c>
      <c r="Q396" s="10" t="str">
        <f>Tabela2[[#This Row],[Coluna5]]</f>
        <v>01/2026</v>
      </c>
      <c r="R396" s="10" t="str">
        <f>IF(Tabela2[[#This Row],[Coluna9]]&gt;0,"Entrada","Saída")</f>
        <v>Saída</v>
      </c>
      <c r="S396" s="10" t="str">
        <f>Tabela2[[#This Row],[Coluna8]]</f>
        <v>CARTÃO BRADESCO</v>
      </c>
      <c r="T396" s="10" t="e">
        <f>Tabela2[[#This Row],[Coluna72]]</f>
        <v>#REF!</v>
      </c>
      <c r="U396" s="10">
        <f>SUM(Tabela2[[#This Row],[Coluna9]],Tabela2[[#This Row],[Coluna10]])</f>
        <v>37.520000000000003</v>
      </c>
      <c r="V396" s="2">
        <f>Tabela2[[#This Row],[Coluna4]]</f>
        <v>46000</v>
      </c>
      <c r="W396" s="2">
        <f>Tabela2[[#This Row],[Coluna6]]</f>
        <v>46037</v>
      </c>
    </row>
    <row r="397" spans="2:23" x14ac:dyDescent="0.2">
      <c r="B397" s="3" t="s">
        <v>27</v>
      </c>
      <c r="C397" t="s">
        <v>95</v>
      </c>
      <c r="D397" t="s">
        <v>13</v>
      </c>
      <c r="E397" s="8">
        <v>46004</v>
      </c>
      <c r="F397" t="s">
        <v>84</v>
      </c>
      <c r="G397" s="8">
        <v>46037</v>
      </c>
      <c r="H397" t="s">
        <v>538</v>
      </c>
      <c r="I397" t="e">
        <f>VLOOKUP(Tabela2[[#This Row],[Coluna7]],[1]!Tabela1[#All],2,0)</f>
        <v>#REF!</v>
      </c>
      <c r="J397" s="3" t="s">
        <v>684</v>
      </c>
      <c r="L397">
        <v>61.16</v>
      </c>
      <c r="Q397" s="10" t="str">
        <f>Tabela2[[#This Row],[Coluna5]]</f>
        <v>01/2026</v>
      </c>
      <c r="R397" s="10" t="str">
        <f>IF(Tabela2[[#This Row],[Coluna9]]&gt;0,"Entrada","Saída")</f>
        <v>Saída</v>
      </c>
      <c r="S397" s="10" t="str">
        <f>Tabela2[[#This Row],[Coluna8]]</f>
        <v>CARTÃO BRADESCO</v>
      </c>
      <c r="T397" s="10" t="e">
        <f>Tabela2[[#This Row],[Coluna72]]</f>
        <v>#REF!</v>
      </c>
      <c r="U397" s="10">
        <f>SUM(Tabela2[[#This Row],[Coluna9]],Tabela2[[#This Row],[Coluna10]])</f>
        <v>61.16</v>
      </c>
      <c r="V397" s="2">
        <f>Tabela2[[#This Row],[Coluna4]]</f>
        <v>46004</v>
      </c>
      <c r="W397" s="2">
        <f>Tabela2[[#This Row],[Coluna6]]</f>
        <v>46037</v>
      </c>
    </row>
    <row r="398" spans="2:23" x14ac:dyDescent="0.2">
      <c r="B398" s="3" t="s">
        <v>27</v>
      </c>
      <c r="C398" t="s">
        <v>95</v>
      </c>
      <c r="D398" t="s">
        <v>13</v>
      </c>
      <c r="E398" s="8">
        <v>46024</v>
      </c>
      <c r="F398" t="s">
        <v>84</v>
      </c>
      <c r="G398" s="8">
        <v>46037</v>
      </c>
      <c r="H398" t="s">
        <v>570</v>
      </c>
      <c r="I398" t="e">
        <f>VLOOKUP(Tabela2[[#This Row],[Coluna7]],[1]!Tabela1[#All],2,0)</f>
        <v>#REF!</v>
      </c>
      <c r="J398" s="3" t="s">
        <v>684</v>
      </c>
      <c r="L398">
        <v>69.98</v>
      </c>
      <c r="Q398" s="10" t="str">
        <f>Tabela2[[#This Row],[Coluna5]]</f>
        <v>01/2026</v>
      </c>
      <c r="R398" s="10" t="str">
        <f>IF(Tabela2[[#This Row],[Coluna9]]&gt;0,"Entrada","Saída")</f>
        <v>Saída</v>
      </c>
      <c r="S398" s="10" t="str">
        <f>Tabela2[[#This Row],[Coluna8]]</f>
        <v>CARTÃO BRADESCO</v>
      </c>
      <c r="T398" s="10" t="e">
        <f>Tabela2[[#This Row],[Coluna72]]</f>
        <v>#REF!</v>
      </c>
      <c r="U398" s="10">
        <f>SUM(Tabela2[[#This Row],[Coluna9]],Tabela2[[#This Row],[Coluna10]])</f>
        <v>69.98</v>
      </c>
      <c r="V398" s="2">
        <f>Tabela2[[#This Row],[Coluna4]]</f>
        <v>46024</v>
      </c>
      <c r="W398" s="2">
        <f>Tabela2[[#This Row],[Coluna6]]</f>
        <v>46037</v>
      </c>
    </row>
    <row r="399" spans="2:23" x14ac:dyDescent="0.2">
      <c r="B399" s="3" t="s">
        <v>27</v>
      </c>
      <c r="C399" t="s">
        <v>95</v>
      </c>
      <c r="D399" t="s">
        <v>13</v>
      </c>
      <c r="E399" s="8">
        <v>46029</v>
      </c>
      <c r="F399" t="s">
        <v>84</v>
      </c>
      <c r="G399" s="8">
        <v>46037</v>
      </c>
      <c r="H399" t="s">
        <v>538</v>
      </c>
      <c r="I399" t="e">
        <f>VLOOKUP(Tabela2[[#This Row],[Coluna7]],[1]!Tabela1[#All],2,0)</f>
        <v>#REF!</v>
      </c>
      <c r="J399" s="3" t="s">
        <v>684</v>
      </c>
      <c r="L399">
        <v>54.55</v>
      </c>
      <c r="Q399" s="10" t="str">
        <f>Tabela2[[#This Row],[Coluna5]]</f>
        <v>01/2026</v>
      </c>
      <c r="R399" s="10" t="str">
        <f>IF(Tabela2[[#This Row],[Coluna9]]&gt;0,"Entrada","Saída")</f>
        <v>Saída</v>
      </c>
      <c r="S399" s="10" t="str">
        <f>Tabela2[[#This Row],[Coluna8]]</f>
        <v>CARTÃO BRADESCO</v>
      </c>
      <c r="T399" s="10" t="e">
        <f>Tabela2[[#This Row],[Coluna72]]</f>
        <v>#REF!</v>
      </c>
      <c r="U399" s="10">
        <f>SUM(Tabela2[[#This Row],[Coluna9]],Tabela2[[#This Row],[Coluna10]])</f>
        <v>54.55</v>
      </c>
      <c r="V399" s="2">
        <f>Tabela2[[#This Row],[Coluna4]]</f>
        <v>46029</v>
      </c>
      <c r="W399" s="2">
        <f>Tabela2[[#This Row],[Coluna6]]</f>
        <v>46037</v>
      </c>
    </row>
    <row r="400" spans="2:23" x14ac:dyDescent="0.2">
      <c r="B400" s="3" t="s">
        <v>27</v>
      </c>
      <c r="C400" t="s">
        <v>95</v>
      </c>
      <c r="D400" t="s">
        <v>13</v>
      </c>
      <c r="E400" s="8">
        <v>46080</v>
      </c>
      <c r="F400" t="s">
        <v>84</v>
      </c>
      <c r="G400" s="8">
        <v>46037</v>
      </c>
      <c r="H400" t="s">
        <v>693</v>
      </c>
      <c r="I400" t="e">
        <f>VLOOKUP(Tabela2[[#This Row],[Coluna7]],[1]!Tabela1[#All],2,0)</f>
        <v>#REF!</v>
      </c>
      <c r="J400" s="3" t="s">
        <v>684</v>
      </c>
      <c r="L400">
        <v>46</v>
      </c>
      <c r="Q400" s="10" t="str">
        <f>Tabela2[[#This Row],[Coluna5]]</f>
        <v>01/2026</v>
      </c>
      <c r="R400" s="10" t="str">
        <f>IF(Tabela2[[#This Row],[Coluna9]]&gt;0,"Entrada","Saída")</f>
        <v>Saída</v>
      </c>
      <c r="S400" s="10" t="str">
        <f>Tabela2[[#This Row],[Coluna8]]</f>
        <v>CARTÃO BRADESCO</v>
      </c>
      <c r="T400" s="10" t="e">
        <f>Tabela2[[#This Row],[Coluna72]]</f>
        <v>#REF!</v>
      </c>
      <c r="U400" s="10">
        <f>SUM(Tabela2[[#This Row],[Coluna9]],Tabela2[[#This Row],[Coluna10]])</f>
        <v>46</v>
      </c>
      <c r="V400" s="2">
        <f>Tabela2[[#This Row],[Coluna4]]</f>
        <v>46080</v>
      </c>
      <c r="W400" s="2">
        <f>Tabela2[[#This Row],[Coluna6]]</f>
        <v>46037</v>
      </c>
    </row>
    <row r="401" spans="2:23" x14ac:dyDescent="0.2">
      <c r="B401" s="3" t="s">
        <v>18</v>
      </c>
      <c r="C401" t="s">
        <v>95</v>
      </c>
      <c r="D401" t="s">
        <v>13</v>
      </c>
      <c r="E401" s="8">
        <v>45966</v>
      </c>
      <c r="F401" t="s">
        <v>750</v>
      </c>
      <c r="G401" s="8">
        <v>46057</v>
      </c>
      <c r="H401" t="s">
        <v>570</v>
      </c>
      <c r="I401" t="e">
        <f>VLOOKUP(Tabela2[[#This Row],[Coluna7]],[1]!Tabela1[#All],2,0)</f>
        <v>#REF!</v>
      </c>
      <c r="J401" s="3" t="s">
        <v>744</v>
      </c>
      <c r="L401">
        <v>89.02</v>
      </c>
      <c r="Q401" s="10" t="str">
        <f>Tabela2[[#This Row],[Coluna5]]</f>
        <v>02/2026</v>
      </c>
      <c r="R401" s="10" t="str">
        <f>IF(Tabela2[[#This Row],[Coluna9]]&gt;0,"Entrada","Saída")</f>
        <v>Saída</v>
      </c>
      <c r="S401" s="10" t="str">
        <f>Tabela2[[#This Row],[Coluna8]]</f>
        <v xml:space="preserve">CARTÃO EFÍ </v>
      </c>
      <c r="T401" s="10" t="e">
        <f>Tabela2[[#This Row],[Coluna72]]</f>
        <v>#REF!</v>
      </c>
      <c r="U401" s="10">
        <f>SUM(Tabela2[[#This Row],[Coluna9]],Tabela2[[#This Row],[Coluna10]])</f>
        <v>89.02</v>
      </c>
      <c r="V401" s="2">
        <f>Tabela2[[#This Row],[Coluna4]]</f>
        <v>45966</v>
      </c>
      <c r="W401" s="2">
        <f>Tabela2[[#This Row],[Coluna6]]</f>
        <v>46057</v>
      </c>
    </row>
    <row r="402" spans="2:23" x14ac:dyDescent="0.2">
      <c r="B402" s="3" t="s">
        <v>18</v>
      </c>
      <c r="C402" t="s">
        <v>95</v>
      </c>
      <c r="D402" t="s">
        <v>13</v>
      </c>
      <c r="E402" s="8">
        <v>45995</v>
      </c>
      <c r="F402" t="s">
        <v>750</v>
      </c>
      <c r="G402" s="8">
        <v>46057</v>
      </c>
      <c r="H402" t="s">
        <v>570</v>
      </c>
      <c r="I402" t="e">
        <f>VLOOKUP(Tabela2[[#This Row],[Coluna7]],[1]!Tabela1[#All],2,0)</f>
        <v>#REF!</v>
      </c>
      <c r="J402" s="3" t="s">
        <v>744</v>
      </c>
      <c r="L402">
        <v>52.16</v>
      </c>
      <c r="Q402" s="10" t="str">
        <f>Tabela2[[#This Row],[Coluna5]]</f>
        <v>02/2026</v>
      </c>
      <c r="R402" s="10" t="str">
        <f>IF(Tabela2[[#This Row],[Coluna9]]&gt;0,"Entrada","Saída")</f>
        <v>Saída</v>
      </c>
      <c r="S402" s="10" t="str">
        <f>Tabela2[[#This Row],[Coluna8]]</f>
        <v xml:space="preserve">CARTÃO EFÍ </v>
      </c>
      <c r="T402" s="10" t="e">
        <f>Tabela2[[#This Row],[Coluna72]]</f>
        <v>#REF!</v>
      </c>
      <c r="U402" s="10">
        <f>SUM(Tabela2[[#This Row],[Coluna9]],Tabela2[[#This Row],[Coluna10]])</f>
        <v>52.16</v>
      </c>
      <c r="V402" s="2">
        <f>Tabela2[[#This Row],[Coluna4]]</f>
        <v>45995</v>
      </c>
      <c r="W402" s="2">
        <f>Tabela2[[#This Row],[Coluna6]]</f>
        <v>46057</v>
      </c>
    </row>
    <row r="403" spans="2:23" x14ac:dyDescent="0.2">
      <c r="B403" s="3" t="s">
        <v>18</v>
      </c>
      <c r="C403" t="s">
        <v>95</v>
      </c>
      <c r="D403" t="s">
        <v>13</v>
      </c>
      <c r="E403" s="8">
        <v>46027</v>
      </c>
      <c r="F403" t="s">
        <v>750</v>
      </c>
      <c r="G403" s="8">
        <v>46057</v>
      </c>
      <c r="H403" t="s">
        <v>570</v>
      </c>
      <c r="I403" t="e">
        <f>VLOOKUP(Tabela2[[#This Row],[Coluna7]],[1]!Tabela1[#All],2,0)</f>
        <v>#REF!</v>
      </c>
      <c r="J403" s="3" t="s">
        <v>744</v>
      </c>
      <c r="L403">
        <v>15.9</v>
      </c>
      <c r="Q403" s="10" t="str">
        <f>Tabela2[[#This Row],[Coluna5]]</f>
        <v>02/2026</v>
      </c>
      <c r="R403" s="10" t="str">
        <f>IF(Tabela2[[#This Row],[Coluna9]]&gt;0,"Entrada","Saída")</f>
        <v>Saída</v>
      </c>
      <c r="S403" s="10" t="str">
        <f>Tabela2[[#This Row],[Coluna8]]</f>
        <v xml:space="preserve">CARTÃO EFÍ </v>
      </c>
      <c r="T403" s="10" t="e">
        <f>Tabela2[[#This Row],[Coluna72]]</f>
        <v>#REF!</v>
      </c>
      <c r="U403" s="10">
        <f>SUM(Tabela2[[#This Row],[Coluna9]],Tabela2[[#This Row],[Coluna10]])</f>
        <v>15.9</v>
      </c>
      <c r="V403" s="2">
        <f>Tabela2[[#This Row],[Coluna4]]</f>
        <v>46027</v>
      </c>
      <c r="W403" s="2">
        <f>Tabela2[[#This Row],[Coluna6]]</f>
        <v>46057</v>
      </c>
    </row>
    <row r="404" spans="2:23" x14ac:dyDescent="0.2">
      <c r="B404" s="3" t="s">
        <v>18</v>
      </c>
      <c r="C404" t="s">
        <v>95</v>
      </c>
      <c r="D404" t="s">
        <v>13</v>
      </c>
      <c r="E404" s="8">
        <v>46028</v>
      </c>
      <c r="F404" t="s">
        <v>750</v>
      </c>
      <c r="G404" s="8">
        <v>46057</v>
      </c>
      <c r="H404" t="s">
        <v>443</v>
      </c>
      <c r="I404" t="e">
        <f>VLOOKUP(Tabela2[[#This Row],[Coluna7]],[1]!Tabela1[#All],2,0)</f>
        <v>#REF!</v>
      </c>
      <c r="J404" s="3" t="s">
        <v>744</v>
      </c>
      <c r="L404">
        <v>29.36</v>
      </c>
      <c r="Q404" s="10" t="str">
        <f>Tabela2[[#This Row],[Coluna5]]</f>
        <v>02/2026</v>
      </c>
      <c r="R404" s="10" t="str">
        <f>IF(Tabela2[[#This Row],[Coluna9]]&gt;0,"Entrada","Saída")</f>
        <v>Saída</v>
      </c>
      <c r="S404" s="10" t="str">
        <f>Tabela2[[#This Row],[Coluna8]]</f>
        <v xml:space="preserve">CARTÃO EFÍ </v>
      </c>
      <c r="T404" s="10" t="e">
        <f>Tabela2[[#This Row],[Coluna72]]</f>
        <v>#REF!</v>
      </c>
      <c r="U404" s="10">
        <f>SUM(Tabela2[[#This Row],[Coluna9]],Tabela2[[#This Row],[Coluna10]])</f>
        <v>29.36</v>
      </c>
      <c r="V404" s="2">
        <f>Tabela2[[#This Row],[Coluna4]]</f>
        <v>46028</v>
      </c>
      <c r="W404" s="2">
        <f>Tabela2[[#This Row],[Coluna6]]</f>
        <v>46057</v>
      </c>
    </row>
    <row r="405" spans="2:23" x14ac:dyDescent="0.2">
      <c r="B405" s="3" t="s">
        <v>18</v>
      </c>
      <c r="C405" t="s">
        <v>95</v>
      </c>
      <c r="D405" t="s">
        <v>13</v>
      </c>
      <c r="E405" s="8">
        <v>46028</v>
      </c>
      <c r="F405" t="s">
        <v>750</v>
      </c>
      <c r="G405" s="8">
        <v>46057</v>
      </c>
      <c r="H405" t="s">
        <v>570</v>
      </c>
      <c r="I405" t="e">
        <f>VLOOKUP(Tabela2[[#This Row],[Coluna7]],[1]!Tabela1[#All],2,0)</f>
        <v>#REF!</v>
      </c>
      <c r="J405" s="3" t="s">
        <v>744</v>
      </c>
      <c r="L405">
        <v>2.56</v>
      </c>
      <c r="Q405" s="10" t="str">
        <f>Tabela2[[#This Row],[Coluna5]]</f>
        <v>02/2026</v>
      </c>
      <c r="R405" s="10" t="str">
        <f>IF(Tabela2[[#This Row],[Coluna9]]&gt;0,"Entrada","Saída")</f>
        <v>Saída</v>
      </c>
      <c r="S405" s="10" t="str">
        <f>Tabela2[[#This Row],[Coluna8]]</f>
        <v xml:space="preserve">CARTÃO EFÍ </v>
      </c>
      <c r="T405" s="10" t="e">
        <f>Tabela2[[#This Row],[Coluna72]]</f>
        <v>#REF!</v>
      </c>
      <c r="U405" s="10">
        <f>SUM(Tabela2[[#This Row],[Coluna9]],Tabela2[[#This Row],[Coluna10]])</f>
        <v>2.56</v>
      </c>
      <c r="V405" s="2">
        <f>Tabela2[[#This Row],[Coluna4]]</f>
        <v>46028</v>
      </c>
      <c r="W405" s="2">
        <f>Tabela2[[#This Row],[Coluna6]]</f>
        <v>46057</v>
      </c>
    </row>
    <row r="406" spans="2:23" x14ac:dyDescent="0.2">
      <c r="B406" s="3" t="s">
        <v>18</v>
      </c>
      <c r="C406" t="s">
        <v>95</v>
      </c>
      <c r="D406" t="s">
        <v>13</v>
      </c>
      <c r="E406" s="8">
        <v>46028</v>
      </c>
      <c r="F406" t="s">
        <v>750</v>
      </c>
      <c r="G406" s="8">
        <v>46057</v>
      </c>
      <c r="H406" t="s">
        <v>570</v>
      </c>
      <c r="I406" t="e">
        <f>VLOOKUP(Tabela2[[#This Row],[Coluna7]],[1]!Tabela1[#All],2,0)</f>
        <v>#REF!</v>
      </c>
      <c r="J406" s="3" t="s">
        <v>744</v>
      </c>
      <c r="L406">
        <v>20.399999999999999</v>
      </c>
      <c r="Q406" s="10" t="str">
        <f>Tabela2[[#This Row],[Coluna5]]</f>
        <v>02/2026</v>
      </c>
      <c r="R406" s="10" t="str">
        <f>IF(Tabela2[[#This Row],[Coluna9]]&gt;0,"Entrada","Saída")</f>
        <v>Saída</v>
      </c>
      <c r="S406" s="10" t="str">
        <f>Tabela2[[#This Row],[Coluna8]]</f>
        <v xml:space="preserve">CARTÃO EFÍ </v>
      </c>
      <c r="T406" s="10" t="e">
        <f>Tabela2[[#This Row],[Coluna72]]</f>
        <v>#REF!</v>
      </c>
      <c r="U406" s="10">
        <f>SUM(Tabela2[[#This Row],[Coluna9]],Tabela2[[#This Row],[Coluna10]])</f>
        <v>20.399999999999999</v>
      </c>
      <c r="V406" s="2">
        <f>Tabela2[[#This Row],[Coluna4]]</f>
        <v>46028</v>
      </c>
      <c r="W406" s="2">
        <f>Tabela2[[#This Row],[Coluna6]]</f>
        <v>46057</v>
      </c>
    </row>
    <row r="407" spans="2:23" x14ac:dyDescent="0.2">
      <c r="B407" s="3" t="s">
        <v>18</v>
      </c>
      <c r="C407" t="s">
        <v>95</v>
      </c>
      <c r="D407" t="s">
        <v>13</v>
      </c>
      <c r="E407" s="8">
        <v>46028</v>
      </c>
      <c r="F407" t="s">
        <v>750</v>
      </c>
      <c r="G407" s="8">
        <v>46057</v>
      </c>
      <c r="H407" t="s">
        <v>570</v>
      </c>
      <c r="I407" t="e">
        <f>VLOOKUP(Tabela2[[#This Row],[Coluna7]],[1]!Tabela1[#All],2,0)</f>
        <v>#REF!</v>
      </c>
      <c r="J407" s="3" t="s">
        <v>744</v>
      </c>
      <c r="L407">
        <v>2.4</v>
      </c>
      <c r="Q407" s="10" t="str">
        <f>Tabela2[[#This Row],[Coluna5]]</f>
        <v>02/2026</v>
      </c>
      <c r="R407" s="10" t="str">
        <f>IF(Tabela2[[#This Row],[Coluna9]]&gt;0,"Entrada","Saída")</f>
        <v>Saída</v>
      </c>
      <c r="S407" s="10" t="str">
        <f>Tabela2[[#This Row],[Coluna8]]</f>
        <v xml:space="preserve">CARTÃO EFÍ </v>
      </c>
      <c r="T407" s="10" t="e">
        <f>Tabela2[[#This Row],[Coluna72]]</f>
        <v>#REF!</v>
      </c>
      <c r="U407" s="10">
        <f>SUM(Tabela2[[#This Row],[Coluna9]],Tabela2[[#This Row],[Coluna10]])</f>
        <v>2.4</v>
      </c>
      <c r="V407" s="2">
        <f>Tabela2[[#This Row],[Coluna4]]</f>
        <v>46028</v>
      </c>
      <c r="W407" s="2">
        <f>Tabela2[[#This Row],[Coluna6]]</f>
        <v>46057</v>
      </c>
    </row>
    <row r="408" spans="2:23" x14ac:dyDescent="0.2">
      <c r="B408" s="3" t="s">
        <v>18</v>
      </c>
      <c r="C408" t="s">
        <v>95</v>
      </c>
      <c r="D408" t="s">
        <v>13</v>
      </c>
      <c r="E408" s="8">
        <v>46029</v>
      </c>
      <c r="F408" t="s">
        <v>750</v>
      </c>
      <c r="G408" s="8">
        <v>46057</v>
      </c>
      <c r="H408" t="s">
        <v>570</v>
      </c>
      <c r="I408" t="e">
        <f>VLOOKUP(Tabela2[[#This Row],[Coluna7]],[1]!Tabela1[#All],2,0)</f>
        <v>#REF!</v>
      </c>
      <c r="J408" s="3" t="s">
        <v>744</v>
      </c>
      <c r="L408">
        <v>77.900000000000006</v>
      </c>
      <c r="Q408" s="10" t="str">
        <f>Tabela2[[#This Row],[Coluna5]]</f>
        <v>02/2026</v>
      </c>
      <c r="R408" s="10" t="str">
        <f>IF(Tabela2[[#This Row],[Coluna9]]&gt;0,"Entrada","Saída")</f>
        <v>Saída</v>
      </c>
      <c r="S408" s="10" t="str">
        <f>Tabela2[[#This Row],[Coluna8]]</f>
        <v xml:space="preserve">CARTÃO EFÍ </v>
      </c>
      <c r="T408" s="10" t="e">
        <f>Tabela2[[#This Row],[Coluna72]]</f>
        <v>#REF!</v>
      </c>
      <c r="U408" s="10">
        <f>SUM(Tabela2[[#This Row],[Coluna9]],Tabela2[[#This Row],[Coluna10]])</f>
        <v>77.900000000000006</v>
      </c>
      <c r="V408" s="2">
        <f>Tabela2[[#This Row],[Coluna4]]</f>
        <v>46029</v>
      </c>
      <c r="W408" s="2">
        <f>Tabela2[[#This Row],[Coluna6]]</f>
        <v>46057</v>
      </c>
    </row>
    <row r="409" spans="2:23" x14ac:dyDescent="0.2">
      <c r="B409" s="3" t="s">
        <v>18</v>
      </c>
      <c r="C409" t="s">
        <v>95</v>
      </c>
      <c r="D409" t="s">
        <v>13</v>
      </c>
      <c r="E409" s="8">
        <v>46029</v>
      </c>
      <c r="F409" t="s">
        <v>750</v>
      </c>
      <c r="G409" s="8">
        <v>46057</v>
      </c>
      <c r="H409" t="s">
        <v>570</v>
      </c>
      <c r="I409" t="e">
        <f>VLOOKUP(Tabela2[[#This Row],[Coluna7]],[1]!Tabela1[#All],2,0)</f>
        <v>#REF!</v>
      </c>
      <c r="J409" s="3" t="s">
        <v>744</v>
      </c>
      <c r="L409">
        <v>25.36</v>
      </c>
      <c r="Q409" s="10" t="str">
        <f>Tabela2[[#This Row],[Coluna5]]</f>
        <v>02/2026</v>
      </c>
      <c r="R409" s="10" t="str">
        <f>IF(Tabela2[[#This Row],[Coluna9]]&gt;0,"Entrada","Saída")</f>
        <v>Saída</v>
      </c>
      <c r="S409" s="10" t="str">
        <f>Tabela2[[#This Row],[Coluna8]]</f>
        <v xml:space="preserve">CARTÃO EFÍ </v>
      </c>
      <c r="T409" s="10" t="e">
        <f>Tabela2[[#This Row],[Coluna72]]</f>
        <v>#REF!</v>
      </c>
      <c r="U409" s="10">
        <f>SUM(Tabela2[[#This Row],[Coluna9]],Tabela2[[#This Row],[Coluna10]])</f>
        <v>25.36</v>
      </c>
      <c r="V409" s="2">
        <f>Tabela2[[#This Row],[Coluna4]]</f>
        <v>46029</v>
      </c>
      <c r="W409" s="2">
        <f>Tabela2[[#This Row],[Coluna6]]</f>
        <v>46057</v>
      </c>
    </row>
    <row r="410" spans="2:23" x14ac:dyDescent="0.2">
      <c r="B410" s="3" t="s">
        <v>18</v>
      </c>
      <c r="C410" t="s">
        <v>95</v>
      </c>
      <c r="D410" t="s">
        <v>13</v>
      </c>
      <c r="E410" s="8">
        <v>46029</v>
      </c>
      <c r="F410" t="s">
        <v>750</v>
      </c>
      <c r="G410" s="8">
        <v>46057</v>
      </c>
      <c r="H410" t="s">
        <v>570</v>
      </c>
      <c r="I410" t="e">
        <f>VLOOKUP(Tabela2[[#This Row],[Coluna7]],[1]!Tabela1[#All],2,0)</f>
        <v>#REF!</v>
      </c>
      <c r="J410" s="3" t="s">
        <v>744</v>
      </c>
      <c r="L410">
        <v>163.69999999999999</v>
      </c>
      <c r="Q410" s="10" t="str">
        <f>Tabela2[[#This Row],[Coluna5]]</f>
        <v>02/2026</v>
      </c>
      <c r="R410" s="10" t="str">
        <f>IF(Tabela2[[#This Row],[Coluna9]]&gt;0,"Entrada","Saída")</f>
        <v>Saída</v>
      </c>
      <c r="S410" s="10" t="str">
        <f>Tabela2[[#This Row],[Coluna8]]</f>
        <v xml:space="preserve">CARTÃO EFÍ </v>
      </c>
      <c r="T410" s="10" t="e">
        <f>Tabela2[[#This Row],[Coluna72]]</f>
        <v>#REF!</v>
      </c>
      <c r="U410" s="10">
        <f>SUM(Tabela2[[#This Row],[Coluna9]],Tabela2[[#This Row],[Coluna10]])</f>
        <v>163.69999999999999</v>
      </c>
      <c r="V410" s="2">
        <f>Tabela2[[#This Row],[Coluna4]]</f>
        <v>46029</v>
      </c>
      <c r="W410" s="2">
        <f>Tabela2[[#This Row],[Coluna6]]</f>
        <v>46057</v>
      </c>
    </row>
    <row r="411" spans="2:23" x14ac:dyDescent="0.2">
      <c r="B411" s="3" t="s">
        <v>18</v>
      </c>
      <c r="C411" t="s">
        <v>95</v>
      </c>
      <c r="D411" t="s">
        <v>13</v>
      </c>
      <c r="E411" s="8">
        <v>46029</v>
      </c>
      <c r="F411" t="s">
        <v>750</v>
      </c>
      <c r="G411" s="8">
        <v>46057</v>
      </c>
      <c r="H411" t="s">
        <v>570</v>
      </c>
      <c r="I411" t="e">
        <f>VLOOKUP(Tabela2[[#This Row],[Coluna7]],[1]!Tabela1[#All],2,0)</f>
        <v>#REF!</v>
      </c>
      <c r="J411" s="3" t="s">
        <v>744</v>
      </c>
      <c r="L411">
        <v>113.61</v>
      </c>
      <c r="Q411" s="10" t="str">
        <f>Tabela2[[#This Row],[Coluna5]]</f>
        <v>02/2026</v>
      </c>
      <c r="R411" s="10" t="str">
        <f>IF(Tabela2[[#This Row],[Coluna9]]&gt;0,"Entrada","Saída")</f>
        <v>Saída</v>
      </c>
      <c r="S411" s="10" t="str">
        <f>Tabela2[[#This Row],[Coluna8]]</f>
        <v xml:space="preserve">CARTÃO EFÍ </v>
      </c>
      <c r="T411" s="10" t="e">
        <f>Tabela2[[#This Row],[Coluna72]]</f>
        <v>#REF!</v>
      </c>
      <c r="U411" s="10">
        <f>SUM(Tabela2[[#This Row],[Coluna9]],Tabela2[[#This Row],[Coluna10]])</f>
        <v>113.61</v>
      </c>
      <c r="V411" s="2">
        <f>Tabela2[[#This Row],[Coluna4]]</f>
        <v>46029</v>
      </c>
      <c r="W411" s="2">
        <f>Tabela2[[#This Row],[Coluna6]]</f>
        <v>46057</v>
      </c>
    </row>
    <row r="412" spans="2:23" x14ac:dyDescent="0.2">
      <c r="B412" s="3" t="s">
        <v>18</v>
      </c>
      <c r="C412" t="s">
        <v>95</v>
      </c>
      <c r="D412" t="s">
        <v>13</v>
      </c>
      <c r="E412" s="8">
        <v>46029</v>
      </c>
      <c r="F412" t="s">
        <v>750</v>
      </c>
      <c r="G412" s="8">
        <v>46057</v>
      </c>
      <c r="H412" t="s">
        <v>570</v>
      </c>
      <c r="I412" t="e">
        <f>VLOOKUP(Tabela2[[#This Row],[Coluna7]],[1]!Tabela1[#All],2,0)</f>
        <v>#REF!</v>
      </c>
      <c r="J412" s="3" t="s">
        <v>744</v>
      </c>
      <c r="L412">
        <v>10</v>
      </c>
      <c r="Q412" s="10" t="str">
        <f>Tabela2[[#This Row],[Coluna5]]</f>
        <v>02/2026</v>
      </c>
      <c r="R412" s="10" t="str">
        <f>IF(Tabela2[[#This Row],[Coluna9]]&gt;0,"Entrada","Saída")</f>
        <v>Saída</v>
      </c>
      <c r="S412" s="10" t="str">
        <f>Tabela2[[#This Row],[Coluna8]]</f>
        <v xml:space="preserve">CARTÃO EFÍ </v>
      </c>
      <c r="T412" s="10" t="e">
        <f>Tabela2[[#This Row],[Coluna72]]</f>
        <v>#REF!</v>
      </c>
      <c r="U412" s="10">
        <f>SUM(Tabela2[[#This Row],[Coluna9]],Tabela2[[#This Row],[Coluna10]])</f>
        <v>10</v>
      </c>
      <c r="V412" s="2">
        <f>Tabela2[[#This Row],[Coluna4]]</f>
        <v>46029</v>
      </c>
      <c r="W412" s="2">
        <f>Tabela2[[#This Row],[Coluna6]]</f>
        <v>46057</v>
      </c>
    </row>
    <row r="413" spans="2:23" x14ac:dyDescent="0.2">
      <c r="B413" s="3" t="s">
        <v>18</v>
      </c>
      <c r="C413" t="s">
        <v>95</v>
      </c>
      <c r="D413" t="s">
        <v>13</v>
      </c>
      <c r="E413" s="8">
        <v>46030</v>
      </c>
      <c r="F413" t="s">
        <v>750</v>
      </c>
      <c r="G413" s="8">
        <v>46057</v>
      </c>
      <c r="H413" t="s">
        <v>570</v>
      </c>
      <c r="I413" t="e">
        <f>VLOOKUP(Tabela2[[#This Row],[Coluna7]],[1]!Tabela1[#All],2,0)</f>
        <v>#REF!</v>
      </c>
      <c r="J413" s="3" t="s">
        <v>744</v>
      </c>
      <c r="L413">
        <v>124.5</v>
      </c>
      <c r="Q413" s="10" t="str">
        <f>Tabela2[[#This Row],[Coluna5]]</f>
        <v>02/2026</v>
      </c>
      <c r="R413" s="10" t="str">
        <f>IF(Tabela2[[#This Row],[Coluna9]]&gt;0,"Entrada","Saída")</f>
        <v>Saída</v>
      </c>
      <c r="S413" s="10" t="str">
        <f>Tabela2[[#This Row],[Coluna8]]</f>
        <v xml:space="preserve">CARTÃO EFÍ </v>
      </c>
      <c r="T413" s="10" t="e">
        <f>Tabela2[[#This Row],[Coluna72]]</f>
        <v>#REF!</v>
      </c>
      <c r="U413" s="10">
        <f>SUM(Tabela2[[#This Row],[Coluna9]],Tabela2[[#This Row],[Coluna10]])</f>
        <v>124.5</v>
      </c>
      <c r="V413" s="2">
        <f>Tabela2[[#This Row],[Coluna4]]</f>
        <v>46030</v>
      </c>
      <c r="W413" s="2">
        <f>Tabela2[[#This Row],[Coluna6]]</f>
        <v>46057</v>
      </c>
    </row>
    <row r="414" spans="2:23" x14ac:dyDescent="0.2">
      <c r="B414" s="3" t="s">
        <v>18</v>
      </c>
      <c r="C414" t="s">
        <v>95</v>
      </c>
      <c r="D414" t="s">
        <v>13</v>
      </c>
      <c r="E414" s="8">
        <v>46030</v>
      </c>
      <c r="F414" t="s">
        <v>750</v>
      </c>
      <c r="G414" s="8">
        <v>46057</v>
      </c>
      <c r="H414" t="s">
        <v>570</v>
      </c>
      <c r="I414" t="e">
        <f>VLOOKUP(Tabela2[[#This Row],[Coluna7]],[1]!Tabela1[#All],2,0)</f>
        <v>#REF!</v>
      </c>
      <c r="J414" s="3" t="s">
        <v>744</v>
      </c>
      <c r="L414">
        <v>126.7</v>
      </c>
      <c r="Q414" s="10" t="str">
        <f>Tabela2[[#This Row],[Coluna5]]</f>
        <v>02/2026</v>
      </c>
      <c r="R414" s="10" t="str">
        <f>IF(Tabela2[[#This Row],[Coluna9]]&gt;0,"Entrada","Saída")</f>
        <v>Saída</v>
      </c>
      <c r="S414" s="10" t="str">
        <f>Tabela2[[#This Row],[Coluna8]]</f>
        <v xml:space="preserve">CARTÃO EFÍ </v>
      </c>
      <c r="T414" s="10" t="e">
        <f>Tabela2[[#This Row],[Coluna72]]</f>
        <v>#REF!</v>
      </c>
      <c r="U414" s="10">
        <f>SUM(Tabela2[[#This Row],[Coluna9]],Tabela2[[#This Row],[Coluna10]])</f>
        <v>126.7</v>
      </c>
      <c r="V414" s="2">
        <f>Tabela2[[#This Row],[Coluna4]]</f>
        <v>46030</v>
      </c>
      <c r="W414" s="2">
        <f>Tabela2[[#This Row],[Coluna6]]</f>
        <v>46057</v>
      </c>
    </row>
    <row r="415" spans="2:23" x14ac:dyDescent="0.2">
      <c r="B415" s="3" t="s">
        <v>18</v>
      </c>
      <c r="C415" t="s">
        <v>95</v>
      </c>
      <c r="D415" t="s">
        <v>13</v>
      </c>
      <c r="E415" s="8">
        <v>46030</v>
      </c>
      <c r="F415" t="s">
        <v>750</v>
      </c>
      <c r="G415" s="8">
        <v>46057</v>
      </c>
      <c r="H415" t="s">
        <v>570</v>
      </c>
      <c r="I415" t="e">
        <f>VLOOKUP(Tabela2[[#This Row],[Coluna7]],[1]!Tabela1[#All],2,0)</f>
        <v>#REF!</v>
      </c>
      <c r="J415" s="3" t="s">
        <v>744</v>
      </c>
      <c r="L415">
        <v>52.16</v>
      </c>
      <c r="Q415" s="10" t="str">
        <f>Tabela2[[#This Row],[Coluna5]]</f>
        <v>02/2026</v>
      </c>
      <c r="R415" s="10" t="str">
        <f>IF(Tabela2[[#This Row],[Coluna9]]&gt;0,"Entrada","Saída")</f>
        <v>Saída</v>
      </c>
      <c r="S415" s="10" t="str">
        <f>Tabela2[[#This Row],[Coluna8]]</f>
        <v xml:space="preserve">CARTÃO EFÍ </v>
      </c>
      <c r="T415" s="10" t="e">
        <f>Tabela2[[#This Row],[Coluna72]]</f>
        <v>#REF!</v>
      </c>
      <c r="U415" s="10">
        <f>SUM(Tabela2[[#This Row],[Coluna9]],Tabela2[[#This Row],[Coluna10]])</f>
        <v>52.16</v>
      </c>
      <c r="V415" s="2">
        <f>Tabela2[[#This Row],[Coluna4]]</f>
        <v>46030</v>
      </c>
      <c r="W415" s="2">
        <f>Tabela2[[#This Row],[Coluna6]]</f>
        <v>46057</v>
      </c>
    </row>
    <row r="416" spans="2:23" x14ac:dyDescent="0.2">
      <c r="B416" s="3" t="s">
        <v>18</v>
      </c>
      <c r="C416" t="s">
        <v>95</v>
      </c>
      <c r="D416" t="s">
        <v>13</v>
      </c>
      <c r="E416" s="8">
        <v>46031</v>
      </c>
      <c r="F416" t="s">
        <v>750</v>
      </c>
      <c r="G416" s="8">
        <v>46057</v>
      </c>
      <c r="H416" t="s">
        <v>469</v>
      </c>
      <c r="I416" t="e">
        <f>VLOOKUP(Tabela2[[#This Row],[Coluna7]],[1]!Tabela1[#All],2,0)</f>
        <v>#REF!</v>
      </c>
      <c r="J416" s="3" t="s">
        <v>744</v>
      </c>
      <c r="L416">
        <v>19.09</v>
      </c>
      <c r="Q416" s="10" t="str">
        <f>Tabela2[[#This Row],[Coluna5]]</f>
        <v>02/2026</v>
      </c>
      <c r="R416" s="10" t="str">
        <f>IF(Tabela2[[#This Row],[Coluna9]]&gt;0,"Entrada","Saída")</f>
        <v>Saída</v>
      </c>
      <c r="S416" s="10" t="str">
        <f>Tabela2[[#This Row],[Coluna8]]</f>
        <v xml:space="preserve">CARTÃO EFÍ </v>
      </c>
      <c r="T416" s="10" t="e">
        <f>Tabela2[[#This Row],[Coluna72]]</f>
        <v>#REF!</v>
      </c>
      <c r="U416" s="10">
        <f>SUM(Tabela2[[#This Row],[Coluna9]],Tabela2[[#This Row],[Coluna10]])</f>
        <v>19.09</v>
      </c>
      <c r="V416" s="2">
        <f>Tabela2[[#This Row],[Coluna4]]</f>
        <v>46031</v>
      </c>
      <c r="W416" s="2">
        <f>Tabela2[[#This Row],[Coluna6]]</f>
        <v>46057</v>
      </c>
    </row>
    <row r="417" spans="2:23" x14ac:dyDescent="0.2">
      <c r="B417" s="3" t="s">
        <v>18</v>
      </c>
      <c r="C417" t="s">
        <v>95</v>
      </c>
      <c r="D417" t="s">
        <v>13</v>
      </c>
      <c r="E417" s="8">
        <v>46031</v>
      </c>
      <c r="F417" t="s">
        <v>750</v>
      </c>
      <c r="G417" s="8">
        <v>46057</v>
      </c>
      <c r="H417" t="s">
        <v>469</v>
      </c>
      <c r="I417" t="e">
        <f>VLOOKUP(Tabela2[[#This Row],[Coluna7]],[1]!Tabela1[#All],2,0)</f>
        <v>#REF!</v>
      </c>
      <c r="J417" s="3" t="s">
        <v>744</v>
      </c>
      <c r="L417">
        <v>150</v>
      </c>
      <c r="Q417" s="10" t="str">
        <f>Tabela2[[#This Row],[Coluna5]]</f>
        <v>02/2026</v>
      </c>
      <c r="R417" s="10" t="str">
        <f>IF(Tabela2[[#This Row],[Coluna9]]&gt;0,"Entrada","Saída")</f>
        <v>Saída</v>
      </c>
      <c r="S417" s="10" t="str">
        <f>Tabela2[[#This Row],[Coluna8]]</f>
        <v xml:space="preserve">CARTÃO EFÍ </v>
      </c>
      <c r="T417" s="10" t="e">
        <f>Tabela2[[#This Row],[Coluna72]]</f>
        <v>#REF!</v>
      </c>
      <c r="U417" s="10">
        <f>SUM(Tabela2[[#This Row],[Coluna9]],Tabela2[[#This Row],[Coluna10]])</f>
        <v>150</v>
      </c>
      <c r="V417" s="2">
        <f>Tabela2[[#This Row],[Coluna4]]</f>
        <v>46031</v>
      </c>
      <c r="W417" s="2">
        <f>Tabela2[[#This Row],[Coluna6]]</f>
        <v>46057</v>
      </c>
    </row>
    <row r="418" spans="2:23" x14ac:dyDescent="0.2">
      <c r="B418" s="3" t="s">
        <v>18</v>
      </c>
      <c r="C418" t="s">
        <v>95</v>
      </c>
      <c r="D418" t="s">
        <v>13</v>
      </c>
      <c r="E418" s="8">
        <v>46032</v>
      </c>
      <c r="F418" t="s">
        <v>750</v>
      </c>
      <c r="G418" s="8">
        <v>46057</v>
      </c>
      <c r="H418" t="s">
        <v>570</v>
      </c>
      <c r="I418" t="e">
        <f>VLOOKUP(Tabela2[[#This Row],[Coluna7]],[1]!Tabela1[#All],2,0)</f>
        <v>#REF!</v>
      </c>
      <c r="J418" s="3" t="s">
        <v>744</v>
      </c>
      <c r="L418">
        <v>9</v>
      </c>
      <c r="Q418" s="10" t="str">
        <f>Tabela2[[#This Row],[Coluna5]]</f>
        <v>02/2026</v>
      </c>
      <c r="R418" s="10" t="str">
        <f>IF(Tabela2[[#This Row],[Coluna9]]&gt;0,"Entrada","Saída")</f>
        <v>Saída</v>
      </c>
      <c r="S418" s="10" t="str">
        <f>Tabela2[[#This Row],[Coluna8]]</f>
        <v xml:space="preserve">CARTÃO EFÍ </v>
      </c>
      <c r="T418" s="10" t="e">
        <f>Tabela2[[#This Row],[Coluna72]]</f>
        <v>#REF!</v>
      </c>
      <c r="U418" s="10">
        <f>SUM(Tabela2[[#This Row],[Coluna9]],Tabela2[[#This Row],[Coluna10]])</f>
        <v>9</v>
      </c>
      <c r="V418" s="2">
        <f>Tabela2[[#This Row],[Coluna4]]</f>
        <v>46032</v>
      </c>
      <c r="W418" s="2">
        <f>Tabela2[[#This Row],[Coluna6]]</f>
        <v>46057</v>
      </c>
    </row>
    <row r="419" spans="2:23" x14ac:dyDescent="0.2">
      <c r="B419" s="3" t="s">
        <v>18</v>
      </c>
      <c r="C419" t="s">
        <v>95</v>
      </c>
      <c r="D419" t="s">
        <v>13</v>
      </c>
      <c r="E419" s="8">
        <v>46034</v>
      </c>
      <c r="F419" t="s">
        <v>750</v>
      </c>
      <c r="G419" s="8">
        <v>46057</v>
      </c>
      <c r="H419" t="s">
        <v>443</v>
      </c>
      <c r="I419" t="e">
        <f>VLOOKUP(Tabela2[[#This Row],[Coluna7]],[1]!Tabela1[#All],2,0)</f>
        <v>#REF!</v>
      </c>
      <c r="J419" s="3" t="s">
        <v>744</v>
      </c>
      <c r="L419">
        <v>41.92</v>
      </c>
      <c r="Q419" s="10" t="str">
        <f>Tabela2[[#This Row],[Coluna5]]</f>
        <v>02/2026</v>
      </c>
      <c r="R419" s="10" t="str">
        <f>IF(Tabela2[[#This Row],[Coluna9]]&gt;0,"Entrada","Saída")</f>
        <v>Saída</v>
      </c>
      <c r="S419" s="10" t="str">
        <f>Tabela2[[#This Row],[Coluna8]]</f>
        <v xml:space="preserve">CARTÃO EFÍ </v>
      </c>
      <c r="T419" s="10" t="e">
        <f>Tabela2[[#This Row],[Coluna72]]</f>
        <v>#REF!</v>
      </c>
      <c r="U419" s="10">
        <f>SUM(Tabela2[[#This Row],[Coluna9]],Tabela2[[#This Row],[Coluna10]])</f>
        <v>41.92</v>
      </c>
      <c r="V419" s="2">
        <f>Tabela2[[#This Row],[Coluna4]]</f>
        <v>46034</v>
      </c>
      <c r="W419" s="2">
        <f>Tabela2[[#This Row],[Coluna6]]</f>
        <v>46057</v>
      </c>
    </row>
    <row r="420" spans="2:23" x14ac:dyDescent="0.2">
      <c r="B420" s="3" t="s">
        <v>18</v>
      </c>
      <c r="C420" t="s">
        <v>95</v>
      </c>
      <c r="D420" t="s">
        <v>13</v>
      </c>
      <c r="E420" s="8">
        <v>46034</v>
      </c>
      <c r="F420" t="s">
        <v>750</v>
      </c>
      <c r="G420" s="8">
        <v>46057</v>
      </c>
      <c r="H420" t="s">
        <v>443</v>
      </c>
      <c r="I420" t="e">
        <f>VLOOKUP(Tabela2[[#This Row],[Coluna7]],[1]!Tabela1[#All],2,0)</f>
        <v>#REF!</v>
      </c>
      <c r="J420" s="3" t="s">
        <v>744</v>
      </c>
      <c r="L420">
        <v>34.42</v>
      </c>
      <c r="Q420" s="10" t="str">
        <f>Tabela2[[#This Row],[Coluna5]]</f>
        <v>02/2026</v>
      </c>
      <c r="R420" s="10" t="str">
        <f>IF(Tabela2[[#This Row],[Coluna9]]&gt;0,"Entrada","Saída")</f>
        <v>Saída</v>
      </c>
      <c r="S420" s="10" t="str">
        <f>Tabela2[[#This Row],[Coluna8]]</f>
        <v xml:space="preserve">CARTÃO EFÍ </v>
      </c>
      <c r="T420" s="10" t="e">
        <f>Tabela2[[#This Row],[Coluna72]]</f>
        <v>#REF!</v>
      </c>
      <c r="U420" s="10">
        <f>SUM(Tabela2[[#This Row],[Coluna9]],Tabela2[[#This Row],[Coluna10]])</f>
        <v>34.42</v>
      </c>
      <c r="V420" s="2">
        <f>Tabela2[[#This Row],[Coluna4]]</f>
        <v>46034</v>
      </c>
      <c r="W420" s="2">
        <f>Tabela2[[#This Row],[Coluna6]]</f>
        <v>46057</v>
      </c>
    </row>
    <row r="421" spans="2:23" x14ac:dyDescent="0.2">
      <c r="B421" s="3" t="s">
        <v>18</v>
      </c>
      <c r="C421" t="s">
        <v>95</v>
      </c>
      <c r="D421" t="s">
        <v>13</v>
      </c>
      <c r="E421" s="8">
        <v>46034</v>
      </c>
      <c r="F421" t="s">
        <v>750</v>
      </c>
      <c r="G421" s="8">
        <v>46057</v>
      </c>
      <c r="H421" t="s">
        <v>443</v>
      </c>
      <c r="I421" t="e">
        <f>VLOOKUP(Tabela2[[#This Row],[Coluna7]],[1]!Tabela1[#All],2,0)</f>
        <v>#REF!</v>
      </c>
      <c r="J421" s="3" t="s">
        <v>744</v>
      </c>
      <c r="L421">
        <v>42.29</v>
      </c>
      <c r="Q421" s="10" t="str">
        <f>Tabela2[[#This Row],[Coluna5]]</f>
        <v>02/2026</v>
      </c>
      <c r="R421" s="10" t="str">
        <f>IF(Tabela2[[#This Row],[Coluna9]]&gt;0,"Entrada","Saída")</f>
        <v>Saída</v>
      </c>
      <c r="S421" s="10" t="str">
        <f>Tabela2[[#This Row],[Coluna8]]</f>
        <v xml:space="preserve">CARTÃO EFÍ </v>
      </c>
      <c r="T421" s="10" t="e">
        <f>Tabela2[[#This Row],[Coluna72]]</f>
        <v>#REF!</v>
      </c>
      <c r="U421" s="10">
        <f>SUM(Tabela2[[#This Row],[Coluna9]],Tabela2[[#This Row],[Coluna10]])</f>
        <v>42.29</v>
      </c>
      <c r="V421" s="2">
        <f>Tabela2[[#This Row],[Coluna4]]</f>
        <v>46034</v>
      </c>
      <c r="W421" s="2">
        <f>Tabela2[[#This Row],[Coluna6]]</f>
        <v>46057</v>
      </c>
    </row>
    <row r="422" spans="2:23" x14ac:dyDescent="0.2">
      <c r="B422" s="3" t="s">
        <v>18</v>
      </c>
      <c r="C422" t="s">
        <v>95</v>
      </c>
      <c r="D422" t="s">
        <v>13</v>
      </c>
      <c r="E422" s="8">
        <v>46035</v>
      </c>
      <c r="F422" t="s">
        <v>750</v>
      </c>
      <c r="G422" s="8">
        <v>46057</v>
      </c>
      <c r="H422" t="s">
        <v>570</v>
      </c>
      <c r="I422" t="e">
        <f>VLOOKUP(Tabela2[[#This Row],[Coluna7]],[1]!Tabela1[#All],2,0)</f>
        <v>#REF!</v>
      </c>
      <c r="J422" s="3" t="s">
        <v>744</v>
      </c>
      <c r="L422">
        <v>116.5</v>
      </c>
      <c r="Q422" s="10" t="str">
        <f>Tabela2[[#This Row],[Coluna5]]</f>
        <v>02/2026</v>
      </c>
      <c r="R422" s="10" t="str">
        <f>IF(Tabela2[[#This Row],[Coluna9]]&gt;0,"Entrada","Saída")</f>
        <v>Saída</v>
      </c>
      <c r="S422" s="10" t="str">
        <f>Tabela2[[#This Row],[Coluna8]]</f>
        <v xml:space="preserve">CARTÃO EFÍ </v>
      </c>
      <c r="T422" s="10" t="e">
        <f>Tabela2[[#This Row],[Coluna72]]</f>
        <v>#REF!</v>
      </c>
      <c r="U422" s="10">
        <f>SUM(Tabela2[[#This Row],[Coluna9]],Tabela2[[#This Row],[Coluna10]])</f>
        <v>116.5</v>
      </c>
      <c r="V422" s="2">
        <f>Tabela2[[#This Row],[Coluna4]]</f>
        <v>46035</v>
      </c>
      <c r="W422" s="2">
        <f>Tabela2[[#This Row],[Coluna6]]</f>
        <v>46057</v>
      </c>
    </row>
    <row r="423" spans="2:23" x14ac:dyDescent="0.2">
      <c r="B423" s="3" t="s">
        <v>18</v>
      </c>
      <c r="C423" t="s">
        <v>95</v>
      </c>
      <c r="D423" t="s">
        <v>13</v>
      </c>
      <c r="E423" s="8">
        <v>46036</v>
      </c>
      <c r="F423" t="s">
        <v>750</v>
      </c>
      <c r="G423" s="8">
        <v>46057</v>
      </c>
      <c r="H423" t="s">
        <v>570</v>
      </c>
      <c r="I423" t="e">
        <f>VLOOKUP(Tabela2[[#This Row],[Coluna7]],[1]!Tabela1[#All],2,0)</f>
        <v>#REF!</v>
      </c>
      <c r="J423" s="3" t="s">
        <v>744</v>
      </c>
      <c r="L423">
        <v>83</v>
      </c>
      <c r="Q423" s="10" t="str">
        <f>Tabela2[[#This Row],[Coluna5]]</f>
        <v>02/2026</v>
      </c>
      <c r="R423" s="10" t="str">
        <f>IF(Tabela2[[#This Row],[Coluna9]]&gt;0,"Entrada","Saída")</f>
        <v>Saída</v>
      </c>
      <c r="S423" s="10" t="str">
        <f>Tabela2[[#This Row],[Coluna8]]</f>
        <v xml:space="preserve">CARTÃO EFÍ </v>
      </c>
      <c r="T423" s="10" t="e">
        <f>Tabela2[[#This Row],[Coluna72]]</f>
        <v>#REF!</v>
      </c>
      <c r="U423" s="10">
        <f>SUM(Tabela2[[#This Row],[Coluna9]],Tabela2[[#This Row],[Coluna10]])</f>
        <v>83</v>
      </c>
      <c r="V423" s="2">
        <f>Tabela2[[#This Row],[Coluna4]]</f>
        <v>46036</v>
      </c>
      <c r="W423" s="2">
        <f>Tabela2[[#This Row],[Coluna6]]</f>
        <v>46057</v>
      </c>
    </row>
    <row r="424" spans="2:23" x14ac:dyDescent="0.2">
      <c r="B424" s="3" t="s">
        <v>18</v>
      </c>
      <c r="C424" t="s">
        <v>95</v>
      </c>
      <c r="D424" t="s">
        <v>13</v>
      </c>
      <c r="E424" s="8">
        <v>46036</v>
      </c>
      <c r="F424" t="s">
        <v>750</v>
      </c>
      <c r="G424" s="8">
        <v>46057</v>
      </c>
      <c r="H424" t="s">
        <v>443</v>
      </c>
      <c r="I424" t="e">
        <f>VLOOKUP(Tabela2[[#This Row],[Coluna7]],[1]!Tabela1[#All],2,0)</f>
        <v>#REF!</v>
      </c>
      <c r="J424" s="3" t="s">
        <v>744</v>
      </c>
      <c r="L424">
        <v>55.26</v>
      </c>
      <c r="Q424" s="10" t="str">
        <f>Tabela2[[#This Row],[Coluna5]]</f>
        <v>02/2026</v>
      </c>
      <c r="R424" s="10" t="str">
        <f>IF(Tabela2[[#This Row],[Coluna9]]&gt;0,"Entrada","Saída")</f>
        <v>Saída</v>
      </c>
      <c r="S424" s="10" t="str">
        <f>Tabela2[[#This Row],[Coluna8]]</f>
        <v xml:space="preserve">CARTÃO EFÍ </v>
      </c>
      <c r="T424" s="10" t="e">
        <f>Tabela2[[#This Row],[Coluna72]]</f>
        <v>#REF!</v>
      </c>
      <c r="U424" s="10">
        <f>SUM(Tabela2[[#This Row],[Coluna9]],Tabela2[[#This Row],[Coluna10]])</f>
        <v>55.26</v>
      </c>
      <c r="V424" s="2">
        <f>Tabela2[[#This Row],[Coluna4]]</f>
        <v>46036</v>
      </c>
      <c r="W424" s="2">
        <f>Tabela2[[#This Row],[Coluna6]]</f>
        <v>46057</v>
      </c>
    </row>
    <row r="425" spans="2:23" x14ac:dyDescent="0.2">
      <c r="B425" s="3" t="s">
        <v>18</v>
      </c>
      <c r="C425" t="s">
        <v>95</v>
      </c>
      <c r="D425" t="s">
        <v>13</v>
      </c>
      <c r="E425" s="8">
        <v>46036</v>
      </c>
      <c r="F425" t="s">
        <v>750</v>
      </c>
      <c r="G425" s="8">
        <v>46057</v>
      </c>
      <c r="H425" t="s">
        <v>443</v>
      </c>
      <c r="I425" t="e">
        <f>VLOOKUP(Tabela2[[#This Row],[Coluna7]],[1]!Tabela1[#All],2,0)</f>
        <v>#REF!</v>
      </c>
      <c r="J425" s="3" t="s">
        <v>744</v>
      </c>
      <c r="L425">
        <v>9.5</v>
      </c>
      <c r="Q425" s="10" t="str">
        <f>Tabela2[[#This Row],[Coluna5]]</f>
        <v>02/2026</v>
      </c>
      <c r="R425" s="10" t="str">
        <f>IF(Tabela2[[#This Row],[Coluna9]]&gt;0,"Entrada","Saída")</f>
        <v>Saída</v>
      </c>
      <c r="S425" s="10" t="str">
        <f>Tabela2[[#This Row],[Coluna8]]</f>
        <v xml:space="preserve">CARTÃO EFÍ </v>
      </c>
      <c r="T425" s="10" t="e">
        <f>Tabela2[[#This Row],[Coluna72]]</f>
        <v>#REF!</v>
      </c>
      <c r="U425" s="10">
        <f>SUM(Tabela2[[#This Row],[Coluna9]],Tabela2[[#This Row],[Coluna10]])</f>
        <v>9.5</v>
      </c>
      <c r="V425" s="2">
        <f>Tabela2[[#This Row],[Coluna4]]</f>
        <v>46036</v>
      </c>
      <c r="W425" s="2">
        <f>Tabela2[[#This Row],[Coluna6]]</f>
        <v>46057</v>
      </c>
    </row>
    <row r="426" spans="2:23" x14ac:dyDescent="0.2">
      <c r="B426" s="3" t="s">
        <v>18</v>
      </c>
      <c r="C426" t="s">
        <v>95</v>
      </c>
      <c r="D426" t="s">
        <v>13</v>
      </c>
      <c r="E426" s="8">
        <v>46037</v>
      </c>
      <c r="F426" t="s">
        <v>750</v>
      </c>
      <c r="G426" s="8">
        <v>46057</v>
      </c>
      <c r="H426" t="s">
        <v>570</v>
      </c>
      <c r="I426" t="e">
        <f>VLOOKUP(Tabela2[[#This Row],[Coluna7]],[1]!Tabela1[#All],2,0)</f>
        <v>#REF!</v>
      </c>
      <c r="J426" s="3" t="s">
        <v>744</v>
      </c>
      <c r="L426">
        <v>136</v>
      </c>
      <c r="Q426" s="10" t="str">
        <f>Tabela2[[#This Row],[Coluna5]]</f>
        <v>02/2026</v>
      </c>
      <c r="R426" s="10" t="str">
        <f>IF(Tabela2[[#This Row],[Coluna9]]&gt;0,"Entrada","Saída")</f>
        <v>Saída</v>
      </c>
      <c r="S426" s="10" t="str">
        <f>Tabela2[[#This Row],[Coluna8]]</f>
        <v xml:space="preserve">CARTÃO EFÍ </v>
      </c>
      <c r="T426" s="10" t="e">
        <f>Tabela2[[#This Row],[Coluna72]]</f>
        <v>#REF!</v>
      </c>
      <c r="U426" s="10">
        <f>SUM(Tabela2[[#This Row],[Coluna9]],Tabela2[[#This Row],[Coluna10]])</f>
        <v>136</v>
      </c>
      <c r="V426" s="2">
        <f>Tabela2[[#This Row],[Coluna4]]</f>
        <v>46037</v>
      </c>
      <c r="W426" s="2">
        <f>Tabela2[[#This Row],[Coluna6]]</f>
        <v>46057</v>
      </c>
    </row>
    <row r="427" spans="2:23" x14ac:dyDescent="0.2">
      <c r="B427" s="3" t="s">
        <v>18</v>
      </c>
      <c r="C427" t="s">
        <v>95</v>
      </c>
      <c r="D427" t="s">
        <v>13</v>
      </c>
      <c r="E427" s="8">
        <v>46037</v>
      </c>
      <c r="F427" t="s">
        <v>750</v>
      </c>
      <c r="G427" s="8">
        <v>46057</v>
      </c>
      <c r="H427" t="s">
        <v>570</v>
      </c>
      <c r="I427" t="e">
        <f>VLOOKUP(Tabela2[[#This Row],[Coluna7]],[1]!Tabela1[#All],2,0)</f>
        <v>#REF!</v>
      </c>
      <c r="J427" s="3" t="s">
        <v>744</v>
      </c>
      <c r="L427">
        <v>136</v>
      </c>
      <c r="Q427" s="10" t="str">
        <f>Tabela2[[#This Row],[Coluna5]]</f>
        <v>02/2026</v>
      </c>
      <c r="R427" s="10" t="str">
        <f>IF(Tabela2[[#This Row],[Coluna9]]&gt;0,"Entrada","Saída")</f>
        <v>Saída</v>
      </c>
      <c r="S427" s="10" t="str">
        <f>Tabela2[[#This Row],[Coluna8]]</f>
        <v xml:space="preserve">CARTÃO EFÍ </v>
      </c>
      <c r="T427" s="10" t="e">
        <f>Tabela2[[#This Row],[Coluna72]]</f>
        <v>#REF!</v>
      </c>
      <c r="U427" s="10">
        <f>SUM(Tabela2[[#This Row],[Coluna9]],Tabela2[[#This Row],[Coluna10]])</f>
        <v>136</v>
      </c>
      <c r="V427" s="2">
        <f>Tabela2[[#This Row],[Coluna4]]</f>
        <v>46037</v>
      </c>
      <c r="W427" s="2">
        <f>Tabela2[[#This Row],[Coluna6]]</f>
        <v>46057</v>
      </c>
    </row>
    <row r="428" spans="2:23" x14ac:dyDescent="0.2">
      <c r="B428" s="3" t="s">
        <v>18</v>
      </c>
      <c r="C428" t="s">
        <v>95</v>
      </c>
      <c r="D428" t="s">
        <v>13</v>
      </c>
      <c r="E428" s="8">
        <v>46037</v>
      </c>
      <c r="F428" t="s">
        <v>750</v>
      </c>
      <c r="G428" s="8">
        <v>46057</v>
      </c>
      <c r="H428" t="s">
        <v>570</v>
      </c>
      <c r="I428" t="e">
        <f>VLOOKUP(Tabela2[[#This Row],[Coluna7]],[1]!Tabela1[#All],2,0)</f>
        <v>#REF!</v>
      </c>
      <c r="J428" s="3" t="s">
        <v>744</v>
      </c>
      <c r="L428">
        <v>47.83</v>
      </c>
      <c r="Q428" s="10" t="str">
        <f>Tabela2[[#This Row],[Coluna5]]</f>
        <v>02/2026</v>
      </c>
      <c r="R428" s="10" t="str">
        <f>IF(Tabela2[[#This Row],[Coluna9]]&gt;0,"Entrada","Saída")</f>
        <v>Saída</v>
      </c>
      <c r="S428" s="10" t="str">
        <f>Tabela2[[#This Row],[Coluna8]]</f>
        <v xml:space="preserve">CARTÃO EFÍ </v>
      </c>
      <c r="T428" s="10" t="e">
        <f>Tabela2[[#This Row],[Coluna72]]</f>
        <v>#REF!</v>
      </c>
      <c r="U428" s="10">
        <f>SUM(Tabela2[[#This Row],[Coluna9]],Tabela2[[#This Row],[Coluna10]])</f>
        <v>47.83</v>
      </c>
      <c r="V428" s="2">
        <f>Tabela2[[#This Row],[Coluna4]]</f>
        <v>46037</v>
      </c>
      <c r="W428" s="2">
        <f>Tabela2[[#This Row],[Coluna6]]</f>
        <v>46057</v>
      </c>
    </row>
    <row r="429" spans="2:23" x14ac:dyDescent="0.2">
      <c r="B429" s="3" t="s">
        <v>18</v>
      </c>
      <c r="C429" t="s">
        <v>95</v>
      </c>
      <c r="D429" t="s">
        <v>13</v>
      </c>
      <c r="E429" s="8">
        <v>46037</v>
      </c>
      <c r="F429" t="s">
        <v>750</v>
      </c>
      <c r="G429" s="8">
        <v>46057</v>
      </c>
      <c r="H429" t="s">
        <v>570</v>
      </c>
      <c r="I429" t="e">
        <f>VLOOKUP(Tabela2[[#This Row],[Coluna7]],[1]!Tabela1[#All],2,0)</f>
        <v>#REF!</v>
      </c>
      <c r="J429" s="3" t="s">
        <v>744</v>
      </c>
      <c r="L429">
        <v>6.2</v>
      </c>
      <c r="Q429" s="10" t="str">
        <f>Tabela2[[#This Row],[Coluna5]]</f>
        <v>02/2026</v>
      </c>
      <c r="R429" s="10" t="str">
        <f>IF(Tabela2[[#This Row],[Coluna9]]&gt;0,"Entrada","Saída")</f>
        <v>Saída</v>
      </c>
      <c r="S429" s="10" t="str">
        <f>Tabela2[[#This Row],[Coluna8]]</f>
        <v xml:space="preserve">CARTÃO EFÍ </v>
      </c>
      <c r="T429" s="10" t="e">
        <f>Tabela2[[#This Row],[Coluna72]]</f>
        <v>#REF!</v>
      </c>
      <c r="U429" s="10">
        <f>SUM(Tabela2[[#This Row],[Coluna9]],Tabela2[[#This Row],[Coluna10]])</f>
        <v>6.2</v>
      </c>
      <c r="V429" s="2">
        <f>Tabela2[[#This Row],[Coluna4]]</f>
        <v>46037</v>
      </c>
      <c r="W429" s="2">
        <f>Tabela2[[#This Row],[Coluna6]]</f>
        <v>46057</v>
      </c>
    </row>
    <row r="430" spans="2:23" x14ac:dyDescent="0.2">
      <c r="B430" s="3" t="s">
        <v>18</v>
      </c>
      <c r="C430" t="s">
        <v>95</v>
      </c>
      <c r="D430" t="s">
        <v>13</v>
      </c>
      <c r="E430" s="8">
        <v>46037</v>
      </c>
      <c r="F430" t="s">
        <v>750</v>
      </c>
      <c r="G430" s="8">
        <v>46057</v>
      </c>
      <c r="H430" t="s">
        <v>570</v>
      </c>
      <c r="I430" t="e">
        <f>VLOOKUP(Tabela2[[#This Row],[Coluna7]],[1]!Tabela1[#All],2,0)</f>
        <v>#REF!</v>
      </c>
      <c r="J430" s="3" t="s">
        <v>744</v>
      </c>
      <c r="L430">
        <v>65</v>
      </c>
      <c r="Q430" s="10" t="str">
        <f>Tabela2[[#This Row],[Coluna5]]</f>
        <v>02/2026</v>
      </c>
      <c r="R430" s="10" t="str">
        <f>IF(Tabela2[[#This Row],[Coluna9]]&gt;0,"Entrada","Saída")</f>
        <v>Saída</v>
      </c>
      <c r="S430" s="10" t="str">
        <f>Tabela2[[#This Row],[Coluna8]]</f>
        <v xml:space="preserve">CARTÃO EFÍ </v>
      </c>
      <c r="T430" s="10" t="e">
        <f>Tabela2[[#This Row],[Coluna72]]</f>
        <v>#REF!</v>
      </c>
      <c r="U430" s="10">
        <f>SUM(Tabela2[[#This Row],[Coluna9]],Tabela2[[#This Row],[Coluna10]])</f>
        <v>65</v>
      </c>
      <c r="V430" s="2">
        <f>Tabela2[[#This Row],[Coluna4]]</f>
        <v>46037</v>
      </c>
      <c r="W430" s="2">
        <f>Tabela2[[#This Row],[Coluna6]]</f>
        <v>46057</v>
      </c>
    </row>
    <row r="431" spans="2:23" x14ac:dyDescent="0.2">
      <c r="B431" s="3" t="s">
        <v>18</v>
      </c>
      <c r="C431" t="s">
        <v>95</v>
      </c>
      <c r="D431" t="s">
        <v>13</v>
      </c>
      <c r="E431" s="8">
        <v>46038</v>
      </c>
      <c r="F431" t="s">
        <v>750</v>
      </c>
      <c r="G431" s="8">
        <v>46057</v>
      </c>
      <c r="H431" t="s">
        <v>458</v>
      </c>
      <c r="I431" t="e">
        <f>VLOOKUP(Tabela2[[#This Row],[Coluna7]],[1]!Tabela1[#All],2,0)</f>
        <v>#REF!</v>
      </c>
      <c r="J431" s="3" t="s">
        <v>744</v>
      </c>
      <c r="L431">
        <v>18.52</v>
      </c>
      <c r="Q431" s="10" t="str">
        <f>Tabela2[[#This Row],[Coluna5]]</f>
        <v>02/2026</v>
      </c>
      <c r="R431" s="10" t="str">
        <f>IF(Tabela2[[#This Row],[Coluna9]]&gt;0,"Entrada","Saída")</f>
        <v>Saída</v>
      </c>
      <c r="S431" s="10" t="str">
        <f>Tabela2[[#This Row],[Coluna8]]</f>
        <v xml:space="preserve">CARTÃO EFÍ </v>
      </c>
      <c r="T431" s="10" t="e">
        <f>Tabela2[[#This Row],[Coluna72]]</f>
        <v>#REF!</v>
      </c>
      <c r="U431" s="10">
        <f>SUM(Tabela2[[#This Row],[Coluna9]],Tabela2[[#This Row],[Coluna10]])</f>
        <v>18.52</v>
      </c>
      <c r="V431" s="2">
        <f>Tabela2[[#This Row],[Coluna4]]</f>
        <v>46038</v>
      </c>
      <c r="W431" s="2">
        <f>Tabela2[[#This Row],[Coluna6]]</f>
        <v>46057</v>
      </c>
    </row>
    <row r="432" spans="2:23" x14ac:dyDescent="0.2">
      <c r="B432" s="3" t="s">
        <v>18</v>
      </c>
      <c r="C432" t="s">
        <v>95</v>
      </c>
      <c r="D432" t="s">
        <v>13</v>
      </c>
      <c r="E432" s="8">
        <v>46038</v>
      </c>
      <c r="F432" t="s">
        <v>750</v>
      </c>
      <c r="G432" s="8">
        <v>46057</v>
      </c>
      <c r="H432" t="s">
        <v>458</v>
      </c>
      <c r="I432" t="e">
        <f>VLOOKUP(Tabela2[[#This Row],[Coluna7]],[1]!Tabela1[#All],2,0)</f>
        <v>#REF!</v>
      </c>
      <c r="J432" s="3" t="s">
        <v>744</v>
      </c>
      <c r="L432">
        <v>35</v>
      </c>
      <c r="Q432" s="10" t="str">
        <f>Tabela2[[#This Row],[Coluna5]]</f>
        <v>02/2026</v>
      </c>
      <c r="R432" s="10" t="str">
        <f>IF(Tabela2[[#This Row],[Coluna9]]&gt;0,"Entrada","Saída")</f>
        <v>Saída</v>
      </c>
      <c r="S432" s="10" t="str">
        <f>Tabela2[[#This Row],[Coluna8]]</f>
        <v xml:space="preserve">CARTÃO EFÍ </v>
      </c>
      <c r="T432" s="10" t="e">
        <f>Tabela2[[#This Row],[Coluna72]]</f>
        <v>#REF!</v>
      </c>
      <c r="U432" s="10">
        <f>SUM(Tabela2[[#This Row],[Coluna9]],Tabela2[[#This Row],[Coluna10]])</f>
        <v>35</v>
      </c>
      <c r="V432" s="2">
        <f>Tabela2[[#This Row],[Coluna4]]</f>
        <v>46038</v>
      </c>
      <c r="W432" s="2">
        <f>Tabela2[[#This Row],[Coluna6]]</f>
        <v>46057</v>
      </c>
    </row>
    <row r="433" spans="2:23" x14ac:dyDescent="0.2">
      <c r="B433" s="3" t="s">
        <v>18</v>
      </c>
      <c r="C433" t="s">
        <v>95</v>
      </c>
      <c r="D433" t="s">
        <v>13</v>
      </c>
      <c r="E433" s="8">
        <v>46038</v>
      </c>
      <c r="F433" t="s">
        <v>750</v>
      </c>
      <c r="G433" s="8">
        <v>46057</v>
      </c>
      <c r="H433" t="s">
        <v>570</v>
      </c>
      <c r="I433" t="e">
        <f>VLOOKUP(Tabela2[[#This Row],[Coluna7]],[1]!Tabela1[#All],2,0)</f>
        <v>#REF!</v>
      </c>
      <c r="J433" s="3" t="s">
        <v>744</v>
      </c>
      <c r="L433">
        <v>100.41</v>
      </c>
      <c r="Q433" s="10" t="str">
        <f>Tabela2[[#This Row],[Coluna5]]</f>
        <v>02/2026</v>
      </c>
      <c r="R433" s="10" t="str">
        <f>IF(Tabela2[[#This Row],[Coluna9]]&gt;0,"Entrada","Saída")</f>
        <v>Saída</v>
      </c>
      <c r="S433" s="10" t="str">
        <f>Tabela2[[#This Row],[Coluna8]]</f>
        <v xml:space="preserve">CARTÃO EFÍ </v>
      </c>
      <c r="T433" s="10" t="e">
        <f>Tabela2[[#This Row],[Coluna72]]</f>
        <v>#REF!</v>
      </c>
      <c r="U433" s="10">
        <f>SUM(Tabela2[[#This Row],[Coluna9]],Tabela2[[#This Row],[Coluna10]])</f>
        <v>100.41</v>
      </c>
      <c r="V433" s="2">
        <f>Tabela2[[#This Row],[Coluna4]]</f>
        <v>46038</v>
      </c>
      <c r="W433" s="2">
        <f>Tabela2[[#This Row],[Coluna6]]</f>
        <v>46057</v>
      </c>
    </row>
    <row r="434" spans="2:23" x14ac:dyDescent="0.2">
      <c r="B434" s="3" t="s">
        <v>18</v>
      </c>
      <c r="C434" t="s">
        <v>95</v>
      </c>
      <c r="D434" t="s">
        <v>13</v>
      </c>
      <c r="E434" s="8">
        <v>46038</v>
      </c>
      <c r="F434" t="s">
        <v>750</v>
      </c>
      <c r="G434" s="8">
        <v>46057</v>
      </c>
      <c r="H434" t="s">
        <v>570</v>
      </c>
      <c r="I434" t="e">
        <f>VLOOKUP(Tabela2[[#This Row],[Coluna7]],[1]!Tabela1[#All],2,0)</f>
        <v>#REF!</v>
      </c>
      <c r="J434" s="3" t="s">
        <v>744</v>
      </c>
      <c r="L434">
        <v>1.6</v>
      </c>
      <c r="Q434" s="10" t="str">
        <f>Tabela2[[#This Row],[Coluna5]]</f>
        <v>02/2026</v>
      </c>
      <c r="R434" s="10" t="str">
        <f>IF(Tabela2[[#This Row],[Coluna9]]&gt;0,"Entrada","Saída")</f>
        <v>Saída</v>
      </c>
      <c r="S434" s="10" t="str">
        <f>Tabela2[[#This Row],[Coluna8]]</f>
        <v xml:space="preserve">CARTÃO EFÍ </v>
      </c>
      <c r="T434" s="10" t="e">
        <f>Tabela2[[#This Row],[Coluna72]]</f>
        <v>#REF!</v>
      </c>
      <c r="U434" s="10">
        <f>SUM(Tabela2[[#This Row],[Coluna9]],Tabela2[[#This Row],[Coluna10]])</f>
        <v>1.6</v>
      </c>
      <c r="V434" s="2">
        <f>Tabela2[[#This Row],[Coluna4]]</f>
        <v>46038</v>
      </c>
      <c r="W434" s="2">
        <f>Tabela2[[#This Row],[Coluna6]]</f>
        <v>46057</v>
      </c>
    </row>
    <row r="435" spans="2:23" x14ac:dyDescent="0.2">
      <c r="B435" s="3" t="s">
        <v>18</v>
      </c>
      <c r="C435" t="s">
        <v>95</v>
      </c>
      <c r="D435" t="s">
        <v>13</v>
      </c>
      <c r="E435" s="8">
        <v>46041</v>
      </c>
      <c r="F435" t="s">
        <v>750</v>
      </c>
      <c r="G435" s="8">
        <v>46057</v>
      </c>
      <c r="H435" t="s">
        <v>570</v>
      </c>
      <c r="I435" t="e">
        <f>VLOOKUP(Tabela2[[#This Row],[Coluna7]],[1]!Tabela1[#All],2,0)</f>
        <v>#REF!</v>
      </c>
      <c r="J435" s="3" t="s">
        <v>744</v>
      </c>
      <c r="L435">
        <v>0.5</v>
      </c>
      <c r="Q435" s="10" t="str">
        <f>Tabela2[[#This Row],[Coluna5]]</f>
        <v>02/2026</v>
      </c>
      <c r="R435" s="10" t="str">
        <f>IF(Tabela2[[#This Row],[Coluna9]]&gt;0,"Entrada","Saída")</f>
        <v>Saída</v>
      </c>
      <c r="S435" s="10" t="str">
        <f>Tabela2[[#This Row],[Coluna8]]</f>
        <v xml:space="preserve">CARTÃO EFÍ </v>
      </c>
      <c r="T435" s="10" t="e">
        <f>Tabela2[[#This Row],[Coluna72]]</f>
        <v>#REF!</v>
      </c>
      <c r="U435" s="10">
        <f>SUM(Tabela2[[#This Row],[Coluna9]],Tabela2[[#This Row],[Coluna10]])</f>
        <v>0.5</v>
      </c>
      <c r="V435" s="2">
        <f>Tabela2[[#This Row],[Coluna4]]</f>
        <v>46041</v>
      </c>
      <c r="W435" s="2">
        <f>Tabela2[[#This Row],[Coluna6]]</f>
        <v>46057</v>
      </c>
    </row>
    <row r="436" spans="2:23" x14ac:dyDescent="0.2">
      <c r="B436" s="3" t="s">
        <v>18</v>
      </c>
      <c r="C436" t="s">
        <v>95</v>
      </c>
      <c r="D436" t="s">
        <v>13</v>
      </c>
      <c r="E436" s="8">
        <v>46041</v>
      </c>
      <c r="F436" t="s">
        <v>750</v>
      </c>
      <c r="G436" s="8">
        <v>46057</v>
      </c>
      <c r="H436" t="s">
        <v>443</v>
      </c>
      <c r="I436" t="e">
        <f>VLOOKUP(Tabela2[[#This Row],[Coluna7]],[1]!Tabela1[#All],2,0)</f>
        <v>#REF!</v>
      </c>
      <c r="J436" s="3" t="s">
        <v>744</v>
      </c>
      <c r="L436">
        <v>10</v>
      </c>
      <c r="Q436" s="10" t="str">
        <f>Tabela2[[#This Row],[Coluna5]]</f>
        <v>02/2026</v>
      </c>
      <c r="R436" s="10" t="str">
        <f>IF(Tabela2[[#This Row],[Coluna9]]&gt;0,"Entrada","Saída")</f>
        <v>Saída</v>
      </c>
      <c r="S436" s="10" t="str">
        <f>Tabela2[[#This Row],[Coluna8]]</f>
        <v xml:space="preserve">CARTÃO EFÍ </v>
      </c>
      <c r="T436" s="10" t="e">
        <f>Tabela2[[#This Row],[Coluna72]]</f>
        <v>#REF!</v>
      </c>
      <c r="U436" s="10">
        <f>SUM(Tabela2[[#This Row],[Coluna9]],Tabela2[[#This Row],[Coluna10]])</f>
        <v>10</v>
      </c>
      <c r="V436" s="2">
        <f>Tabela2[[#This Row],[Coluna4]]</f>
        <v>46041</v>
      </c>
      <c r="W436" s="2">
        <f>Tabela2[[#This Row],[Coluna6]]</f>
        <v>46057</v>
      </c>
    </row>
    <row r="437" spans="2:23" x14ac:dyDescent="0.2">
      <c r="B437" s="3" t="s">
        <v>18</v>
      </c>
      <c r="C437" t="s">
        <v>95</v>
      </c>
      <c r="D437" t="s">
        <v>13</v>
      </c>
      <c r="E437" s="8">
        <v>46041</v>
      </c>
      <c r="F437" t="s">
        <v>750</v>
      </c>
      <c r="G437" s="8">
        <v>46057</v>
      </c>
      <c r="H437" t="s">
        <v>443</v>
      </c>
      <c r="I437" t="e">
        <f>VLOOKUP(Tabela2[[#This Row],[Coluna7]],[1]!Tabela1[#All],2,0)</f>
        <v>#REF!</v>
      </c>
      <c r="J437" s="3" t="s">
        <v>744</v>
      </c>
      <c r="L437">
        <v>78.5</v>
      </c>
      <c r="Q437" s="10" t="str">
        <f>Tabela2[[#This Row],[Coluna5]]</f>
        <v>02/2026</v>
      </c>
      <c r="R437" s="10" t="str">
        <f>IF(Tabela2[[#This Row],[Coluna9]]&gt;0,"Entrada","Saída")</f>
        <v>Saída</v>
      </c>
      <c r="S437" s="10" t="str">
        <f>Tabela2[[#This Row],[Coluna8]]</f>
        <v xml:space="preserve">CARTÃO EFÍ </v>
      </c>
      <c r="T437" s="10" t="e">
        <f>Tabela2[[#This Row],[Coluna72]]</f>
        <v>#REF!</v>
      </c>
      <c r="U437" s="10">
        <f>SUM(Tabela2[[#This Row],[Coluna9]],Tabela2[[#This Row],[Coluna10]])</f>
        <v>78.5</v>
      </c>
      <c r="V437" s="2">
        <f>Tabela2[[#This Row],[Coluna4]]</f>
        <v>46041</v>
      </c>
      <c r="W437" s="2">
        <f>Tabela2[[#This Row],[Coluna6]]</f>
        <v>46057</v>
      </c>
    </row>
    <row r="438" spans="2:23" x14ac:dyDescent="0.2">
      <c r="B438" s="3" t="s">
        <v>18</v>
      </c>
      <c r="C438" t="s">
        <v>95</v>
      </c>
      <c r="D438" t="s">
        <v>13</v>
      </c>
      <c r="E438" s="8">
        <v>46041</v>
      </c>
      <c r="F438" t="s">
        <v>750</v>
      </c>
      <c r="G438" s="8">
        <v>46057</v>
      </c>
      <c r="H438" t="s">
        <v>443</v>
      </c>
      <c r="I438" t="e">
        <f>VLOOKUP(Tabela2[[#This Row],[Coluna7]],[1]!Tabela1[#All],2,0)</f>
        <v>#REF!</v>
      </c>
      <c r="J438" s="3" t="s">
        <v>744</v>
      </c>
      <c r="L438">
        <v>29.14</v>
      </c>
      <c r="Q438" s="10" t="str">
        <f>Tabela2[[#This Row],[Coluna5]]</f>
        <v>02/2026</v>
      </c>
      <c r="R438" s="10" t="str">
        <f>IF(Tabela2[[#This Row],[Coluna9]]&gt;0,"Entrada","Saída")</f>
        <v>Saída</v>
      </c>
      <c r="S438" s="10" t="str">
        <f>Tabela2[[#This Row],[Coluna8]]</f>
        <v xml:space="preserve">CARTÃO EFÍ </v>
      </c>
      <c r="T438" s="10" t="e">
        <f>Tabela2[[#This Row],[Coluna72]]</f>
        <v>#REF!</v>
      </c>
      <c r="U438" s="10">
        <f>SUM(Tabela2[[#This Row],[Coluna9]],Tabela2[[#This Row],[Coluna10]])</f>
        <v>29.14</v>
      </c>
      <c r="V438" s="2">
        <f>Tabela2[[#This Row],[Coluna4]]</f>
        <v>46041</v>
      </c>
      <c r="W438" s="2">
        <f>Tabela2[[#This Row],[Coluna6]]</f>
        <v>46057</v>
      </c>
    </row>
    <row r="439" spans="2:23" x14ac:dyDescent="0.2">
      <c r="B439" s="3" t="s">
        <v>18</v>
      </c>
      <c r="C439" t="s">
        <v>95</v>
      </c>
      <c r="D439" t="s">
        <v>13</v>
      </c>
      <c r="E439" s="8">
        <v>46041</v>
      </c>
      <c r="F439" t="s">
        <v>750</v>
      </c>
      <c r="G439" s="8">
        <v>46057</v>
      </c>
      <c r="H439" t="s">
        <v>469</v>
      </c>
      <c r="I439" t="e">
        <f>VLOOKUP(Tabela2[[#This Row],[Coluna7]],[1]!Tabela1[#All],2,0)</f>
        <v>#REF!</v>
      </c>
      <c r="J439" s="3" t="s">
        <v>744</v>
      </c>
      <c r="L439">
        <v>15.3</v>
      </c>
      <c r="Q439" s="10" t="str">
        <f>Tabela2[[#This Row],[Coluna5]]</f>
        <v>02/2026</v>
      </c>
      <c r="R439" s="10" t="str">
        <f>IF(Tabela2[[#This Row],[Coluna9]]&gt;0,"Entrada","Saída")</f>
        <v>Saída</v>
      </c>
      <c r="S439" s="10" t="str">
        <f>Tabela2[[#This Row],[Coluna8]]</f>
        <v xml:space="preserve">CARTÃO EFÍ </v>
      </c>
      <c r="T439" s="10" t="e">
        <f>Tabela2[[#This Row],[Coluna72]]</f>
        <v>#REF!</v>
      </c>
      <c r="U439" s="10">
        <f>SUM(Tabela2[[#This Row],[Coluna9]],Tabela2[[#This Row],[Coluna10]])</f>
        <v>15.3</v>
      </c>
      <c r="V439" s="2">
        <f>Tabela2[[#This Row],[Coluna4]]</f>
        <v>46041</v>
      </c>
      <c r="W439" s="2">
        <f>Tabela2[[#This Row],[Coluna6]]</f>
        <v>46057</v>
      </c>
    </row>
    <row r="440" spans="2:23" x14ac:dyDescent="0.2">
      <c r="B440" s="3" t="s">
        <v>18</v>
      </c>
      <c r="C440" t="s">
        <v>95</v>
      </c>
      <c r="D440" t="s">
        <v>13</v>
      </c>
      <c r="E440" s="8">
        <v>46041</v>
      </c>
      <c r="F440" t="s">
        <v>750</v>
      </c>
      <c r="G440" s="8">
        <v>46057</v>
      </c>
      <c r="H440" t="s">
        <v>443</v>
      </c>
      <c r="I440" t="e">
        <f>VLOOKUP(Tabela2[[#This Row],[Coluna7]],[1]!Tabela1[#All],2,0)</f>
        <v>#REF!</v>
      </c>
      <c r="J440" s="3" t="s">
        <v>744</v>
      </c>
      <c r="L440">
        <v>77.290000000000006</v>
      </c>
      <c r="Q440" s="10" t="str">
        <f>Tabela2[[#This Row],[Coluna5]]</f>
        <v>02/2026</v>
      </c>
      <c r="R440" s="10" t="str">
        <f>IF(Tabela2[[#This Row],[Coluna9]]&gt;0,"Entrada","Saída")</f>
        <v>Saída</v>
      </c>
      <c r="S440" s="10" t="str">
        <f>Tabela2[[#This Row],[Coluna8]]</f>
        <v xml:space="preserve">CARTÃO EFÍ </v>
      </c>
      <c r="T440" s="10" t="e">
        <f>Tabela2[[#This Row],[Coluna72]]</f>
        <v>#REF!</v>
      </c>
      <c r="U440" s="10">
        <f>SUM(Tabela2[[#This Row],[Coluna9]],Tabela2[[#This Row],[Coluna10]])</f>
        <v>77.290000000000006</v>
      </c>
      <c r="V440" s="2">
        <f>Tabela2[[#This Row],[Coluna4]]</f>
        <v>46041</v>
      </c>
      <c r="W440" s="2">
        <f>Tabela2[[#This Row],[Coluna6]]</f>
        <v>46057</v>
      </c>
    </row>
    <row r="441" spans="2:23" x14ac:dyDescent="0.2">
      <c r="B441" s="3" t="s">
        <v>18</v>
      </c>
      <c r="C441" t="s">
        <v>95</v>
      </c>
      <c r="D441" t="s">
        <v>13</v>
      </c>
      <c r="E441" s="8">
        <v>46041</v>
      </c>
      <c r="F441" t="s">
        <v>750</v>
      </c>
      <c r="G441" s="8">
        <v>46057</v>
      </c>
      <c r="H441" t="s">
        <v>443</v>
      </c>
      <c r="I441" t="e">
        <f>VLOOKUP(Tabela2[[#This Row],[Coluna7]],[1]!Tabela1[#All],2,0)</f>
        <v>#REF!</v>
      </c>
      <c r="J441" s="3" t="s">
        <v>744</v>
      </c>
      <c r="L441">
        <v>27.29</v>
      </c>
      <c r="Q441" s="10" t="str">
        <f>Tabela2[[#This Row],[Coluna5]]</f>
        <v>02/2026</v>
      </c>
      <c r="R441" s="10" t="str">
        <f>IF(Tabela2[[#This Row],[Coluna9]]&gt;0,"Entrada","Saída")</f>
        <v>Saída</v>
      </c>
      <c r="S441" s="10" t="str">
        <f>Tabela2[[#This Row],[Coluna8]]</f>
        <v xml:space="preserve">CARTÃO EFÍ </v>
      </c>
      <c r="T441" s="10" t="e">
        <f>Tabela2[[#This Row],[Coluna72]]</f>
        <v>#REF!</v>
      </c>
      <c r="U441" s="10">
        <f>SUM(Tabela2[[#This Row],[Coluna9]],Tabela2[[#This Row],[Coluna10]])</f>
        <v>27.29</v>
      </c>
      <c r="V441" s="2">
        <f>Tabela2[[#This Row],[Coluna4]]</f>
        <v>46041</v>
      </c>
      <c r="W441" s="2">
        <f>Tabela2[[#This Row],[Coluna6]]</f>
        <v>46057</v>
      </c>
    </row>
    <row r="442" spans="2:23" x14ac:dyDescent="0.2">
      <c r="B442" s="3" t="s">
        <v>18</v>
      </c>
      <c r="C442" t="s">
        <v>95</v>
      </c>
      <c r="D442" t="s">
        <v>13</v>
      </c>
      <c r="E442" s="8">
        <v>46041</v>
      </c>
      <c r="F442" t="s">
        <v>750</v>
      </c>
      <c r="G442" s="8">
        <v>46057</v>
      </c>
      <c r="H442" t="s">
        <v>570</v>
      </c>
      <c r="I442" t="e">
        <f>VLOOKUP(Tabela2[[#This Row],[Coluna7]],[1]!Tabela1[#All],2,0)</f>
        <v>#REF!</v>
      </c>
      <c r="J442" s="3" t="s">
        <v>744</v>
      </c>
      <c r="L442">
        <v>12</v>
      </c>
      <c r="Q442" s="10" t="str">
        <f>Tabela2[[#This Row],[Coluna5]]</f>
        <v>02/2026</v>
      </c>
      <c r="R442" s="10" t="str">
        <f>IF(Tabela2[[#This Row],[Coluna9]]&gt;0,"Entrada","Saída")</f>
        <v>Saída</v>
      </c>
      <c r="S442" s="10" t="str">
        <f>Tabela2[[#This Row],[Coluna8]]</f>
        <v xml:space="preserve">CARTÃO EFÍ </v>
      </c>
      <c r="T442" s="10" t="e">
        <f>Tabela2[[#This Row],[Coluna72]]</f>
        <v>#REF!</v>
      </c>
      <c r="U442" s="10">
        <f>SUM(Tabela2[[#This Row],[Coluna9]],Tabela2[[#This Row],[Coluna10]])</f>
        <v>12</v>
      </c>
      <c r="V442" s="2">
        <f>Tabela2[[#This Row],[Coluna4]]</f>
        <v>46041</v>
      </c>
      <c r="W442" s="2">
        <f>Tabela2[[#This Row],[Coluna6]]</f>
        <v>46057</v>
      </c>
    </row>
    <row r="443" spans="2:23" x14ac:dyDescent="0.2">
      <c r="B443" s="3" t="s">
        <v>18</v>
      </c>
      <c r="C443" t="s">
        <v>95</v>
      </c>
      <c r="D443" t="s">
        <v>13</v>
      </c>
      <c r="E443" s="8">
        <v>46043</v>
      </c>
      <c r="F443" t="s">
        <v>750</v>
      </c>
      <c r="G443" s="8">
        <v>46057</v>
      </c>
      <c r="H443" t="s">
        <v>445</v>
      </c>
      <c r="I443" t="e">
        <f>VLOOKUP(Tabela2[[#This Row],[Coluna7]],[1]!Tabela1[#All],2,0)</f>
        <v>#REF!</v>
      </c>
      <c r="J443" s="3" t="s">
        <v>744</v>
      </c>
      <c r="L443">
        <v>587.4</v>
      </c>
      <c r="Q443" s="10" t="str">
        <f>Tabela2[[#This Row],[Coluna5]]</f>
        <v>02/2026</v>
      </c>
      <c r="R443" s="10" t="str">
        <f>IF(Tabela2[[#This Row],[Coluna9]]&gt;0,"Entrada","Saída")</f>
        <v>Saída</v>
      </c>
      <c r="S443" s="10" t="str">
        <f>Tabela2[[#This Row],[Coluna8]]</f>
        <v xml:space="preserve">CARTÃO EFÍ </v>
      </c>
      <c r="T443" s="10" t="e">
        <f>Tabela2[[#This Row],[Coluna72]]</f>
        <v>#REF!</v>
      </c>
      <c r="U443" s="10">
        <f>SUM(Tabela2[[#This Row],[Coluna9]],Tabela2[[#This Row],[Coluna10]])</f>
        <v>587.4</v>
      </c>
      <c r="V443" s="2">
        <f>Tabela2[[#This Row],[Coluna4]]</f>
        <v>46043</v>
      </c>
      <c r="W443" s="2">
        <f>Tabela2[[#This Row],[Coluna6]]</f>
        <v>46057</v>
      </c>
    </row>
    <row r="444" spans="2:23" x14ac:dyDescent="0.2">
      <c r="B444" s="3" t="s">
        <v>18</v>
      </c>
      <c r="C444" t="s">
        <v>95</v>
      </c>
      <c r="D444" t="s">
        <v>13</v>
      </c>
      <c r="E444" s="8">
        <v>46043</v>
      </c>
      <c r="F444" t="s">
        <v>750</v>
      </c>
      <c r="G444" s="8">
        <v>46057</v>
      </c>
      <c r="H444" t="s">
        <v>538</v>
      </c>
      <c r="I444" t="e">
        <f>VLOOKUP(Tabela2[[#This Row],[Coluna7]],[1]!Tabela1[#All],2,0)</f>
        <v>#REF!</v>
      </c>
      <c r="J444" s="3" t="s">
        <v>744</v>
      </c>
      <c r="L444">
        <v>7.64</v>
      </c>
      <c r="Q444" s="10" t="str">
        <f>Tabela2[[#This Row],[Coluna5]]</f>
        <v>02/2026</v>
      </c>
      <c r="R444" s="10" t="str">
        <f>IF(Tabela2[[#This Row],[Coluna9]]&gt;0,"Entrada","Saída")</f>
        <v>Saída</v>
      </c>
      <c r="S444" s="10" t="str">
        <f>Tabela2[[#This Row],[Coluna8]]</f>
        <v xml:space="preserve">CARTÃO EFÍ </v>
      </c>
      <c r="T444" s="10" t="e">
        <f>Tabela2[[#This Row],[Coluna72]]</f>
        <v>#REF!</v>
      </c>
      <c r="U444" s="10">
        <f>SUM(Tabela2[[#This Row],[Coluna9]],Tabela2[[#This Row],[Coluna10]])</f>
        <v>7.64</v>
      </c>
      <c r="V444" s="2">
        <f>Tabela2[[#This Row],[Coluna4]]</f>
        <v>46043</v>
      </c>
      <c r="W444" s="2">
        <f>Tabela2[[#This Row],[Coluna6]]</f>
        <v>46057</v>
      </c>
    </row>
    <row r="445" spans="2:23" x14ac:dyDescent="0.2">
      <c r="B445" s="3" t="s">
        <v>18</v>
      </c>
      <c r="C445" t="s">
        <v>95</v>
      </c>
      <c r="D445" t="s">
        <v>13</v>
      </c>
      <c r="E445" s="8">
        <v>46043</v>
      </c>
      <c r="F445" t="s">
        <v>750</v>
      </c>
      <c r="G445" s="8">
        <v>46057</v>
      </c>
      <c r="H445" t="s">
        <v>443</v>
      </c>
      <c r="I445" t="e">
        <f>VLOOKUP(Tabela2[[#This Row],[Coluna7]],[1]!Tabela1[#All],2,0)</f>
        <v>#REF!</v>
      </c>
      <c r="J445" s="3" t="s">
        <v>744</v>
      </c>
      <c r="L445">
        <v>39</v>
      </c>
      <c r="Q445" s="10" t="str">
        <f>Tabela2[[#This Row],[Coluna5]]</f>
        <v>02/2026</v>
      </c>
      <c r="R445" s="10" t="str">
        <f>IF(Tabela2[[#This Row],[Coluna9]]&gt;0,"Entrada","Saída")</f>
        <v>Saída</v>
      </c>
      <c r="S445" s="10" t="str">
        <f>Tabela2[[#This Row],[Coluna8]]</f>
        <v xml:space="preserve">CARTÃO EFÍ </v>
      </c>
      <c r="T445" s="10" t="e">
        <f>Tabela2[[#This Row],[Coluna72]]</f>
        <v>#REF!</v>
      </c>
      <c r="U445" s="10">
        <f>SUM(Tabela2[[#This Row],[Coluna9]],Tabela2[[#This Row],[Coluna10]])</f>
        <v>39</v>
      </c>
      <c r="V445" s="2">
        <f>Tabela2[[#This Row],[Coluna4]]</f>
        <v>46043</v>
      </c>
      <c r="W445" s="2">
        <f>Tabela2[[#This Row],[Coluna6]]</f>
        <v>46057</v>
      </c>
    </row>
    <row r="446" spans="2:23" x14ac:dyDescent="0.2">
      <c r="B446" s="3" t="s">
        <v>18</v>
      </c>
      <c r="C446" t="s">
        <v>95</v>
      </c>
      <c r="D446" t="s">
        <v>13</v>
      </c>
      <c r="E446" s="8">
        <v>46043</v>
      </c>
      <c r="F446" t="s">
        <v>750</v>
      </c>
      <c r="G446" s="8">
        <v>46057</v>
      </c>
      <c r="H446" t="s">
        <v>570</v>
      </c>
      <c r="I446" t="e">
        <f>VLOOKUP(Tabela2[[#This Row],[Coluna7]],[1]!Tabela1[#All],2,0)</f>
        <v>#REF!</v>
      </c>
      <c r="J446" s="3" t="s">
        <v>744</v>
      </c>
      <c r="L446">
        <v>7.9</v>
      </c>
      <c r="Q446" s="10" t="str">
        <f>Tabela2[[#This Row],[Coluna5]]</f>
        <v>02/2026</v>
      </c>
      <c r="R446" s="10" t="str">
        <f>IF(Tabela2[[#This Row],[Coluna9]]&gt;0,"Entrada","Saída")</f>
        <v>Saída</v>
      </c>
      <c r="S446" s="10" t="str">
        <f>Tabela2[[#This Row],[Coluna8]]</f>
        <v xml:space="preserve">CARTÃO EFÍ </v>
      </c>
      <c r="T446" s="10" t="e">
        <f>Tabela2[[#This Row],[Coluna72]]</f>
        <v>#REF!</v>
      </c>
      <c r="U446" s="10">
        <f>SUM(Tabela2[[#This Row],[Coluna9]],Tabela2[[#This Row],[Coluna10]])</f>
        <v>7.9</v>
      </c>
      <c r="V446" s="2">
        <f>Tabela2[[#This Row],[Coluna4]]</f>
        <v>46043</v>
      </c>
      <c r="W446" s="2">
        <f>Tabela2[[#This Row],[Coluna6]]</f>
        <v>46057</v>
      </c>
    </row>
    <row r="447" spans="2:23" x14ac:dyDescent="0.2">
      <c r="B447" s="3" t="s">
        <v>18</v>
      </c>
      <c r="C447" t="s">
        <v>95</v>
      </c>
      <c r="D447" t="s">
        <v>13</v>
      </c>
      <c r="E447" s="8">
        <v>46044</v>
      </c>
      <c r="F447" t="s">
        <v>750</v>
      </c>
      <c r="G447" s="8">
        <v>46057</v>
      </c>
      <c r="H447" t="s">
        <v>570</v>
      </c>
      <c r="I447" t="e">
        <f>VLOOKUP(Tabela2[[#This Row],[Coluna7]],[1]!Tabela1[#All],2,0)</f>
        <v>#REF!</v>
      </c>
      <c r="J447" s="3" t="s">
        <v>744</v>
      </c>
      <c r="L447">
        <v>36</v>
      </c>
      <c r="Q447" s="10" t="str">
        <f>Tabela2[[#This Row],[Coluna5]]</f>
        <v>02/2026</v>
      </c>
      <c r="R447" s="10" t="str">
        <f>IF(Tabela2[[#This Row],[Coluna9]]&gt;0,"Entrada","Saída")</f>
        <v>Saída</v>
      </c>
      <c r="S447" s="10" t="str">
        <f>Tabela2[[#This Row],[Coluna8]]</f>
        <v xml:space="preserve">CARTÃO EFÍ </v>
      </c>
      <c r="T447" s="10" t="e">
        <f>Tabela2[[#This Row],[Coluna72]]</f>
        <v>#REF!</v>
      </c>
      <c r="U447" s="10">
        <f>SUM(Tabela2[[#This Row],[Coluna9]],Tabela2[[#This Row],[Coluna10]])</f>
        <v>36</v>
      </c>
      <c r="V447" s="2">
        <f>Tabela2[[#This Row],[Coluna4]]</f>
        <v>46044</v>
      </c>
      <c r="W447" s="2">
        <f>Tabela2[[#This Row],[Coluna6]]</f>
        <v>46057</v>
      </c>
    </row>
    <row r="448" spans="2:23" x14ac:dyDescent="0.2">
      <c r="B448" s="3" t="s">
        <v>18</v>
      </c>
      <c r="C448" t="s">
        <v>95</v>
      </c>
      <c r="D448" t="s">
        <v>13</v>
      </c>
      <c r="E448" s="8">
        <v>46044</v>
      </c>
      <c r="F448" t="s">
        <v>750</v>
      </c>
      <c r="G448" s="8">
        <v>46057</v>
      </c>
      <c r="H448" t="s">
        <v>570</v>
      </c>
      <c r="I448" t="e">
        <f>VLOOKUP(Tabela2[[#This Row],[Coluna7]],[1]!Tabela1[#All],2,0)</f>
        <v>#REF!</v>
      </c>
      <c r="J448" s="3" t="s">
        <v>744</v>
      </c>
      <c r="L448">
        <v>25.5</v>
      </c>
      <c r="Q448" s="10" t="str">
        <f>Tabela2[[#This Row],[Coluna5]]</f>
        <v>02/2026</v>
      </c>
      <c r="R448" s="10" t="str">
        <f>IF(Tabela2[[#This Row],[Coluna9]]&gt;0,"Entrada","Saída")</f>
        <v>Saída</v>
      </c>
      <c r="S448" s="10" t="str">
        <f>Tabela2[[#This Row],[Coluna8]]</f>
        <v xml:space="preserve">CARTÃO EFÍ </v>
      </c>
      <c r="T448" s="10" t="e">
        <f>Tabela2[[#This Row],[Coluna72]]</f>
        <v>#REF!</v>
      </c>
      <c r="U448" s="10">
        <f>SUM(Tabela2[[#This Row],[Coluna9]],Tabela2[[#This Row],[Coluna10]])</f>
        <v>25.5</v>
      </c>
      <c r="V448" s="2">
        <f>Tabela2[[#This Row],[Coluna4]]</f>
        <v>46044</v>
      </c>
      <c r="W448" s="2">
        <f>Tabela2[[#This Row],[Coluna6]]</f>
        <v>46057</v>
      </c>
    </row>
    <row r="449" spans="2:23" x14ac:dyDescent="0.2">
      <c r="B449" s="3" t="s">
        <v>18</v>
      </c>
      <c r="C449" t="s">
        <v>95</v>
      </c>
      <c r="D449" t="s">
        <v>13</v>
      </c>
      <c r="E449" s="8">
        <v>46044</v>
      </c>
      <c r="F449" t="s">
        <v>750</v>
      </c>
      <c r="G449" s="8">
        <v>46057</v>
      </c>
      <c r="H449" t="s">
        <v>570</v>
      </c>
      <c r="I449" t="e">
        <f>VLOOKUP(Tabela2[[#This Row],[Coluna7]],[1]!Tabela1[#All],2,0)</f>
        <v>#REF!</v>
      </c>
      <c r="J449" s="3" t="s">
        <v>744</v>
      </c>
      <c r="L449">
        <v>2.4</v>
      </c>
      <c r="Q449" s="10" t="str">
        <f>Tabela2[[#This Row],[Coluna5]]</f>
        <v>02/2026</v>
      </c>
      <c r="R449" s="10" t="str">
        <f>IF(Tabela2[[#This Row],[Coluna9]]&gt;0,"Entrada","Saída")</f>
        <v>Saída</v>
      </c>
      <c r="S449" s="10" t="str">
        <f>Tabela2[[#This Row],[Coluna8]]</f>
        <v xml:space="preserve">CARTÃO EFÍ </v>
      </c>
      <c r="T449" s="10" t="e">
        <f>Tabela2[[#This Row],[Coluna72]]</f>
        <v>#REF!</v>
      </c>
      <c r="U449" s="10">
        <f>SUM(Tabela2[[#This Row],[Coluna9]],Tabela2[[#This Row],[Coluna10]])</f>
        <v>2.4</v>
      </c>
      <c r="V449" s="2">
        <f>Tabela2[[#This Row],[Coluna4]]</f>
        <v>46044</v>
      </c>
      <c r="W449" s="2">
        <f>Tabela2[[#This Row],[Coluna6]]</f>
        <v>46057</v>
      </c>
    </row>
    <row r="450" spans="2:23" x14ac:dyDescent="0.2">
      <c r="B450" s="3" t="s">
        <v>18</v>
      </c>
      <c r="C450" t="s">
        <v>95</v>
      </c>
      <c r="D450" t="s">
        <v>13</v>
      </c>
      <c r="E450" s="8">
        <v>46044</v>
      </c>
      <c r="F450" t="s">
        <v>750</v>
      </c>
      <c r="G450" s="8">
        <v>46057</v>
      </c>
      <c r="H450" t="s">
        <v>570</v>
      </c>
      <c r="I450" t="e">
        <f>VLOOKUP(Tabela2[[#This Row],[Coluna7]],[1]!Tabela1[#All],2,0)</f>
        <v>#REF!</v>
      </c>
      <c r="J450" s="3" t="s">
        <v>744</v>
      </c>
      <c r="L450">
        <v>9.9499999999999993</v>
      </c>
      <c r="Q450" s="10" t="str">
        <f>Tabela2[[#This Row],[Coluna5]]</f>
        <v>02/2026</v>
      </c>
      <c r="R450" s="10" t="str">
        <f>IF(Tabela2[[#This Row],[Coluna9]]&gt;0,"Entrada","Saída")</f>
        <v>Saída</v>
      </c>
      <c r="S450" s="10" t="str">
        <f>Tabela2[[#This Row],[Coluna8]]</f>
        <v xml:space="preserve">CARTÃO EFÍ </v>
      </c>
      <c r="T450" s="10" t="e">
        <f>Tabela2[[#This Row],[Coluna72]]</f>
        <v>#REF!</v>
      </c>
      <c r="U450" s="10">
        <f>SUM(Tabela2[[#This Row],[Coluna9]],Tabela2[[#This Row],[Coluna10]])</f>
        <v>9.9499999999999993</v>
      </c>
      <c r="V450" s="2">
        <f>Tabela2[[#This Row],[Coluna4]]</f>
        <v>46044</v>
      </c>
      <c r="W450" s="2">
        <f>Tabela2[[#This Row],[Coluna6]]</f>
        <v>46057</v>
      </c>
    </row>
    <row r="451" spans="2:23" x14ac:dyDescent="0.2">
      <c r="B451" s="3" t="s">
        <v>18</v>
      </c>
      <c r="C451" t="s">
        <v>95</v>
      </c>
      <c r="D451" t="s">
        <v>13</v>
      </c>
      <c r="E451" s="8">
        <v>46044</v>
      </c>
      <c r="F451" t="s">
        <v>750</v>
      </c>
      <c r="G451" s="8">
        <v>46057</v>
      </c>
      <c r="H451" t="s">
        <v>570</v>
      </c>
      <c r="I451" t="e">
        <f>VLOOKUP(Tabela2[[#This Row],[Coluna7]],[1]!Tabela1[#All],2,0)</f>
        <v>#REF!</v>
      </c>
      <c r="J451" s="3" t="s">
        <v>744</v>
      </c>
      <c r="L451">
        <v>481.4</v>
      </c>
      <c r="Q451" s="10" t="str">
        <f>Tabela2[[#This Row],[Coluna5]]</f>
        <v>02/2026</v>
      </c>
      <c r="R451" s="10" t="str">
        <f>IF(Tabela2[[#This Row],[Coluna9]]&gt;0,"Entrada","Saída")</f>
        <v>Saída</v>
      </c>
      <c r="S451" s="10" t="str">
        <f>Tabela2[[#This Row],[Coluna8]]</f>
        <v xml:space="preserve">CARTÃO EFÍ </v>
      </c>
      <c r="T451" s="10" t="e">
        <f>Tabela2[[#This Row],[Coluna72]]</f>
        <v>#REF!</v>
      </c>
      <c r="U451" s="10">
        <f>SUM(Tabela2[[#This Row],[Coluna9]],Tabela2[[#This Row],[Coluna10]])</f>
        <v>481.4</v>
      </c>
      <c r="V451" s="2">
        <f>Tabela2[[#This Row],[Coluna4]]</f>
        <v>46044</v>
      </c>
      <c r="W451" s="2">
        <f>Tabela2[[#This Row],[Coluna6]]</f>
        <v>46057</v>
      </c>
    </row>
    <row r="452" spans="2:23" x14ac:dyDescent="0.2">
      <c r="B452" s="3" t="s">
        <v>18</v>
      </c>
      <c r="C452" t="s">
        <v>95</v>
      </c>
      <c r="D452" t="s">
        <v>13</v>
      </c>
      <c r="E452" s="8">
        <v>46044</v>
      </c>
      <c r="F452" t="s">
        <v>750</v>
      </c>
      <c r="G452" s="8">
        <v>46057</v>
      </c>
      <c r="H452" t="s">
        <v>570</v>
      </c>
      <c r="I452" t="e">
        <f>VLOOKUP(Tabela2[[#This Row],[Coluna7]],[1]!Tabela1[#All],2,0)</f>
        <v>#REF!</v>
      </c>
      <c r="J452" s="3" t="s">
        <v>744</v>
      </c>
      <c r="L452">
        <v>33.799999999999997</v>
      </c>
      <c r="Q452" s="10" t="str">
        <f>Tabela2[[#This Row],[Coluna5]]</f>
        <v>02/2026</v>
      </c>
      <c r="R452" s="10" t="str">
        <f>IF(Tabela2[[#This Row],[Coluna9]]&gt;0,"Entrada","Saída")</f>
        <v>Saída</v>
      </c>
      <c r="S452" s="10" t="str">
        <f>Tabela2[[#This Row],[Coluna8]]</f>
        <v xml:space="preserve">CARTÃO EFÍ </v>
      </c>
      <c r="T452" s="10" t="e">
        <f>Tabela2[[#This Row],[Coluna72]]</f>
        <v>#REF!</v>
      </c>
      <c r="U452" s="10">
        <f>SUM(Tabela2[[#This Row],[Coluna9]],Tabela2[[#This Row],[Coluna10]])</f>
        <v>33.799999999999997</v>
      </c>
      <c r="V452" s="2">
        <f>Tabela2[[#This Row],[Coluna4]]</f>
        <v>46044</v>
      </c>
      <c r="W452" s="2">
        <f>Tabela2[[#This Row],[Coluna6]]</f>
        <v>46057</v>
      </c>
    </row>
    <row r="453" spans="2:23" x14ac:dyDescent="0.2">
      <c r="B453" s="3" t="s">
        <v>18</v>
      </c>
      <c r="C453" t="s">
        <v>95</v>
      </c>
      <c r="D453" t="s">
        <v>13</v>
      </c>
      <c r="E453" s="8">
        <v>46045</v>
      </c>
      <c r="F453" t="s">
        <v>750</v>
      </c>
      <c r="G453" s="8">
        <v>46057</v>
      </c>
      <c r="H453" t="s">
        <v>570</v>
      </c>
      <c r="I453" t="e">
        <f>VLOOKUP(Tabela2[[#This Row],[Coluna7]],[1]!Tabela1[#All],2,0)</f>
        <v>#REF!</v>
      </c>
      <c r="J453" s="3" t="s">
        <v>744</v>
      </c>
      <c r="L453">
        <v>230.5</v>
      </c>
      <c r="Q453" s="10" t="str">
        <f>Tabela2[[#This Row],[Coluna5]]</f>
        <v>02/2026</v>
      </c>
      <c r="R453" s="10" t="str">
        <f>IF(Tabela2[[#This Row],[Coluna9]]&gt;0,"Entrada","Saída")</f>
        <v>Saída</v>
      </c>
      <c r="S453" s="10" t="str">
        <f>Tabela2[[#This Row],[Coluna8]]</f>
        <v xml:space="preserve">CARTÃO EFÍ </v>
      </c>
      <c r="T453" s="10" t="e">
        <f>Tabela2[[#This Row],[Coluna72]]</f>
        <v>#REF!</v>
      </c>
      <c r="U453" s="10">
        <f>SUM(Tabela2[[#This Row],[Coluna9]],Tabela2[[#This Row],[Coluna10]])</f>
        <v>230.5</v>
      </c>
      <c r="V453" s="2">
        <f>Tabela2[[#This Row],[Coluna4]]</f>
        <v>46045</v>
      </c>
      <c r="W453" s="2">
        <f>Tabela2[[#This Row],[Coluna6]]</f>
        <v>46057</v>
      </c>
    </row>
    <row r="454" spans="2:23" x14ac:dyDescent="0.2">
      <c r="B454" s="3" t="s">
        <v>18</v>
      </c>
      <c r="C454" t="s">
        <v>95</v>
      </c>
      <c r="D454" t="s">
        <v>13</v>
      </c>
      <c r="E454" s="8">
        <v>46045</v>
      </c>
      <c r="F454" t="s">
        <v>750</v>
      </c>
      <c r="G454" s="8">
        <v>46057</v>
      </c>
      <c r="H454" t="s">
        <v>570</v>
      </c>
      <c r="I454" t="e">
        <f>VLOOKUP(Tabela2[[#This Row],[Coluna7]],[1]!Tabela1[#All],2,0)</f>
        <v>#REF!</v>
      </c>
      <c r="J454" s="3" t="s">
        <v>744</v>
      </c>
      <c r="L454">
        <v>95</v>
      </c>
      <c r="Q454" s="10" t="str">
        <f>Tabela2[[#This Row],[Coluna5]]</f>
        <v>02/2026</v>
      </c>
      <c r="R454" s="10" t="str">
        <f>IF(Tabela2[[#This Row],[Coluna9]]&gt;0,"Entrada","Saída")</f>
        <v>Saída</v>
      </c>
      <c r="S454" s="10" t="str">
        <f>Tabela2[[#This Row],[Coluna8]]</f>
        <v xml:space="preserve">CARTÃO EFÍ </v>
      </c>
      <c r="T454" s="10" t="e">
        <f>Tabela2[[#This Row],[Coluna72]]</f>
        <v>#REF!</v>
      </c>
      <c r="U454" s="10">
        <f>SUM(Tabela2[[#This Row],[Coluna9]],Tabela2[[#This Row],[Coluna10]])</f>
        <v>95</v>
      </c>
      <c r="V454" s="2">
        <f>Tabela2[[#This Row],[Coluna4]]</f>
        <v>46045</v>
      </c>
      <c r="W454" s="2">
        <f>Tabela2[[#This Row],[Coluna6]]</f>
        <v>46057</v>
      </c>
    </row>
    <row r="455" spans="2:23" x14ac:dyDescent="0.2">
      <c r="B455" s="3" t="s">
        <v>18</v>
      </c>
      <c r="C455" t="s">
        <v>95</v>
      </c>
      <c r="D455" t="s">
        <v>13</v>
      </c>
      <c r="E455" s="8">
        <v>46046</v>
      </c>
      <c r="F455" t="s">
        <v>750</v>
      </c>
      <c r="G455" s="8">
        <v>46057</v>
      </c>
      <c r="H455" t="s">
        <v>443</v>
      </c>
      <c r="I455" t="e">
        <f>VLOOKUP(Tabela2[[#This Row],[Coluna7]],[1]!Tabela1[#All],2,0)</f>
        <v>#REF!</v>
      </c>
      <c r="J455" s="3" t="s">
        <v>744</v>
      </c>
      <c r="L455">
        <v>18.87</v>
      </c>
      <c r="Q455" s="10" t="str">
        <f>Tabela2[[#This Row],[Coluna5]]</f>
        <v>02/2026</v>
      </c>
      <c r="R455" s="10" t="str">
        <f>IF(Tabela2[[#This Row],[Coluna9]]&gt;0,"Entrada","Saída")</f>
        <v>Saída</v>
      </c>
      <c r="S455" s="10" t="str">
        <f>Tabela2[[#This Row],[Coluna8]]</f>
        <v xml:space="preserve">CARTÃO EFÍ </v>
      </c>
      <c r="T455" s="10" t="e">
        <f>Tabela2[[#This Row],[Coluna72]]</f>
        <v>#REF!</v>
      </c>
      <c r="U455" s="10">
        <f>SUM(Tabela2[[#This Row],[Coluna9]],Tabela2[[#This Row],[Coluna10]])</f>
        <v>18.87</v>
      </c>
      <c r="V455" s="2">
        <f>Tabela2[[#This Row],[Coluna4]]</f>
        <v>46046</v>
      </c>
      <c r="W455" s="2">
        <f>Tabela2[[#This Row],[Coluna6]]</f>
        <v>46057</v>
      </c>
    </row>
    <row r="456" spans="2:23" x14ac:dyDescent="0.2">
      <c r="B456" s="3" t="s">
        <v>18</v>
      </c>
      <c r="C456" t="s">
        <v>95</v>
      </c>
      <c r="D456" t="s">
        <v>13</v>
      </c>
      <c r="E456" s="8">
        <v>46046</v>
      </c>
      <c r="F456" t="s">
        <v>750</v>
      </c>
      <c r="G456" s="8">
        <v>46057</v>
      </c>
      <c r="H456" t="s">
        <v>570</v>
      </c>
      <c r="I456" t="e">
        <f>VLOOKUP(Tabela2[[#This Row],[Coluna7]],[1]!Tabela1[#All],2,0)</f>
        <v>#REF!</v>
      </c>
      <c r="J456" s="3" t="s">
        <v>744</v>
      </c>
      <c r="L456">
        <v>1.75</v>
      </c>
      <c r="Q456" s="10" t="str">
        <f>Tabela2[[#This Row],[Coluna5]]</f>
        <v>02/2026</v>
      </c>
      <c r="R456" s="10" t="str">
        <f>IF(Tabela2[[#This Row],[Coluna9]]&gt;0,"Entrada","Saída")</f>
        <v>Saída</v>
      </c>
      <c r="S456" s="10" t="str">
        <f>Tabela2[[#This Row],[Coluna8]]</f>
        <v xml:space="preserve">CARTÃO EFÍ </v>
      </c>
      <c r="T456" s="10" t="e">
        <f>Tabela2[[#This Row],[Coluna72]]</f>
        <v>#REF!</v>
      </c>
      <c r="U456" s="10">
        <f>SUM(Tabela2[[#This Row],[Coluna9]],Tabela2[[#This Row],[Coluna10]])</f>
        <v>1.75</v>
      </c>
      <c r="V456" s="2">
        <f>Tabela2[[#This Row],[Coluna4]]</f>
        <v>46046</v>
      </c>
      <c r="W456" s="2">
        <f>Tabela2[[#This Row],[Coluna6]]</f>
        <v>46057</v>
      </c>
    </row>
    <row r="457" spans="2:23" x14ac:dyDescent="0.2">
      <c r="B457" s="3" t="s">
        <v>18</v>
      </c>
      <c r="C457" t="s">
        <v>95</v>
      </c>
      <c r="D457" t="s">
        <v>13</v>
      </c>
      <c r="E457" s="8">
        <v>46048</v>
      </c>
      <c r="F457" t="s">
        <v>750</v>
      </c>
      <c r="G457" s="8">
        <v>46057</v>
      </c>
      <c r="H457" t="s">
        <v>570</v>
      </c>
      <c r="I457" t="e">
        <f>VLOOKUP(Tabela2[[#This Row],[Coluna7]],[1]!Tabela1[#All],2,0)</f>
        <v>#REF!</v>
      </c>
      <c r="J457" s="3" t="s">
        <v>744</v>
      </c>
      <c r="L457">
        <v>14</v>
      </c>
      <c r="Q457" s="10" t="str">
        <f>Tabela2[[#This Row],[Coluna5]]</f>
        <v>02/2026</v>
      </c>
      <c r="R457" s="10" t="str">
        <f>IF(Tabela2[[#This Row],[Coluna9]]&gt;0,"Entrada","Saída")</f>
        <v>Saída</v>
      </c>
      <c r="S457" s="10" t="str">
        <f>Tabela2[[#This Row],[Coluna8]]</f>
        <v xml:space="preserve">CARTÃO EFÍ </v>
      </c>
      <c r="T457" s="10" t="e">
        <f>Tabela2[[#This Row],[Coluna72]]</f>
        <v>#REF!</v>
      </c>
      <c r="U457" s="10">
        <f>SUM(Tabela2[[#This Row],[Coluna9]],Tabela2[[#This Row],[Coluna10]])</f>
        <v>14</v>
      </c>
      <c r="V457" s="2">
        <f>Tabela2[[#This Row],[Coluna4]]</f>
        <v>46048</v>
      </c>
      <c r="W457" s="2">
        <f>Tabela2[[#This Row],[Coluna6]]</f>
        <v>46057</v>
      </c>
    </row>
    <row r="458" spans="2:23" x14ac:dyDescent="0.2">
      <c r="B458" s="3" t="s">
        <v>18</v>
      </c>
      <c r="C458" t="s">
        <v>95</v>
      </c>
      <c r="D458" t="s">
        <v>13</v>
      </c>
      <c r="E458" s="8">
        <v>46048</v>
      </c>
      <c r="F458" t="s">
        <v>750</v>
      </c>
      <c r="G458" s="8">
        <v>46057</v>
      </c>
      <c r="H458" t="s">
        <v>443</v>
      </c>
      <c r="I458" t="e">
        <f>VLOOKUP(Tabela2[[#This Row],[Coluna7]],[1]!Tabela1[#All],2,0)</f>
        <v>#REF!</v>
      </c>
      <c r="J458" s="3" t="s">
        <v>744</v>
      </c>
      <c r="L458">
        <v>19.07</v>
      </c>
      <c r="Q458" s="10" t="str">
        <f>Tabela2[[#This Row],[Coluna5]]</f>
        <v>02/2026</v>
      </c>
      <c r="R458" s="10" t="str">
        <f>IF(Tabela2[[#This Row],[Coluna9]]&gt;0,"Entrada","Saída")</f>
        <v>Saída</v>
      </c>
      <c r="S458" s="10" t="str">
        <f>Tabela2[[#This Row],[Coluna8]]</f>
        <v xml:space="preserve">CARTÃO EFÍ </v>
      </c>
      <c r="T458" s="10" t="e">
        <f>Tabela2[[#This Row],[Coluna72]]</f>
        <v>#REF!</v>
      </c>
      <c r="U458" s="10">
        <f>SUM(Tabela2[[#This Row],[Coluna9]],Tabela2[[#This Row],[Coluna10]])</f>
        <v>19.07</v>
      </c>
      <c r="V458" s="2">
        <f>Tabela2[[#This Row],[Coluna4]]</f>
        <v>46048</v>
      </c>
      <c r="W458" s="2">
        <f>Tabela2[[#This Row],[Coluna6]]</f>
        <v>46057</v>
      </c>
    </row>
    <row r="459" spans="2:23" x14ac:dyDescent="0.2">
      <c r="B459" s="3" t="s">
        <v>18</v>
      </c>
      <c r="C459" t="s">
        <v>95</v>
      </c>
      <c r="D459" t="s">
        <v>13</v>
      </c>
      <c r="E459" s="8">
        <v>46048</v>
      </c>
      <c r="F459" t="s">
        <v>750</v>
      </c>
      <c r="G459" s="8">
        <v>46057</v>
      </c>
      <c r="H459" t="s">
        <v>443</v>
      </c>
      <c r="I459" t="e">
        <f>VLOOKUP(Tabela2[[#This Row],[Coluna7]],[1]!Tabela1[#All],2,0)</f>
        <v>#REF!</v>
      </c>
      <c r="J459" s="3" t="s">
        <v>744</v>
      </c>
      <c r="L459">
        <v>21.37</v>
      </c>
      <c r="Q459" s="10" t="str">
        <f>Tabela2[[#This Row],[Coluna5]]</f>
        <v>02/2026</v>
      </c>
      <c r="R459" s="10" t="str">
        <f>IF(Tabela2[[#This Row],[Coluna9]]&gt;0,"Entrada","Saída")</f>
        <v>Saída</v>
      </c>
      <c r="S459" s="10" t="str">
        <f>Tabela2[[#This Row],[Coluna8]]</f>
        <v xml:space="preserve">CARTÃO EFÍ </v>
      </c>
      <c r="T459" s="10" t="e">
        <f>Tabela2[[#This Row],[Coluna72]]</f>
        <v>#REF!</v>
      </c>
      <c r="U459" s="10">
        <f>SUM(Tabela2[[#This Row],[Coluna9]],Tabela2[[#This Row],[Coluna10]])</f>
        <v>21.37</v>
      </c>
      <c r="V459" s="2">
        <f>Tabela2[[#This Row],[Coluna4]]</f>
        <v>46048</v>
      </c>
      <c r="W459" s="2">
        <f>Tabela2[[#This Row],[Coluna6]]</f>
        <v>46057</v>
      </c>
    </row>
    <row r="460" spans="2:23" x14ac:dyDescent="0.2">
      <c r="B460" s="3" t="s">
        <v>18</v>
      </c>
      <c r="C460" t="s">
        <v>95</v>
      </c>
      <c r="D460" t="s">
        <v>13</v>
      </c>
      <c r="E460" s="8">
        <v>46048</v>
      </c>
      <c r="F460" t="s">
        <v>750</v>
      </c>
      <c r="G460" s="8">
        <v>46057</v>
      </c>
      <c r="H460" t="s">
        <v>443</v>
      </c>
      <c r="I460" t="e">
        <f>VLOOKUP(Tabela2[[#This Row],[Coluna7]],[1]!Tabela1[#All],2,0)</f>
        <v>#REF!</v>
      </c>
      <c r="J460" s="3" t="s">
        <v>744</v>
      </c>
      <c r="L460">
        <v>59.69</v>
      </c>
      <c r="Q460" s="10" t="str">
        <f>Tabela2[[#This Row],[Coluna5]]</f>
        <v>02/2026</v>
      </c>
      <c r="R460" s="10" t="str">
        <f>IF(Tabela2[[#This Row],[Coluna9]]&gt;0,"Entrada","Saída")</f>
        <v>Saída</v>
      </c>
      <c r="S460" s="10" t="str">
        <f>Tabela2[[#This Row],[Coluna8]]</f>
        <v xml:space="preserve">CARTÃO EFÍ </v>
      </c>
      <c r="T460" s="10" t="e">
        <f>Tabela2[[#This Row],[Coluna72]]</f>
        <v>#REF!</v>
      </c>
      <c r="U460" s="10">
        <f>SUM(Tabela2[[#This Row],[Coluna9]],Tabela2[[#This Row],[Coluna10]])</f>
        <v>59.69</v>
      </c>
      <c r="V460" s="2">
        <f>Tabela2[[#This Row],[Coluna4]]</f>
        <v>46048</v>
      </c>
      <c r="W460" s="2">
        <f>Tabela2[[#This Row],[Coluna6]]</f>
        <v>46057</v>
      </c>
    </row>
    <row r="461" spans="2:23" x14ac:dyDescent="0.2">
      <c r="B461" s="3" t="s">
        <v>18</v>
      </c>
      <c r="C461" t="s">
        <v>95</v>
      </c>
      <c r="D461" t="s">
        <v>13</v>
      </c>
      <c r="E461" s="8">
        <v>46048</v>
      </c>
      <c r="F461" t="s">
        <v>750</v>
      </c>
      <c r="G461" s="8">
        <v>46057</v>
      </c>
      <c r="H461" t="s">
        <v>570</v>
      </c>
      <c r="I461" t="e">
        <f>VLOOKUP(Tabela2[[#This Row],[Coluna7]],[1]!Tabela1[#All],2,0)</f>
        <v>#REF!</v>
      </c>
      <c r="J461" s="3" t="s">
        <v>744</v>
      </c>
      <c r="L461">
        <v>7</v>
      </c>
      <c r="Q461" s="10" t="str">
        <f>Tabela2[[#This Row],[Coluna5]]</f>
        <v>02/2026</v>
      </c>
      <c r="R461" s="10" t="str">
        <f>IF(Tabela2[[#This Row],[Coluna9]]&gt;0,"Entrada","Saída")</f>
        <v>Saída</v>
      </c>
      <c r="S461" s="10" t="str">
        <f>Tabela2[[#This Row],[Coluna8]]</f>
        <v xml:space="preserve">CARTÃO EFÍ </v>
      </c>
      <c r="T461" s="10" t="e">
        <f>Tabela2[[#This Row],[Coluna72]]</f>
        <v>#REF!</v>
      </c>
      <c r="U461" s="10">
        <f>SUM(Tabela2[[#This Row],[Coluna9]],Tabela2[[#This Row],[Coluna10]])</f>
        <v>7</v>
      </c>
      <c r="V461" s="2">
        <f>Tabela2[[#This Row],[Coluna4]]</f>
        <v>46048</v>
      </c>
      <c r="W461" s="2">
        <f>Tabela2[[#This Row],[Coluna6]]</f>
        <v>46057</v>
      </c>
    </row>
    <row r="462" spans="2:23" x14ac:dyDescent="0.2">
      <c r="B462" s="3" t="s">
        <v>18</v>
      </c>
      <c r="C462" t="s">
        <v>95</v>
      </c>
      <c r="D462" t="s">
        <v>13</v>
      </c>
      <c r="E462" s="8">
        <v>46048</v>
      </c>
      <c r="F462" t="s">
        <v>750</v>
      </c>
      <c r="G462" s="8">
        <v>46057</v>
      </c>
      <c r="H462" t="s">
        <v>443</v>
      </c>
      <c r="I462" t="e">
        <f>VLOOKUP(Tabela2[[#This Row],[Coluna7]],[1]!Tabela1[#All],2,0)</f>
        <v>#REF!</v>
      </c>
      <c r="J462" s="3" t="s">
        <v>744</v>
      </c>
      <c r="L462">
        <v>32.04</v>
      </c>
      <c r="Q462" s="10" t="str">
        <f>Tabela2[[#This Row],[Coluna5]]</f>
        <v>02/2026</v>
      </c>
      <c r="R462" s="10" t="str">
        <f>IF(Tabela2[[#This Row],[Coluna9]]&gt;0,"Entrada","Saída")</f>
        <v>Saída</v>
      </c>
      <c r="S462" s="10" t="str">
        <f>Tabela2[[#This Row],[Coluna8]]</f>
        <v xml:space="preserve">CARTÃO EFÍ </v>
      </c>
      <c r="T462" s="10" t="e">
        <f>Tabela2[[#This Row],[Coluna72]]</f>
        <v>#REF!</v>
      </c>
      <c r="U462" s="10">
        <f>SUM(Tabela2[[#This Row],[Coluna9]],Tabela2[[#This Row],[Coluna10]])</f>
        <v>32.04</v>
      </c>
      <c r="V462" s="2">
        <f>Tabela2[[#This Row],[Coluna4]]</f>
        <v>46048</v>
      </c>
      <c r="W462" s="2">
        <f>Tabela2[[#This Row],[Coluna6]]</f>
        <v>46057</v>
      </c>
    </row>
    <row r="463" spans="2:23" x14ac:dyDescent="0.2">
      <c r="B463" s="3" t="s">
        <v>18</v>
      </c>
      <c r="C463" t="s">
        <v>95</v>
      </c>
      <c r="D463" t="s">
        <v>13</v>
      </c>
      <c r="E463" s="8">
        <v>46049</v>
      </c>
      <c r="F463" t="s">
        <v>750</v>
      </c>
      <c r="G463" s="8">
        <v>46057</v>
      </c>
      <c r="H463" t="s">
        <v>443</v>
      </c>
      <c r="I463" t="e">
        <f>VLOOKUP(Tabela2[[#This Row],[Coluna7]],[1]!Tabela1[#All],2,0)</f>
        <v>#REF!</v>
      </c>
      <c r="J463" s="3" t="s">
        <v>744</v>
      </c>
      <c r="L463">
        <v>31.98</v>
      </c>
      <c r="Q463" s="10" t="str">
        <f>Tabela2[[#This Row],[Coluna5]]</f>
        <v>02/2026</v>
      </c>
      <c r="R463" s="10" t="str">
        <f>IF(Tabela2[[#This Row],[Coluna9]]&gt;0,"Entrada","Saída")</f>
        <v>Saída</v>
      </c>
      <c r="S463" s="10" t="str">
        <f>Tabela2[[#This Row],[Coluna8]]</f>
        <v xml:space="preserve">CARTÃO EFÍ </v>
      </c>
      <c r="T463" s="10" t="e">
        <f>Tabela2[[#This Row],[Coluna72]]</f>
        <v>#REF!</v>
      </c>
      <c r="U463" s="10">
        <f>SUM(Tabela2[[#This Row],[Coluna9]],Tabela2[[#This Row],[Coluna10]])</f>
        <v>31.98</v>
      </c>
      <c r="V463" s="2">
        <f>Tabela2[[#This Row],[Coluna4]]</f>
        <v>46049</v>
      </c>
      <c r="W463" s="2">
        <f>Tabela2[[#This Row],[Coluna6]]</f>
        <v>46057</v>
      </c>
    </row>
    <row r="464" spans="2:23" x14ac:dyDescent="0.2">
      <c r="B464" s="3" t="s">
        <v>18</v>
      </c>
      <c r="C464" t="s">
        <v>95</v>
      </c>
      <c r="D464" t="s">
        <v>13</v>
      </c>
      <c r="E464" s="8">
        <v>46049</v>
      </c>
      <c r="F464" t="s">
        <v>750</v>
      </c>
      <c r="G464" s="8">
        <v>46057</v>
      </c>
      <c r="H464" t="s">
        <v>443</v>
      </c>
      <c r="I464" t="e">
        <f>VLOOKUP(Tabela2[[#This Row],[Coluna7]],[1]!Tabela1[#All],2,0)</f>
        <v>#REF!</v>
      </c>
      <c r="J464" s="3" t="s">
        <v>744</v>
      </c>
      <c r="L464">
        <v>17.41</v>
      </c>
      <c r="Q464" s="10" t="str">
        <f>Tabela2[[#This Row],[Coluna5]]</f>
        <v>02/2026</v>
      </c>
      <c r="R464" s="10" t="str">
        <f>IF(Tabela2[[#This Row],[Coluna9]]&gt;0,"Entrada","Saída")</f>
        <v>Saída</v>
      </c>
      <c r="S464" s="10" t="str">
        <f>Tabela2[[#This Row],[Coluna8]]</f>
        <v xml:space="preserve">CARTÃO EFÍ </v>
      </c>
      <c r="T464" s="10" t="e">
        <f>Tabela2[[#This Row],[Coluna72]]</f>
        <v>#REF!</v>
      </c>
      <c r="U464" s="10">
        <f>SUM(Tabela2[[#This Row],[Coluna9]],Tabela2[[#This Row],[Coluna10]])</f>
        <v>17.41</v>
      </c>
      <c r="V464" s="2">
        <f>Tabela2[[#This Row],[Coluna4]]</f>
        <v>46049</v>
      </c>
      <c r="W464" s="2">
        <f>Tabela2[[#This Row],[Coluna6]]</f>
        <v>46057</v>
      </c>
    </row>
    <row r="465" spans="2:23" x14ac:dyDescent="0.2">
      <c r="B465" s="3" t="s">
        <v>18</v>
      </c>
      <c r="C465" t="s">
        <v>95</v>
      </c>
      <c r="D465" t="s">
        <v>13</v>
      </c>
      <c r="E465" s="8">
        <v>46049</v>
      </c>
      <c r="F465" t="s">
        <v>750</v>
      </c>
      <c r="G465" s="8">
        <v>46057</v>
      </c>
      <c r="H465" t="s">
        <v>570</v>
      </c>
      <c r="I465" t="e">
        <f>VLOOKUP(Tabela2[[#This Row],[Coluna7]],[1]!Tabela1[#All],2,0)</f>
        <v>#REF!</v>
      </c>
      <c r="J465" s="3" t="s">
        <v>744</v>
      </c>
      <c r="L465">
        <v>27.45</v>
      </c>
      <c r="Q465" s="10" t="str">
        <f>Tabela2[[#This Row],[Coluna5]]</f>
        <v>02/2026</v>
      </c>
      <c r="R465" s="10" t="str">
        <f>IF(Tabela2[[#This Row],[Coluna9]]&gt;0,"Entrada","Saída")</f>
        <v>Saída</v>
      </c>
      <c r="S465" s="10" t="str">
        <f>Tabela2[[#This Row],[Coluna8]]</f>
        <v xml:space="preserve">CARTÃO EFÍ </v>
      </c>
      <c r="T465" s="10" t="e">
        <f>Tabela2[[#This Row],[Coluna72]]</f>
        <v>#REF!</v>
      </c>
      <c r="U465" s="10">
        <f>SUM(Tabela2[[#This Row],[Coluna9]],Tabela2[[#This Row],[Coluna10]])</f>
        <v>27.45</v>
      </c>
      <c r="V465" s="2">
        <f>Tabela2[[#This Row],[Coluna4]]</f>
        <v>46049</v>
      </c>
      <c r="W465" s="2">
        <f>Tabela2[[#This Row],[Coluna6]]</f>
        <v>46057</v>
      </c>
    </row>
    <row r="466" spans="2:23" x14ac:dyDescent="0.2">
      <c r="B466" s="3" t="s">
        <v>18</v>
      </c>
      <c r="C466" t="s">
        <v>95</v>
      </c>
      <c r="D466" t="s">
        <v>13</v>
      </c>
      <c r="E466" s="8">
        <v>46049</v>
      </c>
      <c r="F466" t="s">
        <v>750</v>
      </c>
      <c r="G466" s="8">
        <v>46057</v>
      </c>
      <c r="H466" t="s">
        <v>469</v>
      </c>
      <c r="I466" t="e">
        <f>VLOOKUP(Tabela2[[#This Row],[Coluna7]],[1]!Tabela1[#All],2,0)</f>
        <v>#REF!</v>
      </c>
      <c r="J466" s="3" t="s">
        <v>744</v>
      </c>
      <c r="L466">
        <v>38.200000000000003</v>
      </c>
      <c r="Q466" s="10" t="str">
        <f>Tabela2[[#This Row],[Coluna5]]</f>
        <v>02/2026</v>
      </c>
      <c r="R466" s="10" t="str">
        <f>IF(Tabela2[[#This Row],[Coluna9]]&gt;0,"Entrada","Saída")</f>
        <v>Saída</v>
      </c>
      <c r="S466" s="10" t="str">
        <f>Tabela2[[#This Row],[Coluna8]]</f>
        <v xml:space="preserve">CARTÃO EFÍ </v>
      </c>
      <c r="T466" s="10" t="e">
        <f>Tabela2[[#This Row],[Coluna72]]</f>
        <v>#REF!</v>
      </c>
      <c r="U466" s="10">
        <f>SUM(Tabela2[[#This Row],[Coluna9]],Tabela2[[#This Row],[Coluna10]])</f>
        <v>38.200000000000003</v>
      </c>
      <c r="V466" s="2">
        <f>Tabela2[[#This Row],[Coluna4]]</f>
        <v>46049</v>
      </c>
      <c r="W466" s="2">
        <f>Tabela2[[#This Row],[Coluna6]]</f>
        <v>46057</v>
      </c>
    </row>
    <row r="467" spans="2:23" x14ac:dyDescent="0.2">
      <c r="B467" s="3" t="s">
        <v>18</v>
      </c>
      <c r="C467" t="s">
        <v>95</v>
      </c>
      <c r="D467" t="s">
        <v>13</v>
      </c>
      <c r="E467" s="8">
        <v>46050</v>
      </c>
      <c r="F467" t="s">
        <v>750</v>
      </c>
      <c r="G467" s="8">
        <v>46057</v>
      </c>
      <c r="H467" t="s">
        <v>443</v>
      </c>
      <c r="I467" t="e">
        <f>VLOOKUP(Tabela2[[#This Row],[Coluna7]],[1]!Tabela1[#All],2,0)</f>
        <v>#REF!</v>
      </c>
      <c r="J467" s="3" t="s">
        <v>744</v>
      </c>
      <c r="L467">
        <v>29.06</v>
      </c>
      <c r="Q467" s="10" t="str">
        <f>Tabela2[[#This Row],[Coluna5]]</f>
        <v>02/2026</v>
      </c>
      <c r="R467" s="10" t="str">
        <f>IF(Tabela2[[#This Row],[Coluna9]]&gt;0,"Entrada","Saída")</f>
        <v>Saída</v>
      </c>
      <c r="S467" s="10" t="str">
        <f>Tabela2[[#This Row],[Coluna8]]</f>
        <v xml:space="preserve">CARTÃO EFÍ </v>
      </c>
      <c r="T467" s="10" t="e">
        <f>Tabela2[[#This Row],[Coluna72]]</f>
        <v>#REF!</v>
      </c>
      <c r="U467" s="10">
        <f>SUM(Tabela2[[#This Row],[Coluna9]],Tabela2[[#This Row],[Coluna10]])</f>
        <v>29.06</v>
      </c>
      <c r="V467" s="2">
        <f>Tabela2[[#This Row],[Coluna4]]</f>
        <v>46050</v>
      </c>
      <c r="W467" s="2">
        <f>Tabela2[[#This Row],[Coluna6]]</f>
        <v>46057</v>
      </c>
    </row>
    <row r="468" spans="2:23" x14ac:dyDescent="0.2">
      <c r="B468" s="3" t="s">
        <v>18</v>
      </c>
      <c r="C468" t="s">
        <v>95</v>
      </c>
      <c r="D468" t="s">
        <v>13</v>
      </c>
      <c r="E468" s="8">
        <v>46050</v>
      </c>
      <c r="F468" t="s">
        <v>750</v>
      </c>
      <c r="G468" s="8">
        <v>46057</v>
      </c>
      <c r="H468" t="s">
        <v>570</v>
      </c>
      <c r="I468" t="e">
        <f>VLOOKUP(Tabela2[[#This Row],[Coluna7]],[1]!Tabela1[#All],2,0)</f>
        <v>#REF!</v>
      </c>
      <c r="J468" s="3" t="s">
        <v>744</v>
      </c>
      <c r="L468">
        <v>21.75</v>
      </c>
      <c r="Q468" s="10" t="str">
        <f>Tabela2[[#This Row],[Coluna5]]</f>
        <v>02/2026</v>
      </c>
      <c r="R468" s="10" t="str">
        <f>IF(Tabela2[[#This Row],[Coluna9]]&gt;0,"Entrada","Saída")</f>
        <v>Saída</v>
      </c>
      <c r="S468" s="10" t="str">
        <f>Tabela2[[#This Row],[Coluna8]]</f>
        <v xml:space="preserve">CARTÃO EFÍ </v>
      </c>
      <c r="T468" s="10" t="e">
        <f>Tabela2[[#This Row],[Coluna72]]</f>
        <v>#REF!</v>
      </c>
      <c r="U468" s="10">
        <f>SUM(Tabela2[[#This Row],[Coluna9]],Tabela2[[#This Row],[Coluna10]])</f>
        <v>21.75</v>
      </c>
      <c r="V468" s="2">
        <f>Tabela2[[#This Row],[Coluna4]]</f>
        <v>46050</v>
      </c>
      <c r="W468" s="2">
        <f>Tabela2[[#This Row],[Coluna6]]</f>
        <v>46057</v>
      </c>
    </row>
    <row r="469" spans="2:23" x14ac:dyDescent="0.2">
      <c r="B469" s="3" t="s">
        <v>18</v>
      </c>
      <c r="C469" t="s">
        <v>95</v>
      </c>
      <c r="D469" t="s">
        <v>13</v>
      </c>
      <c r="E469" s="8">
        <v>46051</v>
      </c>
      <c r="F469" t="s">
        <v>750</v>
      </c>
      <c r="G469" s="8">
        <v>46057</v>
      </c>
      <c r="H469" t="s">
        <v>570</v>
      </c>
      <c r="I469" t="e">
        <f>VLOOKUP(Tabela2[[#This Row],[Coluna7]],[1]!Tabela1[#All],2,0)</f>
        <v>#REF!</v>
      </c>
      <c r="J469" s="3" t="s">
        <v>744</v>
      </c>
      <c r="L469">
        <v>49.6</v>
      </c>
      <c r="Q469" s="10" t="str">
        <f>Tabela2[[#This Row],[Coluna5]]</f>
        <v>02/2026</v>
      </c>
      <c r="R469" s="10" t="str">
        <f>IF(Tabela2[[#This Row],[Coluna9]]&gt;0,"Entrada","Saída")</f>
        <v>Saída</v>
      </c>
      <c r="S469" s="10" t="str">
        <f>Tabela2[[#This Row],[Coluna8]]</f>
        <v xml:space="preserve">CARTÃO EFÍ </v>
      </c>
      <c r="T469" s="10" t="e">
        <f>Tabela2[[#This Row],[Coluna72]]</f>
        <v>#REF!</v>
      </c>
      <c r="U469" s="10">
        <f>SUM(Tabela2[[#This Row],[Coluna9]],Tabela2[[#This Row],[Coluna10]])</f>
        <v>49.6</v>
      </c>
      <c r="V469" s="2">
        <f>Tabela2[[#This Row],[Coluna4]]</f>
        <v>46051</v>
      </c>
      <c r="W469" s="2">
        <f>Tabela2[[#This Row],[Coluna6]]</f>
        <v>46057</v>
      </c>
    </row>
    <row r="470" spans="2:23" x14ac:dyDescent="0.2">
      <c r="B470" s="3" t="s">
        <v>18</v>
      </c>
      <c r="C470" t="s">
        <v>95</v>
      </c>
      <c r="D470" t="s">
        <v>13</v>
      </c>
      <c r="E470" s="8">
        <v>46051</v>
      </c>
      <c r="F470" t="s">
        <v>750</v>
      </c>
      <c r="G470" s="8">
        <v>46057</v>
      </c>
      <c r="H470" t="s">
        <v>570</v>
      </c>
      <c r="I470" t="e">
        <f>VLOOKUP(Tabela2[[#This Row],[Coluna7]],[1]!Tabela1[#All],2,0)</f>
        <v>#REF!</v>
      </c>
      <c r="J470" s="3" t="s">
        <v>744</v>
      </c>
      <c r="L470">
        <v>2.95</v>
      </c>
      <c r="Q470" s="10" t="str">
        <f>Tabela2[[#This Row],[Coluna5]]</f>
        <v>02/2026</v>
      </c>
      <c r="R470" s="10" t="str">
        <f>IF(Tabela2[[#This Row],[Coluna9]]&gt;0,"Entrada","Saída")</f>
        <v>Saída</v>
      </c>
      <c r="S470" s="10" t="str">
        <f>Tabela2[[#This Row],[Coluna8]]</f>
        <v xml:space="preserve">CARTÃO EFÍ </v>
      </c>
      <c r="T470" s="10" t="e">
        <f>Tabela2[[#This Row],[Coluna72]]</f>
        <v>#REF!</v>
      </c>
      <c r="U470" s="10">
        <f>SUM(Tabela2[[#This Row],[Coluna9]],Tabela2[[#This Row],[Coluna10]])</f>
        <v>2.95</v>
      </c>
      <c r="V470" s="2">
        <f>Tabela2[[#This Row],[Coluna4]]</f>
        <v>46051</v>
      </c>
      <c r="W470" s="2">
        <f>Tabela2[[#This Row],[Coluna6]]</f>
        <v>46057</v>
      </c>
    </row>
    <row r="471" spans="2:23" x14ac:dyDescent="0.2">
      <c r="B471" s="3" t="s">
        <v>18</v>
      </c>
      <c r="C471" t="s">
        <v>95</v>
      </c>
      <c r="D471" t="s">
        <v>13</v>
      </c>
      <c r="E471" s="8">
        <v>46051</v>
      </c>
      <c r="F471" t="s">
        <v>750</v>
      </c>
      <c r="G471" s="8">
        <v>46057</v>
      </c>
      <c r="H471" t="s">
        <v>570</v>
      </c>
      <c r="I471" t="e">
        <f>VLOOKUP(Tabela2[[#This Row],[Coluna7]],[1]!Tabela1[#All],2,0)</f>
        <v>#REF!</v>
      </c>
      <c r="J471" s="3" t="s">
        <v>744</v>
      </c>
      <c r="L471">
        <v>43</v>
      </c>
      <c r="Q471" s="10" t="str">
        <f>Tabela2[[#This Row],[Coluna5]]</f>
        <v>02/2026</v>
      </c>
      <c r="R471" s="10" t="str">
        <f>IF(Tabela2[[#This Row],[Coluna9]]&gt;0,"Entrada","Saída")</f>
        <v>Saída</v>
      </c>
      <c r="S471" s="10" t="str">
        <f>Tabela2[[#This Row],[Coluna8]]</f>
        <v xml:space="preserve">CARTÃO EFÍ </v>
      </c>
      <c r="T471" s="10" t="e">
        <f>Tabela2[[#This Row],[Coluna72]]</f>
        <v>#REF!</v>
      </c>
      <c r="U471" s="10">
        <f>SUM(Tabela2[[#This Row],[Coluna9]],Tabela2[[#This Row],[Coluna10]])</f>
        <v>43</v>
      </c>
      <c r="V471" s="2">
        <f>Tabela2[[#This Row],[Coluna4]]</f>
        <v>46051</v>
      </c>
      <c r="W471" s="2">
        <f>Tabela2[[#This Row],[Coluna6]]</f>
        <v>46057</v>
      </c>
    </row>
    <row r="472" spans="2:23" x14ac:dyDescent="0.2">
      <c r="B472" s="3" t="s">
        <v>18</v>
      </c>
      <c r="C472" t="s">
        <v>95</v>
      </c>
      <c r="D472" t="s">
        <v>13</v>
      </c>
      <c r="E472" s="8">
        <v>46052</v>
      </c>
      <c r="F472" t="s">
        <v>750</v>
      </c>
      <c r="G472" s="8">
        <v>46057</v>
      </c>
      <c r="H472" t="s">
        <v>570</v>
      </c>
      <c r="I472" t="e">
        <f>VLOOKUP(Tabela2[[#This Row],[Coluna7]],[1]!Tabela1[#All],2,0)</f>
        <v>#REF!</v>
      </c>
      <c r="J472" s="3" t="s">
        <v>744</v>
      </c>
      <c r="L472">
        <v>55</v>
      </c>
      <c r="Q472" s="10" t="str">
        <f>Tabela2[[#This Row],[Coluna5]]</f>
        <v>02/2026</v>
      </c>
      <c r="R472" s="10" t="str">
        <f>IF(Tabela2[[#This Row],[Coluna9]]&gt;0,"Entrada","Saída")</f>
        <v>Saída</v>
      </c>
      <c r="S472" s="10" t="str">
        <f>Tabela2[[#This Row],[Coluna8]]</f>
        <v xml:space="preserve">CARTÃO EFÍ </v>
      </c>
      <c r="T472" s="10" t="e">
        <f>Tabela2[[#This Row],[Coluna72]]</f>
        <v>#REF!</v>
      </c>
      <c r="U472" s="10">
        <f>SUM(Tabela2[[#This Row],[Coluna9]],Tabela2[[#This Row],[Coluna10]])</f>
        <v>55</v>
      </c>
      <c r="V472" s="2">
        <f>Tabela2[[#This Row],[Coluna4]]</f>
        <v>46052</v>
      </c>
      <c r="W472" s="2">
        <f>Tabela2[[#This Row],[Coluna6]]</f>
        <v>46057</v>
      </c>
    </row>
    <row r="473" spans="2:23" x14ac:dyDescent="0.2">
      <c r="B473" s="3" t="s">
        <v>18</v>
      </c>
      <c r="C473" t="s">
        <v>95</v>
      </c>
      <c r="D473" t="s">
        <v>13</v>
      </c>
      <c r="E473" s="8">
        <v>46053</v>
      </c>
      <c r="F473" t="s">
        <v>750</v>
      </c>
      <c r="G473" s="8">
        <v>46057</v>
      </c>
      <c r="H473" t="s">
        <v>443</v>
      </c>
      <c r="I473" t="e">
        <f>VLOOKUP(Tabela2[[#This Row],[Coluna7]],[1]!Tabela1[#All],2,0)</f>
        <v>#REF!</v>
      </c>
      <c r="J473" s="3" t="s">
        <v>744</v>
      </c>
      <c r="L473">
        <v>15.59</v>
      </c>
      <c r="Q473" s="10" t="str">
        <f>Tabela2[[#This Row],[Coluna5]]</f>
        <v>02/2026</v>
      </c>
      <c r="R473" s="10" t="str">
        <f>IF(Tabela2[[#This Row],[Coluna9]]&gt;0,"Entrada","Saída")</f>
        <v>Saída</v>
      </c>
      <c r="S473" s="10" t="str">
        <f>Tabela2[[#This Row],[Coluna8]]</f>
        <v xml:space="preserve">CARTÃO EFÍ </v>
      </c>
      <c r="T473" s="10" t="e">
        <f>Tabela2[[#This Row],[Coluna72]]</f>
        <v>#REF!</v>
      </c>
      <c r="U473" s="10">
        <f>SUM(Tabela2[[#This Row],[Coluna9]],Tabela2[[#This Row],[Coluna10]])</f>
        <v>15.59</v>
      </c>
      <c r="V473" s="2">
        <f>Tabela2[[#This Row],[Coluna4]]</f>
        <v>46053</v>
      </c>
      <c r="W473" s="2">
        <f>Tabela2[[#This Row],[Coluna6]]</f>
        <v>46057</v>
      </c>
    </row>
    <row r="474" spans="2:23" x14ac:dyDescent="0.2">
      <c r="B474" s="3" t="s">
        <v>18</v>
      </c>
      <c r="C474" t="s">
        <v>95</v>
      </c>
      <c r="D474" t="s">
        <v>13</v>
      </c>
      <c r="E474" s="8">
        <v>46053</v>
      </c>
      <c r="F474" t="s">
        <v>750</v>
      </c>
      <c r="G474" s="8">
        <v>46057</v>
      </c>
      <c r="H474" t="s">
        <v>570</v>
      </c>
      <c r="I474" t="e">
        <f>VLOOKUP(Tabela2[[#This Row],[Coluna7]],[1]!Tabela1[#All],2,0)</f>
        <v>#REF!</v>
      </c>
      <c r="J474" s="3" t="s">
        <v>744</v>
      </c>
      <c r="L474">
        <v>377.23</v>
      </c>
      <c r="Q474" s="10" t="str">
        <f>Tabela2[[#This Row],[Coluna5]]</f>
        <v>02/2026</v>
      </c>
      <c r="R474" s="10" t="str">
        <f>IF(Tabela2[[#This Row],[Coluna9]]&gt;0,"Entrada","Saída")</f>
        <v>Saída</v>
      </c>
      <c r="S474" s="10" t="str">
        <f>Tabela2[[#This Row],[Coluna8]]</f>
        <v xml:space="preserve">CARTÃO EFÍ </v>
      </c>
      <c r="T474" s="10" t="e">
        <f>Tabela2[[#This Row],[Coluna72]]</f>
        <v>#REF!</v>
      </c>
      <c r="U474" s="10">
        <f>SUM(Tabela2[[#This Row],[Coluna9]],Tabela2[[#This Row],[Coluna10]])</f>
        <v>377.23</v>
      </c>
      <c r="V474" s="2">
        <f>Tabela2[[#This Row],[Coluna4]]</f>
        <v>46053</v>
      </c>
      <c r="W474" s="2">
        <f>Tabela2[[#This Row],[Coluna6]]</f>
        <v>46057</v>
      </c>
    </row>
    <row r="475" spans="2:23" x14ac:dyDescent="0.2">
      <c r="B475" s="3" t="s">
        <v>18</v>
      </c>
      <c r="C475" t="s">
        <v>95</v>
      </c>
      <c r="D475" t="s">
        <v>13</v>
      </c>
      <c r="E475" s="8">
        <v>46055</v>
      </c>
      <c r="F475" t="s">
        <v>750</v>
      </c>
      <c r="G475" s="8">
        <v>46057</v>
      </c>
      <c r="H475" t="s">
        <v>570</v>
      </c>
      <c r="I475" t="e">
        <f>VLOOKUP(Tabela2[[#This Row],[Coluna7]],[1]!Tabela1[#All],2,0)</f>
        <v>#REF!</v>
      </c>
      <c r="J475" s="3" t="s">
        <v>744</v>
      </c>
      <c r="L475">
        <v>33.82</v>
      </c>
      <c r="Q475" s="10" t="str">
        <f>Tabela2[[#This Row],[Coluna5]]</f>
        <v>02/2026</v>
      </c>
      <c r="R475" s="10" t="str">
        <f>IF(Tabela2[[#This Row],[Coluna9]]&gt;0,"Entrada","Saída")</f>
        <v>Saída</v>
      </c>
      <c r="S475" s="10" t="str">
        <f>Tabela2[[#This Row],[Coluna8]]</f>
        <v xml:space="preserve">CARTÃO EFÍ </v>
      </c>
      <c r="T475" s="10" t="e">
        <f>Tabela2[[#This Row],[Coluna72]]</f>
        <v>#REF!</v>
      </c>
      <c r="U475" s="10">
        <f>SUM(Tabela2[[#This Row],[Coluna9]],Tabela2[[#This Row],[Coluna10]])</f>
        <v>33.82</v>
      </c>
      <c r="V475" s="2">
        <f>Tabela2[[#This Row],[Coluna4]]</f>
        <v>46055</v>
      </c>
      <c r="W475" s="2">
        <f>Tabela2[[#This Row],[Coluna6]]</f>
        <v>46057</v>
      </c>
    </row>
    <row r="476" spans="2:23" x14ac:dyDescent="0.2">
      <c r="B476" s="3" t="s">
        <v>18</v>
      </c>
      <c r="C476" t="s">
        <v>95</v>
      </c>
      <c r="D476" t="s">
        <v>13</v>
      </c>
      <c r="E476" s="8">
        <v>46055</v>
      </c>
      <c r="F476" t="s">
        <v>750</v>
      </c>
      <c r="G476" s="8">
        <v>46057</v>
      </c>
      <c r="H476" t="s">
        <v>570</v>
      </c>
      <c r="I476" t="e">
        <f>VLOOKUP(Tabela2[[#This Row],[Coluna7]],[1]!Tabela1[#All],2,0)</f>
        <v>#REF!</v>
      </c>
      <c r="J476" s="3" t="s">
        <v>744</v>
      </c>
      <c r="L476">
        <v>3.5</v>
      </c>
      <c r="Q476" s="10" t="str">
        <f>Tabela2[[#This Row],[Coluna5]]</f>
        <v>02/2026</v>
      </c>
      <c r="R476" s="10" t="str">
        <f>IF(Tabela2[[#This Row],[Coluna9]]&gt;0,"Entrada","Saída")</f>
        <v>Saída</v>
      </c>
      <c r="S476" s="10" t="str">
        <f>Tabela2[[#This Row],[Coluna8]]</f>
        <v xml:space="preserve">CARTÃO EFÍ </v>
      </c>
      <c r="T476" s="10" t="e">
        <f>Tabela2[[#This Row],[Coluna72]]</f>
        <v>#REF!</v>
      </c>
      <c r="U476" s="10">
        <f>SUM(Tabela2[[#This Row],[Coluna9]],Tabela2[[#This Row],[Coluna10]])</f>
        <v>3.5</v>
      </c>
      <c r="V476" s="2">
        <f>Tabela2[[#This Row],[Coluna4]]</f>
        <v>46055</v>
      </c>
      <c r="W476" s="2">
        <f>Tabela2[[#This Row],[Coluna6]]</f>
        <v>46057</v>
      </c>
    </row>
    <row r="477" spans="2:23" x14ac:dyDescent="0.2">
      <c r="B477" s="3" t="s">
        <v>27</v>
      </c>
      <c r="C477" t="s">
        <v>95</v>
      </c>
      <c r="D477" t="s">
        <v>13</v>
      </c>
      <c r="E477" s="8">
        <v>45930</v>
      </c>
      <c r="F477" t="s">
        <v>750</v>
      </c>
      <c r="G477" s="8">
        <v>46059</v>
      </c>
      <c r="H477" t="s">
        <v>570</v>
      </c>
      <c r="I477" t="e">
        <f>VLOOKUP(Tabela2[[#This Row],[Coluna7]],[1]!Tabela1[#All],2,0)</f>
        <v>#REF!</v>
      </c>
      <c r="J477" s="3" t="s">
        <v>737</v>
      </c>
      <c r="L477">
        <v>127.85</v>
      </c>
      <c r="Q477" s="10" t="str">
        <f>Tabela2[[#This Row],[Coluna5]]</f>
        <v>02/2026</v>
      </c>
      <c r="R477" s="10" t="str">
        <f>IF(Tabela2[[#This Row],[Coluna9]]&gt;0,"Entrada","Saída")</f>
        <v>Saída</v>
      </c>
      <c r="S477" s="10" t="str">
        <f>Tabela2[[#This Row],[Coluna8]]</f>
        <v>CARTÃO SANTANDER</v>
      </c>
      <c r="T477" s="10" t="e">
        <f>Tabela2[[#This Row],[Coluna72]]</f>
        <v>#REF!</v>
      </c>
      <c r="U477" s="10">
        <f>SUM(Tabela2[[#This Row],[Coluna9]],Tabela2[[#This Row],[Coluna10]])</f>
        <v>127.85</v>
      </c>
      <c r="V477" s="2">
        <f>Tabela2[[#This Row],[Coluna4]]</f>
        <v>45930</v>
      </c>
      <c r="W477" s="2">
        <f>Tabela2[[#This Row],[Coluna6]]</f>
        <v>46059</v>
      </c>
    </row>
    <row r="478" spans="2:23" x14ac:dyDescent="0.2">
      <c r="B478" s="3" t="s">
        <v>27</v>
      </c>
      <c r="C478" t="s">
        <v>95</v>
      </c>
      <c r="D478" t="s">
        <v>13</v>
      </c>
      <c r="E478" s="8">
        <v>45930</v>
      </c>
      <c r="F478" t="s">
        <v>750</v>
      </c>
      <c r="G478" s="8">
        <v>46059</v>
      </c>
      <c r="H478" t="s">
        <v>458</v>
      </c>
      <c r="I478" t="e">
        <f>VLOOKUP(Tabela2[[#This Row],[Coluna7]],[1]!Tabela1[#All],2,0)</f>
        <v>#REF!</v>
      </c>
      <c r="J478" s="3" t="s">
        <v>737</v>
      </c>
      <c r="L478">
        <v>110</v>
      </c>
      <c r="Q478" s="10" t="str">
        <f>Tabela2[[#This Row],[Coluna5]]</f>
        <v>02/2026</v>
      </c>
      <c r="R478" s="10" t="str">
        <f>IF(Tabela2[[#This Row],[Coluna9]]&gt;0,"Entrada","Saída")</f>
        <v>Saída</v>
      </c>
      <c r="S478" s="10" t="str">
        <f>Tabela2[[#This Row],[Coluna8]]</f>
        <v>CARTÃO SANTANDER</v>
      </c>
      <c r="T478" s="10" t="e">
        <f>Tabela2[[#This Row],[Coluna72]]</f>
        <v>#REF!</v>
      </c>
      <c r="U478" s="10">
        <f>SUM(Tabela2[[#This Row],[Coluna9]],Tabela2[[#This Row],[Coluna10]])</f>
        <v>110</v>
      </c>
      <c r="V478" s="2">
        <f>Tabela2[[#This Row],[Coluna4]]</f>
        <v>45930</v>
      </c>
      <c r="W478" s="2">
        <f>Tabela2[[#This Row],[Coluna6]]</f>
        <v>46059</v>
      </c>
    </row>
    <row r="479" spans="2:23" x14ac:dyDescent="0.2">
      <c r="B479" s="3" t="s">
        <v>27</v>
      </c>
      <c r="C479" t="s">
        <v>95</v>
      </c>
      <c r="D479" t="s">
        <v>13</v>
      </c>
      <c r="E479" s="8">
        <v>45930</v>
      </c>
      <c r="F479" t="s">
        <v>750</v>
      </c>
      <c r="G479" s="8">
        <v>46059</v>
      </c>
      <c r="H479" t="s">
        <v>458</v>
      </c>
      <c r="I479" t="e">
        <f>VLOOKUP(Tabela2[[#This Row],[Coluna7]],[1]!Tabela1[#All],2,0)</f>
        <v>#REF!</v>
      </c>
      <c r="J479" s="3" t="s">
        <v>737</v>
      </c>
      <c r="L479">
        <v>200</v>
      </c>
      <c r="Q479" s="10" t="str">
        <f>Tabela2[[#This Row],[Coluna5]]</f>
        <v>02/2026</v>
      </c>
      <c r="R479" s="10" t="str">
        <f>IF(Tabela2[[#This Row],[Coluna9]]&gt;0,"Entrada","Saída")</f>
        <v>Saída</v>
      </c>
      <c r="S479" s="10" t="str">
        <f>Tabela2[[#This Row],[Coluna8]]</f>
        <v>CARTÃO SANTANDER</v>
      </c>
      <c r="T479" s="10" t="e">
        <f>Tabela2[[#This Row],[Coluna72]]</f>
        <v>#REF!</v>
      </c>
      <c r="U479" s="10">
        <f>SUM(Tabela2[[#This Row],[Coluna9]],Tabela2[[#This Row],[Coluna10]])</f>
        <v>200</v>
      </c>
      <c r="V479" s="2">
        <f>Tabela2[[#This Row],[Coluna4]]</f>
        <v>45930</v>
      </c>
      <c r="W479" s="2">
        <f>Tabela2[[#This Row],[Coluna6]]</f>
        <v>46059</v>
      </c>
    </row>
    <row r="480" spans="2:23" x14ac:dyDescent="0.2">
      <c r="B480" s="3" t="s">
        <v>27</v>
      </c>
      <c r="C480" t="s">
        <v>95</v>
      </c>
      <c r="D480" t="s">
        <v>13</v>
      </c>
      <c r="E480" s="8">
        <v>45930</v>
      </c>
      <c r="F480" t="s">
        <v>750</v>
      </c>
      <c r="G480" s="8">
        <v>46059</v>
      </c>
      <c r="H480" t="s">
        <v>458</v>
      </c>
      <c r="I480" t="e">
        <f>VLOOKUP(Tabela2[[#This Row],[Coluna7]],[1]!Tabela1[#All],2,0)</f>
        <v>#REF!</v>
      </c>
      <c r="J480" s="3" t="s">
        <v>737</v>
      </c>
      <c r="L480">
        <v>329.03</v>
      </c>
      <c r="Q480" s="10" t="str">
        <f>Tabela2[[#This Row],[Coluna5]]</f>
        <v>02/2026</v>
      </c>
      <c r="R480" s="10" t="str">
        <f>IF(Tabela2[[#This Row],[Coluna9]]&gt;0,"Entrada","Saída")</f>
        <v>Saída</v>
      </c>
      <c r="S480" s="10" t="str">
        <f>Tabela2[[#This Row],[Coluna8]]</f>
        <v>CARTÃO SANTANDER</v>
      </c>
      <c r="T480" s="10" t="e">
        <f>Tabela2[[#This Row],[Coluna72]]</f>
        <v>#REF!</v>
      </c>
      <c r="U480" s="10">
        <f>SUM(Tabela2[[#This Row],[Coluna9]],Tabela2[[#This Row],[Coluna10]])</f>
        <v>329.03</v>
      </c>
      <c r="V480" s="2">
        <f>Tabela2[[#This Row],[Coluna4]]</f>
        <v>45930</v>
      </c>
      <c r="W480" s="2">
        <f>Tabela2[[#This Row],[Coluna6]]</f>
        <v>46059</v>
      </c>
    </row>
    <row r="481" spans="2:23" x14ac:dyDescent="0.2">
      <c r="B481" s="3" t="s">
        <v>27</v>
      </c>
      <c r="C481" t="s">
        <v>95</v>
      </c>
      <c r="D481" t="s">
        <v>13</v>
      </c>
      <c r="E481" s="8">
        <v>45930</v>
      </c>
      <c r="F481" t="s">
        <v>750</v>
      </c>
      <c r="G481" s="8">
        <v>46059</v>
      </c>
      <c r="H481" t="s">
        <v>693</v>
      </c>
      <c r="I481" t="e">
        <f>VLOOKUP(Tabela2[[#This Row],[Coluna7]],[1]!Tabela1[#All],2,0)</f>
        <v>#REF!</v>
      </c>
      <c r="J481" s="3" t="s">
        <v>737</v>
      </c>
      <c r="L481">
        <v>39</v>
      </c>
      <c r="Q481" s="10" t="str">
        <f>Tabela2[[#This Row],[Coluna5]]</f>
        <v>02/2026</v>
      </c>
      <c r="R481" s="10" t="str">
        <f>IF(Tabela2[[#This Row],[Coluna9]]&gt;0,"Entrada","Saída")</f>
        <v>Saída</v>
      </c>
      <c r="S481" s="10" t="str">
        <f>Tabela2[[#This Row],[Coluna8]]</f>
        <v>CARTÃO SANTANDER</v>
      </c>
      <c r="T481" s="10" t="e">
        <f>Tabela2[[#This Row],[Coluna72]]</f>
        <v>#REF!</v>
      </c>
      <c r="U481" s="10">
        <f>SUM(Tabela2[[#This Row],[Coluna9]],Tabela2[[#This Row],[Coluna10]])</f>
        <v>39</v>
      </c>
      <c r="V481" s="2">
        <f>Tabela2[[#This Row],[Coluna4]]</f>
        <v>45930</v>
      </c>
      <c r="W481" s="2">
        <f>Tabela2[[#This Row],[Coluna6]]</f>
        <v>46059</v>
      </c>
    </row>
    <row r="482" spans="2:23" x14ac:dyDescent="0.2">
      <c r="B482" s="3" t="s">
        <v>27</v>
      </c>
      <c r="C482" t="s">
        <v>95</v>
      </c>
      <c r="D482" t="s">
        <v>13</v>
      </c>
      <c r="E482" s="8">
        <v>45930</v>
      </c>
      <c r="F482" t="s">
        <v>750</v>
      </c>
      <c r="G482" s="8">
        <v>46059</v>
      </c>
      <c r="H482" t="s">
        <v>435</v>
      </c>
      <c r="I482" t="e">
        <f>VLOOKUP(Tabela2[[#This Row],[Coluna7]],[1]!Tabela1[#All],2,0)</f>
        <v>#REF!</v>
      </c>
      <c r="J482" s="3" t="s">
        <v>737</v>
      </c>
      <c r="L482">
        <v>66.400000000000006</v>
      </c>
      <c r="Q482" s="10" t="str">
        <f>Tabela2[[#This Row],[Coluna5]]</f>
        <v>02/2026</v>
      </c>
      <c r="R482" s="10" t="str">
        <f>IF(Tabela2[[#This Row],[Coluna9]]&gt;0,"Entrada","Saída")</f>
        <v>Saída</v>
      </c>
      <c r="S482" s="10" t="str">
        <f>Tabela2[[#This Row],[Coluna8]]</f>
        <v>CARTÃO SANTANDER</v>
      </c>
      <c r="T482" s="10" t="e">
        <f>Tabela2[[#This Row],[Coluna72]]</f>
        <v>#REF!</v>
      </c>
      <c r="U482" s="10">
        <f>SUM(Tabela2[[#This Row],[Coluna9]],Tabela2[[#This Row],[Coluna10]])</f>
        <v>66.400000000000006</v>
      </c>
      <c r="V482" s="2">
        <f>Tabela2[[#This Row],[Coluna4]]</f>
        <v>45930</v>
      </c>
      <c r="W482" s="2">
        <f>Tabela2[[#This Row],[Coluna6]]</f>
        <v>46059</v>
      </c>
    </row>
    <row r="483" spans="2:23" x14ac:dyDescent="0.2">
      <c r="B483" s="3" t="s">
        <v>27</v>
      </c>
      <c r="C483" t="s">
        <v>95</v>
      </c>
      <c r="D483" t="s">
        <v>13</v>
      </c>
      <c r="E483" s="8">
        <v>45930</v>
      </c>
      <c r="F483" t="s">
        <v>750</v>
      </c>
      <c r="G483" s="8">
        <v>46059</v>
      </c>
      <c r="H483" t="s">
        <v>528</v>
      </c>
      <c r="I483" t="e">
        <f>VLOOKUP(Tabela2[[#This Row],[Coluna7]],[1]!Tabela1[#All],2,0)</f>
        <v>#REF!</v>
      </c>
      <c r="J483" s="3" t="s">
        <v>737</v>
      </c>
      <c r="L483">
        <v>80.91</v>
      </c>
      <c r="Q483" s="10" t="str">
        <f>Tabela2[[#This Row],[Coluna5]]</f>
        <v>02/2026</v>
      </c>
      <c r="R483" s="10" t="str">
        <f>IF(Tabela2[[#This Row],[Coluna9]]&gt;0,"Entrada","Saída")</f>
        <v>Saída</v>
      </c>
      <c r="S483" s="10" t="str">
        <f>Tabela2[[#This Row],[Coluna8]]</f>
        <v>CARTÃO SANTANDER</v>
      </c>
      <c r="T483" s="10" t="e">
        <f>Tabela2[[#This Row],[Coluna72]]</f>
        <v>#REF!</v>
      </c>
      <c r="U483" s="10">
        <f>SUM(Tabela2[[#This Row],[Coluna9]],Tabela2[[#This Row],[Coluna10]])</f>
        <v>80.91</v>
      </c>
      <c r="V483" s="2">
        <f>Tabela2[[#This Row],[Coluna4]]</f>
        <v>45930</v>
      </c>
      <c r="W483" s="2">
        <f>Tabela2[[#This Row],[Coluna6]]</f>
        <v>46059</v>
      </c>
    </row>
    <row r="484" spans="2:23" x14ac:dyDescent="0.2">
      <c r="B484" s="3" t="s">
        <v>27</v>
      </c>
      <c r="C484" t="s">
        <v>95</v>
      </c>
      <c r="D484" t="s">
        <v>13</v>
      </c>
      <c r="E484" s="8">
        <v>45930</v>
      </c>
      <c r="F484" t="s">
        <v>750</v>
      </c>
      <c r="G484" s="8">
        <v>46059</v>
      </c>
      <c r="H484" t="s">
        <v>458</v>
      </c>
      <c r="I484" t="e">
        <f>VLOOKUP(Tabela2[[#This Row],[Coluna7]],[1]!Tabela1[#All],2,0)</f>
        <v>#REF!</v>
      </c>
      <c r="J484" s="3" t="s">
        <v>737</v>
      </c>
      <c r="L484">
        <v>263.01</v>
      </c>
      <c r="Q484" s="10" t="str">
        <f>Tabela2[[#This Row],[Coluna5]]</f>
        <v>02/2026</v>
      </c>
      <c r="R484" s="10" t="str">
        <f>IF(Tabela2[[#This Row],[Coluna9]]&gt;0,"Entrada","Saída")</f>
        <v>Saída</v>
      </c>
      <c r="S484" s="10" t="str">
        <f>Tabela2[[#This Row],[Coluna8]]</f>
        <v>CARTÃO SANTANDER</v>
      </c>
      <c r="T484" s="10" t="e">
        <f>Tabela2[[#This Row],[Coluna72]]</f>
        <v>#REF!</v>
      </c>
      <c r="U484" s="10">
        <f>SUM(Tabela2[[#This Row],[Coluna9]],Tabela2[[#This Row],[Coluna10]])</f>
        <v>263.01</v>
      </c>
      <c r="V484" s="2">
        <f>Tabela2[[#This Row],[Coluna4]]</f>
        <v>45930</v>
      </c>
      <c r="W484" s="2">
        <f>Tabela2[[#This Row],[Coluna6]]</f>
        <v>46059</v>
      </c>
    </row>
    <row r="485" spans="2:23" x14ac:dyDescent="0.2">
      <c r="B485" s="3" t="s">
        <v>27</v>
      </c>
      <c r="C485" t="s">
        <v>95</v>
      </c>
      <c r="D485" t="s">
        <v>13</v>
      </c>
      <c r="E485" s="8">
        <v>45930</v>
      </c>
      <c r="F485" t="s">
        <v>750</v>
      </c>
      <c r="G485" s="8">
        <v>46059</v>
      </c>
      <c r="H485" t="s">
        <v>469</v>
      </c>
      <c r="I485" t="e">
        <f>VLOOKUP(Tabela2[[#This Row],[Coluna7]],[1]!Tabela1[#All],2,0)</f>
        <v>#REF!</v>
      </c>
      <c r="J485" s="3" t="s">
        <v>737</v>
      </c>
      <c r="L485">
        <v>53.7</v>
      </c>
      <c r="Q485" s="10" t="str">
        <f>Tabela2[[#This Row],[Coluna5]]</f>
        <v>02/2026</v>
      </c>
      <c r="R485" s="10" t="str">
        <f>IF(Tabela2[[#This Row],[Coluna9]]&gt;0,"Entrada","Saída")</f>
        <v>Saída</v>
      </c>
      <c r="S485" s="10" t="str">
        <f>Tabela2[[#This Row],[Coluna8]]</f>
        <v>CARTÃO SANTANDER</v>
      </c>
      <c r="T485" s="10" t="e">
        <f>Tabela2[[#This Row],[Coluna72]]</f>
        <v>#REF!</v>
      </c>
      <c r="U485" s="10">
        <f>SUM(Tabela2[[#This Row],[Coluna9]],Tabela2[[#This Row],[Coluna10]])</f>
        <v>53.7</v>
      </c>
      <c r="V485" s="2">
        <f>Tabela2[[#This Row],[Coluna4]]</f>
        <v>45930</v>
      </c>
      <c r="W485" s="2">
        <f>Tabela2[[#This Row],[Coluna6]]</f>
        <v>46059</v>
      </c>
    </row>
    <row r="486" spans="2:23" x14ac:dyDescent="0.2">
      <c r="B486" s="3" t="s">
        <v>27</v>
      </c>
      <c r="C486" t="s">
        <v>95</v>
      </c>
      <c r="D486" t="s">
        <v>13</v>
      </c>
      <c r="E486" s="8">
        <v>45930</v>
      </c>
      <c r="F486" t="s">
        <v>750</v>
      </c>
      <c r="G486" s="8">
        <v>46059</v>
      </c>
      <c r="H486" t="s">
        <v>435</v>
      </c>
      <c r="I486" t="e">
        <f>VLOOKUP(Tabela2[[#This Row],[Coluna7]],[1]!Tabela1[#All],2,0)</f>
        <v>#REF!</v>
      </c>
      <c r="J486" s="3" t="s">
        <v>737</v>
      </c>
      <c r="L486">
        <v>40.28</v>
      </c>
      <c r="Q486" s="10" t="str">
        <f>Tabela2[[#This Row],[Coluna5]]</f>
        <v>02/2026</v>
      </c>
      <c r="R486" s="10" t="str">
        <f>IF(Tabela2[[#This Row],[Coluna9]]&gt;0,"Entrada","Saída")</f>
        <v>Saída</v>
      </c>
      <c r="S486" s="10" t="str">
        <f>Tabela2[[#This Row],[Coluna8]]</f>
        <v>CARTÃO SANTANDER</v>
      </c>
      <c r="T486" s="10" t="e">
        <f>Tabela2[[#This Row],[Coluna72]]</f>
        <v>#REF!</v>
      </c>
      <c r="U486" s="10">
        <f>SUM(Tabela2[[#This Row],[Coluna9]],Tabela2[[#This Row],[Coluna10]])</f>
        <v>40.28</v>
      </c>
      <c r="V486" s="2">
        <f>Tabela2[[#This Row],[Coluna4]]</f>
        <v>45930</v>
      </c>
      <c r="W486" s="2">
        <f>Tabela2[[#This Row],[Coluna6]]</f>
        <v>46059</v>
      </c>
    </row>
    <row r="487" spans="2:23" x14ac:dyDescent="0.2">
      <c r="B487" s="3" t="s">
        <v>27</v>
      </c>
      <c r="C487" t="s">
        <v>95</v>
      </c>
      <c r="D487" t="s">
        <v>13</v>
      </c>
      <c r="E487" s="8">
        <v>45934</v>
      </c>
      <c r="F487" t="s">
        <v>750</v>
      </c>
      <c r="G487" s="8">
        <v>46059</v>
      </c>
      <c r="H487" t="s">
        <v>458</v>
      </c>
      <c r="I487" t="e">
        <f>VLOOKUP(Tabela2[[#This Row],[Coluna7]],[1]!Tabela1[#All],2,0)</f>
        <v>#REF!</v>
      </c>
      <c r="J487" s="3" t="s">
        <v>737</v>
      </c>
      <c r="L487">
        <v>617.5</v>
      </c>
      <c r="Q487" s="10" t="str">
        <f>Tabela2[[#This Row],[Coluna5]]</f>
        <v>02/2026</v>
      </c>
      <c r="R487" s="10" t="str">
        <f>IF(Tabela2[[#This Row],[Coluna9]]&gt;0,"Entrada","Saída")</f>
        <v>Saída</v>
      </c>
      <c r="S487" s="10" t="str">
        <f>Tabela2[[#This Row],[Coluna8]]</f>
        <v>CARTÃO SANTANDER</v>
      </c>
      <c r="T487" s="10" t="e">
        <f>Tabela2[[#This Row],[Coluna72]]</f>
        <v>#REF!</v>
      </c>
      <c r="U487" s="10">
        <f>SUM(Tabela2[[#This Row],[Coluna9]],Tabela2[[#This Row],[Coluna10]])</f>
        <v>617.5</v>
      </c>
      <c r="V487" s="2">
        <f>Tabela2[[#This Row],[Coluna4]]</f>
        <v>45934</v>
      </c>
      <c r="W487" s="2">
        <f>Tabela2[[#This Row],[Coluna6]]</f>
        <v>46059</v>
      </c>
    </row>
    <row r="488" spans="2:23" x14ac:dyDescent="0.2">
      <c r="B488" s="3" t="s">
        <v>27</v>
      </c>
      <c r="C488" t="s">
        <v>95</v>
      </c>
      <c r="D488" t="s">
        <v>13</v>
      </c>
      <c r="E488" s="8">
        <v>45945</v>
      </c>
      <c r="F488" t="s">
        <v>750</v>
      </c>
      <c r="G488" s="8">
        <v>46059</v>
      </c>
      <c r="H488" t="s">
        <v>458</v>
      </c>
      <c r="I488" t="e">
        <f>VLOOKUP(Tabela2[[#This Row],[Coluna7]],[1]!Tabela1[#All],2,0)</f>
        <v>#REF!</v>
      </c>
      <c r="J488" s="3" t="s">
        <v>737</v>
      </c>
      <c r="L488">
        <v>71</v>
      </c>
      <c r="Q488" s="10" t="str">
        <f>Tabela2[[#This Row],[Coluna5]]</f>
        <v>02/2026</v>
      </c>
      <c r="R488" s="10" t="str">
        <f>IF(Tabela2[[#This Row],[Coluna9]]&gt;0,"Entrada","Saída")</f>
        <v>Saída</v>
      </c>
      <c r="S488" s="10" t="str">
        <f>Tabela2[[#This Row],[Coluna8]]</f>
        <v>CARTÃO SANTANDER</v>
      </c>
      <c r="T488" s="10" t="e">
        <f>Tabela2[[#This Row],[Coluna72]]</f>
        <v>#REF!</v>
      </c>
      <c r="U488" s="10">
        <f>SUM(Tabela2[[#This Row],[Coluna9]],Tabela2[[#This Row],[Coluna10]])</f>
        <v>71</v>
      </c>
      <c r="V488" s="2">
        <f>Tabela2[[#This Row],[Coluna4]]</f>
        <v>45945</v>
      </c>
      <c r="W488" s="2">
        <f>Tabela2[[#This Row],[Coluna6]]</f>
        <v>46059</v>
      </c>
    </row>
    <row r="489" spans="2:23" x14ac:dyDescent="0.2">
      <c r="B489" s="3" t="s">
        <v>27</v>
      </c>
      <c r="C489" t="s">
        <v>95</v>
      </c>
      <c r="D489" t="s">
        <v>13</v>
      </c>
      <c r="E489" s="8">
        <v>45963</v>
      </c>
      <c r="F489" t="s">
        <v>750</v>
      </c>
      <c r="G489" s="8">
        <v>46059</v>
      </c>
      <c r="H489" t="s">
        <v>570</v>
      </c>
      <c r="I489" t="e">
        <f>VLOOKUP(Tabela2[[#This Row],[Coluna7]],[1]!Tabela1[#All],2,0)</f>
        <v>#REF!</v>
      </c>
      <c r="J489" s="3" t="s">
        <v>737</v>
      </c>
      <c r="L489">
        <v>0.56999999999999995</v>
      </c>
      <c r="Q489" s="10" t="str">
        <f>Tabela2[[#This Row],[Coluna5]]</f>
        <v>02/2026</v>
      </c>
      <c r="R489" s="10" t="str">
        <f>IF(Tabela2[[#This Row],[Coluna9]]&gt;0,"Entrada","Saída")</f>
        <v>Saída</v>
      </c>
      <c r="S489" s="10" t="str">
        <f>Tabela2[[#This Row],[Coluna8]]</f>
        <v>CARTÃO SANTANDER</v>
      </c>
      <c r="T489" s="10" t="e">
        <f>Tabela2[[#This Row],[Coluna72]]</f>
        <v>#REF!</v>
      </c>
      <c r="U489" s="10">
        <f>SUM(Tabela2[[#This Row],[Coluna9]],Tabela2[[#This Row],[Coluna10]])</f>
        <v>0.56999999999999995</v>
      </c>
      <c r="V489" s="2">
        <f>Tabela2[[#This Row],[Coluna4]]</f>
        <v>45963</v>
      </c>
      <c r="W489" s="2">
        <f>Tabela2[[#This Row],[Coluna6]]</f>
        <v>46059</v>
      </c>
    </row>
    <row r="490" spans="2:23" x14ac:dyDescent="0.2">
      <c r="B490" s="3" t="s">
        <v>27</v>
      </c>
      <c r="C490" t="s">
        <v>95</v>
      </c>
      <c r="D490" t="s">
        <v>13</v>
      </c>
      <c r="E490" s="8">
        <v>45964</v>
      </c>
      <c r="F490" t="s">
        <v>750</v>
      </c>
      <c r="G490" s="8">
        <v>46059</v>
      </c>
      <c r="H490" t="s">
        <v>570</v>
      </c>
      <c r="I490" t="e">
        <f>VLOOKUP(Tabela2[[#This Row],[Coluna7]],[1]!Tabela1[#All],2,0)</f>
        <v>#REF!</v>
      </c>
      <c r="J490" s="3" t="s">
        <v>737</v>
      </c>
      <c r="L490">
        <v>5.91</v>
      </c>
      <c r="Q490" s="10" t="str">
        <f>Tabela2[[#This Row],[Coluna5]]</f>
        <v>02/2026</v>
      </c>
      <c r="R490" s="10" t="str">
        <f>IF(Tabela2[[#This Row],[Coluna9]]&gt;0,"Entrada","Saída")</f>
        <v>Saída</v>
      </c>
      <c r="S490" s="10" t="str">
        <f>Tabela2[[#This Row],[Coluna8]]</f>
        <v>CARTÃO SANTANDER</v>
      </c>
      <c r="T490" s="10" t="e">
        <f>Tabela2[[#This Row],[Coluna72]]</f>
        <v>#REF!</v>
      </c>
      <c r="U490" s="10">
        <f>SUM(Tabela2[[#This Row],[Coluna9]],Tabela2[[#This Row],[Coluna10]])</f>
        <v>5.91</v>
      </c>
      <c r="V490" s="2">
        <f>Tabela2[[#This Row],[Coluna4]]</f>
        <v>45964</v>
      </c>
      <c r="W490" s="2">
        <f>Tabela2[[#This Row],[Coluna6]]</f>
        <v>46059</v>
      </c>
    </row>
    <row r="491" spans="2:23" x14ac:dyDescent="0.2">
      <c r="B491" s="3" t="s">
        <v>27</v>
      </c>
      <c r="C491" t="s">
        <v>95</v>
      </c>
      <c r="D491" t="s">
        <v>13</v>
      </c>
      <c r="E491" s="8">
        <v>45964</v>
      </c>
      <c r="F491" t="s">
        <v>750</v>
      </c>
      <c r="G491" s="8">
        <v>46059</v>
      </c>
      <c r="H491" t="s">
        <v>570</v>
      </c>
      <c r="I491" t="e">
        <f>VLOOKUP(Tabela2[[#This Row],[Coluna7]],[1]!Tabela1[#All],2,0)</f>
        <v>#REF!</v>
      </c>
      <c r="J491" s="3" t="s">
        <v>737</v>
      </c>
      <c r="L491">
        <v>299.99</v>
      </c>
      <c r="Q491" s="10" t="str">
        <f>Tabela2[[#This Row],[Coluna5]]</f>
        <v>02/2026</v>
      </c>
      <c r="R491" s="10" t="str">
        <f>IF(Tabela2[[#This Row],[Coluna9]]&gt;0,"Entrada","Saída")</f>
        <v>Saída</v>
      </c>
      <c r="S491" s="10" t="str">
        <f>Tabela2[[#This Row],[Coluna8]]</f>
        <v>CARTÃO SANTANDER</v>
      </c>
      <c r="T491" s="10" t="e">
        <f>Tabela2[[#This Row],[Coluna72]]</f>
        <v>#REF!</v>
      </c>
      <c r="U491" s="10">
        <f>SUM(Tabela2[[#This Row],[Coluna9]],Tabela2[[#This Row],[Coluna10]])</f>
        <v>299.99</v>
      </c>
      <c r="V491" s="2">
        <f>Tabela2[[#This Row],[Coluna4]]</f>
        <v>45964</v>
      </c>
      <c r="W491" s="2">
        <f>Tabela2[[#This Row],[Coluna6]]</f>
        <v>46059</v>
      </c>
    </row>
    <row r="492" spans="2:23" x14ac:dyDescent="0.2">
      <c r="B492" s="3" t="s">
        <v>27</v>
      </c>
      <c r="C492" t="s">
        <v>95</v>
      </c>
      <c r="D492" t="s">
        <v>13</v>
      </c>
      <c r="E492" s="8">
        <v>45987</v>
      </c>
      <c r="F492" t="s">
        <v>750</v>
      </c>
      <c r="G492" s="8">
        <v>46059</v>
      </c>
      <c r="H492" t="s">
        <v>458</v>
      </c>
      <c r="I492" t="e">
        <f>VLOOKUP(Tabela2[[#This Row],[Coluna7]],[1]!Tabela1[#All],2,0)</f>
        <v>#REF!</v>
      </c>
      <c r="J492" s="3" t="s">
        <v>737</v>
      </c>
      <c r="L492">
        <v>175</v>
      </c>
      <c r="Q492" s="10" t="str">
        <f>Tabela2[[#This Row],[Coluna5]]</f>
        <v>02/2026</v>
      </c>
      <c r="R492" s="10" t="str">
        <f>IF(Tabela2[[#This Row],[Coluna9]]&gt;0,"Entrada","Saída")</f>
        <v>Saída</v>
      </c>
      <c r="S492" s="10" t="str">
        <f>Tabela2[[#This Row],[Coluna8]]</f>
        <v>CARTÃO SANTANDER</v>
      </c>
      <c r="T492" s="10" t="e">
        <f>Tabela2[[#This Row],[Coluna72]]</f>
        <v>#REF!</v>
      </c>
      <c r="U492" s="10">
        <f>SUM(Tabela2[[#This Row],[Coluna9]],Tabela2[[#This Row],[Coluna10]])</f>
        <v>175</v>
      </c>
      <c r="V492" s="2">
        <f>Tabela2[[#This Row],[Coluna4]]</f>
        <v>45987</v>
      </c>
      <c r="W492" s="2">
        <f>Tabela2[[#This Row],[Coluna6]]</f>
        <v>46059</v>
      </c>
    </row>
    <row r="493" spans="2:23" x14ac:dyDescent="0.2">
      <c r="B493" s="3" t="s">
        <v>27</v>
      </c>
      <c r="C493" t="s">
        <v>95</v>
      </c>
      <c r="D493" t="s">
        <v>13</v>
      </c>
      <c r="E493" s="8">
        <v>45990</v>
      </c>
      <c r="F493" t="s">
        <v>750</v>
      </c>
      <c r="G493" s="8">
        <v>46059</v>
      </c>
      <c r="H493" t="s">
        <v>435</v>
      </c>
      <c r="I493" t="e">
        <f>VLOOKUP(Tabela2[[#This Row],[Coluna7]],[1]!Tabela1[#All],2,0)</f>
        <v>#REF!</v>
      </c>
      <c r="J493" s="3" t="s">
        <v>737</v>
      </c>
      <c r="L493">
        <v>30</v>
      </c>
      <c r="Q493" s="10" t="str">
        <f>Tabela2[[#This Row],[Coluna5]]</f>
        <v>02/2026</v>
      </c>
      <c r="R493" s="10" t="str">
        <f>IF(Tabela2[[#This Row],[Coluna9]]&gt;0,"Entrada","Saída")</f>
        <v>Saída</v>
      </c>
      <c r="S493" s="10" t="str">
        <f>Tabela2[[#This Row],[Coluna8]]</f>
        <v>CARTÃO SANTANDER</v>
      </c>
      <c r="T493" s="10" t="e">
        <f>Tabela2[[#This Row],[Coluna72]]</f>
        <v>#REF!</v>
      </c>
      <c r="U493" s="10">
        <f>SUM(Tabela2[[#This Row],[Coluna9]],Tabela2[[#This Row],[Coluna10]])</f>
        <v>30</v>
      </c>
      <c r="V493" s="2">
        <f>Tabela2[[#This Row],[Coluna4]]</f>
        <v>45990</v>
      </c>
      <c r="W493" s="2">
        <f>Tabela2[[#This Row],[Coluna6]]</f>
        <v>46059</v>
      </c>
    </row>
    <row r="494" spans="2:23" x14ac:dyDescent="0.2">
      <c r="B494" s="3" t="s">
        <v>27</v>
      </c>
      <c r="C494" t="s">
        <v>95</v>
      </c>
      <c r="D494" t="s">
        <v>13</v>
      </c>
      <c r="E494" s="8">
        <v>45990</v>
      </c>
      <c r="F494" t="s">
        <v>750</v>
      </c>
      <c r="G494" s="8">
        <v>46059</v>
      </c>
      <c r="H494" t="s">
        <v>435</v>
      </c>
      <c r="I494" t="e">
        <f>VLOOKUP(Tabela2[[#This Row],[Coluna7]],[1]!Tabela1[#All],2,0)</f>
        <v>#REF!</v>
      </c>
      <c r="J494" s="3" t="s">
        <v>737</v>
      </c>
      <c r="L494">
        <v>63.39</v>
      </c>
      <c r="Q494" s="10" t="str">
        <f>Tabela2[[#This Row],[Coluna5]]</f>
        <v>02/2026</v>
      </c>
      <c r="R494" s="10" t="str">
        <f>IF(Tabela2[[#This Row],[Coluna9]]&gt;0,"Entrada","Saída")</f>
        <v>Saída</v>
      </c>
      <c r="S494" s="10" t="str">
        <f>Tabela2[[#This Row],[Coluna8]]</f>
        <v>CARTÃO SANTANDER</v>
      </c>
      <c r="T494" s="10" t="e">
        <f>Tabela2[[#This Row],[Coluna72]]</f>
        <v>#REF!</v>
      </c>
      <c r="U494" s="10">
        <f>SUM(Tabela2[[#This Row],[Coluna9]],Tabela2[[#This Row],[Coluna10]])</f>
        <v>63.39</v>
      </c>
      <c r="V494" s="2">
        <f>Tabela2[[#This Row],[Coluna4]]</f>
        <v>45990</v>
      </c>
      <c r="W494" s="2">
        <f>Tabela2[[#This Row],[Coluna6]]</f>
        <v>46059</v>
      </c>
    </row>
    <row r="495" spans="2:23" x14ac:dyDescent="0.2">
      <c r="B495" s="3" t="s">
        <v>27</v>
      </c>
      <c r="C495" t="s">
        <v>95</v>
      </c>
      <c r="D495" t="s">
        <v>13</v>
      </c>
      <c r="E495" s="8">
        <v>45992</v>
      </c>
      <c r="F495" t="s">
        <v>750</v>
      </c>
      <c r="G495" s="8">
        <v>46059</v>
      </c>
      <c r="H495" t="s">
        <v>458</v>
      </c>
      <c r="I495" t="e">
        <f>VLOOKUP(Tabela2[[#This Row],[Coluna7]],[1]!Tabela1[#All],2,0)</f>
        <v>#REF!</v>
      </c>
      <c r="J495" s="3" t="s">
        <v>737</v>
      </c>
      <c r="L495">
        <v>110</v>
      </c>
      <c r="Q495" s="10" t="str">
        <f>Tabela2[[#This Row],[Coluna5]]</f>
        <v>02/2026</v>
      </c>
      <c r="R495" s="10" t="str">
        <f>IF(Tabela2[[#This Row],[Coluna9]]&gt;0,"Entrada","Saída")</f>
        <v>Saída</v>
      </c>
      <c r="S495" s="10" t="str">
        <f>Tabela2[[#This Row],[Coluna8]]</f>
        <v>CARTÃO SANTANDER</v>
      </c>
      <c r="T495" s="10" t="e">
        <f>Tabela2[[#This Row],[Coluna72]]</f>
        <v>#REF!</v>
      </c>
      <c r="U495" s="10">
        <f>SUM(Tabela2[[#This Row],[Coluna9]],Tabela2[[#This Row],[Coluna10]])</f>
        <v>110</v>
      </c>
      <c r="V495" s="2">
        <f>Tabela2[[#This Row],[Coluna4]]</f>
        <v>45992</v>
      </c>
      <c r="W495" s="2">
        <f>Tabela2[[#This Row],[Coluna6]]</f>
        <v>46059</v>
      </c>
    </row>
    <row r="496" spans="2:23" x14ac:dyDescent="0.2">
      <c r="B496" s="3" t="s">
        <v>27</v>
      </c>
      <c r="C496" t="s">
        <v>95</v>
      </c>
      <c r="D496" t="s">
        <v>13</v>
      </c>
      <c r="E496" s="8">
        <v>45993</v>
      </c>
      <c r="F496" t="s">
        <v>750</v>
      </c>
      <c r="G496" s="8">
        <v>46059</v>
      </c>
      <c r="H496" t="s">
        <v>719</v>
      </c>
      <c r="I496" t="e">
        <f>VLOOKUP(Tabela2[[#This Row],[Coluna7]],[1]!Tabela1[#All],2,0)</f>
        <v>#REF!</v>
      </c>
      <c r="J496" s="3" t="s">
        <v>737</v>
      </c>
      <c r="L496">
        <v>67.75</v>
      </c>
      <c r="Q496" s="10" t="str">
        <f>Tabela2[[#This Row],[Coluna5]]</f>
        <v>02/2026</v>
      </c>
      <c r="R496" s="10" t="str">
        <f>IF(Tabela2[[#This Row],[Coluna9]]&gt;0,"Entrada","Saída")</f>
        <v>Saída</v>
      </c>
      <c r="S496" s="10" t="str">
        <f>Tabela2[[#This Row],[Coluna8]]</f>
        <v>CARTÃO SANTANDER</v>
      </c>
      <c r="T496" s="10" t="e">
        <f>Tabela2[[#This Row],[Coluna72]]</f>
        <v>#REF!</v>
      </c>
      <c r="U496" s="10">
        <f>SUM(Tabela2[[#This Row],[Coluna9]],Tabela2[[#This Row],[Coluna10]])</f>
        <v>67.75</v>
      </c>
      <c r="V496" s="2">
        <f>Tabela2[[#This Row],[Coluna4]]</f>
        <v>45993</v>
      </c>
      <c r="W496" s="2">
        <f>Tabela2[[#This Row],[Coluna6]]</f>
        <v>46059</v>
      </c>
    </row>
    <row r="497" spans="2:23" x14ac:dyDescent="0.2">
      <c r="B497" s="3" t="s">
        <v>27</v>
      </c>
      <c r="C497" t="s">
        <v>95</v>
      </c>
      <c r="D497" t="s">
        <v>13</v>
      </c>
      <c r="E497" s="8">
        <v>45995</v>
      </c>
      <c r="F497" t="s">
        <v>750</v>
      </c>
      <c r="G497" s="8">
        <v>46059</v>
      </c>
      <c r="H497" t="s">
        <v>719</v>
      </c>
      <c r="I497" t="e">
        <f>VLOOKUP(Tabela2[[#This Row],[Coluna7]],[1]!Tabela1[#All],2,0)</f>
        <v>#REF!</v>
      </c>
      <c r="J497" s="3" t="s">
        <v>737</v>
      </c>
      <c r="L497">
        <v>0</v>
      </c>
      <c r="Q497" s="10" t="str">
        <f>Tabela2[[#This Row],[Coluna5]]</f>
        <v>02/2026</v>
      </c>
      <c r="R497" s="10" t="str">
        <f>IF(Tabela2[[#This Row],[Coluna9]]&gt;0,"Entrada","Saída")</f>
        <v>Saída</v>
      </c>
      <c r="S497" s="10" t="str">
        <f>Tabela2[[#This Row],[Coluna8]]</f>
        <v>CARTÃO SANTANDER</v>
      </c>
      <c r="T497" s="10" t="e">
        <f>Tabela2[[#This Row],[Coluna72]]</f>
        <v>#REF!</v>
      </c>
      <c r="U497" s="10">
        <f>SUM(Tabela2[[#This Row],[Coluna9]],Tabela2[[#This Row],[Coluna10]])</f>
        <v>0</v>
      </c>
      <c r="V497" s="2">
        <f>Tabela2[[#This Row],[Coluna4]]</f>
        <v>45995</v>
      </c>
      <c r="W497" s="2">
        <f>Tabela2[[#This Row],[Coluna6]]</f>
        <v>46059</v>
      </c>
    </row>
    <row r="498" spans="2:23" x14ac:dyDescent="0.2">
      <c r="B498" s="3" t="s">
        <v>27</v>
      </c>
      <c r="C498" t="s">
        <v>95</v>
      </c>
      <c r="D498" t="s">
        <v>13</v>
      </c>
      <c r="E498" s="8">
        <v>45999</v>
      </c>
      <c r="F498" t="s">
        <v>750</v>
      </c>
      <c r="G498" s="8">
        <v>46059</v>
      </c>
      <c r="H498" t="s">
        <v>719</v>
      </c>
      <c r="I498" t="e">
        <f>VLOOKUP(Tabela2[[#This Row],[Coluna7]],[1]!Tabela1[#All],2,0)</f>
        <v>#REF!</v>
      </c>
      <c r="J498" s="3" t="s">
        <v>737</v>
      </c>
      <c r="L498">
        <v>92.42</v>
      </c>
      <c r="Q498" s="10" t="str">
        <f>Tabela2[[#This Row],[Coluna5]]</f>
        <v>02/2026</v>
      </c>
      <c r="R498" s="10" t="str">
        <f>IF(Tabela2[[#This Row],[Coluna9]]&gt;0,"Entrada","Saída")</f>
        <v>Saída</v>
      </c>
      <c r="S498" s="10" t="str">
        <f>Tabela2[[#This Row],[Coluna8]]</f>
        <v>CARTÃO SANTANDER</v>
      </c>
      <c r="T498" s="10" t="e">
        <f>Tabela2[[#This Row],[Coluna72]]</f>
        <v>#REF!</v>
      </c>
      <c r="U498" s="10">
        <f>SUM(Tabela2[[#This Row],[Coluna9]],Tabela2[[#This Row],[Coluna10]])</f>
        <v>92.42</v>
      </c>
      <c r="V498" s="2">
        <f>Tabela2[[#This Row],[Coluna4]]</f>
        <v>45999</v>
      </c>
      <c r="W498" s="2">
        <f>Tabela2[[#This Row],[Coluna6]]</f>
        <v>46059</v>
      </c>
    </row>
    <row r="499" spans="2:23" x14ac:dyDescent="0.2">
      <c r="B499" s="3" t="s">
        <v>27</v>
      </c>
      <c r="C499" t="s">
        <v>95</v>
      </c>
      <c r="D499" t="s">
        <v>13</v>
      </c>
      <c r="E499" s="8">
        <v>46000</v>
      </c>
      <c r="F499" t="s">
        <v>750</v>
      </c>
      <c r="G499" s="8">
        <v>46059</v>
      </c>
      <c r="H499" t="s">
        <v>719</v>
      </c>
      <c r="I499" t="e">
        <f>VLOOKUP(Tabela2[[#This Row],[Coluna7]],[1]!Tabela1[#All],2,0)</f>
        <v>#REF!</v>
      </c>
      <c r="J499" s="3" t="s">
        <v>737</v>
      </c>
      <c r="L499">
        <v>0</v>
      </c>
      <c r="Q499" s="10" t="str">
        <f>Tabela2[[#This Row],[Coluna5]]</f>
        <v>02/2026</v>
      </c>
      <c r="R499" s="10" t="str">
        <f>IF(Tabela2[[#This Row],[Coluna9]]&gt;0,"Entrada","Saída")</f>
        <v>Saída</v>
      </c>
      <c r="S499" s="10" t="str">
        <f>Tabela2[[#This Row],[Coluna8]]</f>
        <v>CARTÃO SANTANDER</v>
      </c>
      <c r="T499" s="10" t="e">
        <f>Tabela2[[#This Row],[Coluna72]]</f>
        <v>#REF!</v>
      </c>
      <c r="U499" s="10">
        <f>SUM(Tabela2[[#This Row],[Coluna9]],Tabela2[[#This Row],[Coluna10]])</f>
        <v>0</v>
      </c>
      <c r="V499" s="2">
        <f>Tabela2[[#This Row],[Coluna4]]</f>
        <v>46000</v>
      </c>
      <c r="W499" s="2">
        <f>Tabela2[[#This Row],[Coluna6]]</f>
        <v>46059</v>
      </c>
    </row>
    <row r="500" spans="2:23" x14ac:dyDescent="0.2">
      <c r="B500" s="3" t="s">
        <v>27</v>
      </c>
      <c r="C500" t="s">
        <v>95</v>
      </c>
      <c r="D500" t="s">
        <v>13</v>
      </c>
      <c r="E500" s="8">
        <v>46001</v>
      </c>
      <c r="F500" t="s">
        <v>750</v>
      </c>
      <c r="G500" s="8">
        <v>46059</v>
      </c>
      <c r="H500" t="s">
        <v>570</v>
      </c>
      <c r="I500" t="e">
        <f>VLOOKUP(Tabela2[[#This Row],[Coluna7]],[1]!Tabela1[#All],2,0)</f>
        <v>#REF!</v>
      </c>
      <c r="J500" s="3" t="s">
        <v>737</v>
      </c>
      <c r="L500">
        <v>14.76</v>
      </c>
      <c r="Q500" s="10" t="str">
        <f>Tabela2[[#This Row],[Coluna5]]</f>
        <v>02/2026</v>
      </c>
      <c r="R500" s="10" t="str">
        <f>IF(Tabela2[[#This Row],[Coluna9]]&gt;0,"Entrada","Saída")</f>
        <v>Saída</v>
      </c>
      <c r="S500" s="10" t="str">
        <f>Tabela2[[#This Row],[Coluna8]]</f>
        <v>CARTÃO SANTANDER</v>
      </c>
      <c r="T500" s="10" t="e">
        <f>Tabela2[[#This Row],[Coluna72]]</f>
        <v>#REF!</v>
      </c>
      <c r="U500" s="10">
        <f>SUM(Tabela2[[#This Row],[Coluna9]],Tabela2[[#This Row],[Coluna10]])</f>
        <v>14.76</v>
      </c>
      <c r="V500" s="2">
        <f>Tabela2[[#This Row],[Coluna4]]</f>
        <v>46001</v>
      </c>
      <c r="W500" s="2">
        <f>Tabela2[[#This Row],[Coluna6]]</f>
        <v>46059</v>
      </c>
    </row>
    <row r="501" spans="2:23" x14ac:dyDescent="0.2">
      <c r="B501" s="3" t="s">
        <v>27</v>
      </c>
      <c r="C501" t="s">
        <v>95</v>
      </c>
      <c r="D501" t="s">
        <v>13</v>
      </c>
      <c r="E501" s="8">
        <v>46001</v>
      </c>
      <c r="F501" t="s">
        <v>750</v>
      </c>
      <c r="G501" s="8">
        <v>46059</v>
      </c>
      <c r="H501" t="s">
        <v>458</v>
      </c>
      <c r="I501" t="e">
        <f>VLOOKUP(Tabela2[[#This Row],[Coluna7]],[1]!Tabela1[#All],2,0)</f>
        <v>#REF!</v>
      </c>
      <c r="J501" s="3" t="s">
        <v>737</v>
      </c>
      <c r="L501">
        <v>37.5</v>
      </c>
      <c r="Q501" s="10" t="str">
        <f>Tabela2[[#This Row],[Coluna5]]</f>
        <v>02/2026</v>
      </c>
      <c r="R501" s="10" t="str">
        <f>IF(Tabela2[[#This Row],[Coluna9]]&gt;0,"Entrada","Saída")</f>
        <v>Saída</v>
      </c>
      <c r="S501" s="10" t="str">
        <f>Tabela2[[#This Row],[Coluna8]]</f>
        <v>CARTÃO SANTANDER</v>
      </c>
      <c r="T501" s="10" t="e">
        <f>Tabela2[[#This Row],[Coluna72]]</f>
        <v>#REF!</v>
      </c>
      <c r="U501" s="10">
        <f>SUM(Tabela2[[#This Row],[Coluna9]],Tabela2[[#This Row],[Coluna10]])</f>
        <v>37.5</v>
      </c>
      <c r="V501" s="2">
        <f>Tabela2[[#This Row],[Coluna4]]</f>
        <v>46001</v>
      </c>
      <c r="W501" s="2">
        <f>Tabela2[[#This Row],[Coluna6]]</f>
        <v>46059</v>
      </c>
    </row>
    <row r="502" spans="2:23" x14ac:dyDescent="0.2">
      <c r="B502" s="3" t="s">
        <v>27</v>
      </c>
      <c r="C502" t="s">
        <v>95</v>
      </c>
      <c r="D502" t="s">
        <v>13</v>
      </c>
      <c r="E502" s="8">
        <v>46003</v>
      </c>
      <c r="F502" t="s">
        <v>750</v>
      </c>
      <c r="G502" s="8">
        <v>46059</v>
      </c>
      <c r="H502" t="s">
        <v>570</v>
      </c>
      <c r="I502" t="e">
        <f>VLOOKUP(Tabela2[[#This Row],[Coluna7]],[1]!Tabela1[#All],2,0)</f>
        <v>#REF!</v>
      </c>
      <c r="J502" s="3" t="s">
        <v>737</v>
      </c>
      <c r="L502">
        <v>163.81</v>
      </c>
      <c r="Q502" s="10" t="str">
        <f>Tabela2[[#This Row],[Coluna5]]</f>
        <v>02/2026</v>
      </c>
      <c r="R502" s="10" t="str">
        <f>IF(Tabela2[[#This Row],[Coluna9]]&gt;0,"Entrada","Saída")</f>
        <v>Saída</v>
      </c>
      <c r="S502" s="10" t="str">
        <f>Tabela2[[#This Row],[Coluna8]]</f>
        <v>CARTÃO SANTANDER</v>
      </c>
      <c r="T502" s="10" t="e">
        <f>Tabela2[[#This Row],[Coluna72]]</f>
        <v>#REF!</v>
      </c>
      <c r="U502" s="10">
        <f>SUM(Tabela2[[#This Row],[Coluna9]],Tabela2[[#This Row],[Coluna10]])</f>
        <v>163.81</v>
      </c>
      <c r="V502" s="2">
        <f>Tabela2[[#This Row],[Coluna4]]</f>
        <v>46003</v>
      </c>
      <c r="W502" s="2">
        <f>Tabela2[[#This Row],[Coluna6]]</f>
        <v>46059</v>
      </c>
    </row>
    <row r="503" spans="2:23" x14ac:dyDescent="0.2">
      <c r="B503" s="3" t="s">
        <v>27</v>
      </c>
      <c r="C503" t="s">
        <v>95</v>
      </c>
      <c r="D503" t="s">
        <v>13</v>
      </c>
      <c r="E503" s="8">
        <v>46010</v>
      </c>
      <c r="F503" t="s">
        <v>750</v>
      </c>
      <c r="G503" s="8">
        <v>46059</v>
      </c>
      <c r="H503" t="s">
        <v>719</v>
      </c>
      <c r="I503" t="e">
        <f>VLOOKUP(Tabela2[[#This Row],[Coluna7]],[1]!Tabela1[#All],2,0)</f>
        <v>#REF!</v>
      </c>
      <c r="J503" s="3" t="s">
        <v>737</v>
      </c>
      <c r="L503">
        <v>70.98</v>
      </c>
      <c r="Q503" s="10" t="str">
        <f>Tabela2[[#This Row],[Coluna5]]</f>
        <v>02/2026</v>
      </c>
      <c r="R503" s="10" t="str">
        <f>IF(Tabela2[[#This Row],[Coluna9]]&gt;0,"Entrada","Saída")</f>
        <v>Saída</v>
      </c>
      <c r="S503" s="10" t="str">
        <f>Tabela2[[#This Row],[Coluna8]]</f>
        <v>CARTÃO SANTANDER</v>
      </c>
      <c r="T503" s="10" t="e">
        <f>Tabela2[[#This Row],[Coluna72]]</f>
        <v>#REF!</v>
      </c>
      <c r="U503" s="10">
        <f>SUM(Tabela2[[#This Row],[Coluna9]],Tabela2[[#This Row],[Coluna10]])</f>
        <v>70.98</v>
      </c>
      <c r="V503" s="2">
        <f>Tabela2[[#This Row],[Coluna4]]</f>
        <v>46010</v>
      </c>
      <c r="W503" s="2">
        <f>Tabela2[[#This Row],[Coluna6]]</f>
        <v>46059</v>
      </c>
    </row>
    <row r="504" spans="2:23" x14ac:dyDescent="0.2">
      <c r="B504" s="3" t="s">
        <v>27</v>
      </c>
      <c r="C504" t="s">
        <v>95</v>
      </c>
      <c r="D504" t="s">
        <v>13</v>
      </c>
      <c r="E504" s="8">
        <v>46013</v>
      </c>
      <c r="F504" t="s">
        <v>750</v>
      </c>
      <c r="G504" s="8">
        <v>46059</v>
      </c>
      <c r="H504" t="s">
        <v>719</v>
      </c>
      <c r="I504" t="e">
        <f>VLOOKUP(Tabela2[[#This Row],[Coluna7]],[1]!Tabela1[#All],2,0)</f>
        <v>#REF!</v>
      </c>
      <c r="J504" s="3" t="s">
        <v>737</v>
      </c>
      <c r="L504">
        <v>0</v>
      </c>
      <c r="Q504" s="10" t="str">
        <f>Tabela2[[#This Row],[Coluna5]]</f>
        <v>02/2026</v>
      </c>
      <c r="R504" s="10" t="str">
        <f>IF(Tabela2[[#This Row],[Coluna9]]&gt;0,"Entrada","Saída")</f>
        <v>Saída</v>
      </c>
      <c r="S504" s="10" t="str">
        <f>Tabela2[[#This Row],[Coluna8]]</f>
        <v>CARTÃO SANTANDER</v>
      </c>
      <c r="T504" s="10" t="e">
        <f>Tabela2[[#This Row],[Coluna72]]</f>
        <v>#REF!</v>
      </c>
      <c r="U504" s="10">
        <f>SUM(Tabela2[[#This Row],[Coluna9]],Tabela2[[#This Row],[Coluna10]])</f>
        <v>0</v>
      </c>
      <c r="V504" s="2">
        <f>Tabela2[[#This Row],[Coluna4]]</f>
        <v>46013</v>
      </c>
      <c r="W504" s="2">
        <f>Tabela2[[#This Row],[Coluna6]]</f>
        <v>46059</v>
      </c>
    </row>
    <row r="505" spans="2:23" x14ac:dyDescent="0.2">
      <c r="B505" s="3" t="s">
        <v>27</v>
      </c>
      <c r="C505" t="s">
        <v>95</v>
      </c>
      <c r="D505" t="s">
        <v>13</v>
      </c>
      <c r="E505" s="8">
        <v>46013</v>
      </c>
      <c r="F505" t="s">
        <v>750</v>
      </c>
      <c r="G505" s="8">
        <v>46059</v>
      </c>
      <c r="H505" t="s">
        <v>570</v>
      </c>
      <c r="I505" t="e">
        <f>VLOOKUP(Tabela2[[#This Row],[Coluna7]],[1]!Tabela1[#All],2,0)</f>
        <v>#REF!</v>
      </c>
      <c r="J505" s="3" t="s">
        <v>737</v>
      </c>
      <c r="L505">
        <v>111.99</v>
      </c>
      <c r="Q505" s="10" t="str">
        <f>Tabela2[[#This Row],[Coluna5]]</f>
        <v>02/2026</v>
      </c>
      <c r="R505" s="10" t="str">
        <f>IF(Tabela2[[#This Row],[Coluna9]]&gt;0,"Entrada","Saída")</f>
        <v>Saída</v>
      </c>
      <c r="S505" s="10" t="str">
        <f>Tabela2[[#This Row],[Coluna8]]</f>
        <v>CARTÃO SANTANDER</v>
      </c>
      <c r="T505" s="10" t="e">
        <f>Tabela2[[#This Row],[Coluna72]]</f>
        <v>#REF!</v>
      </c>
      <c r="U505" s="10">
        <f>SUM(Tabela2[[#This Row],[Coluna9]],Tabela2[[#This Row],[Coluna10]])</f>
        <v>111.99</v>
      </c>
      <c r="V505" s="2">
        <f>Tabela2[[#This Row],[Coluna4]]</f>
        <v>46013</v>
      </c>
      <c r="W505" s="2">
        <f>Tabela2[[#This Row],[Coluna6]]</f>
        <v>46059</v>
      </c>
    </row>
    <row r="506" spans="2:23" x14ac:dyDescent="0.2">
      <c r="B506" s="3" t="s">
        <v>27</v>
      </c>
      <c r="C506" t="s">
        <v>95</v>
      </c>
      <c r="D506" t="s">
        <v>13</v>
      </c>
      <c r="E506" s="8">
        <v>46014</v>
      </c>
      <c r="F506" t="s">
        <v>750</v>
      </c>
      <c r="G506" s="8">
        <v>46059</v>
      </c>
      <c r="H506" t="s">
        <v>570</v>
      </c>
      <c r="I506" t="e">
        <f>VLOOKUP(Tabela2[[#This Row],[Coluna7]],[1]!Tabela1[#All],2,0)</f>
        <v>#REF!</v>
      </c>
      <c r="J506" s="3" t="s">
        <v>737</v>
      </c>
      <c r="L506">
        <v>15.44</v>
      </c>
      <c r="Q506" s="10" t="str">
        <f>Tabela2[[#This Row],[Coluna5]]</f>
        <v>02/2026</v>
      </c>
      <c r="R506" s="10" t="str">
        <f>IF(Tabela2[[#This Row],[Coluna9]]&gt;0,"Entrada","Saída")</f>
        <v>Saída</v>
      </c>
      <c r="S506" s="10" t="str">
        <f>Tabela2[[#This Row],[Coluna8]]</f>
        <v>CARTÃO SANTANDER</v>
      </c>
      <c r="T506" s="10" t="e">
        <f>Tabela2[[#This Row],[Coluna72]]</f>
        <v>#REF!</v>
      </c>
      <c r="U506" s="10">
        <f>SUM(Tabela2[[#This Row],[Coluna9]],Tabela2[[#This Row],[Coluna10]])</f>
        <v>15.44</v>
      </c>
      <c r="V506" s="2">
        <f>Tabela2[[#This Row],[Coluna4]]</f>
        <v>46014</v>
      </c>
      <c r="W506" s="2">
        <f>Tabela2[[#This Row],[Coluna6]]</f>
        <v>46059</v>
      </c>
    </row>
    <row r="507" spans="2:23" x14ac:dyDescent="0.2">
      <c r="B507" s="3" t="s">
        <v>27</v>
      </c>
      <c r="C507" t="s">
        <v>95</v>
      </c>
      <c r="D507" t="s">
        <v>13</v>
      </c>
      <c r="E507" s="8">
        <v>46014</v>
      </c>
      <c r="F507" t="s">
        <v>750</v>
      </c>
      <c r="G507" s="8">
        <v>46059</v>
      </c>
      <c r="H507" t="s">
        <v>730</v>
      </c>
      <c r="I507" t="e">
        <f>VLOOKUP(Tabela2[[#This Row],[Coluna7]],[1]!Tabela1[#All],2,0)</f>
        <v>#REF!</v>
      </c>
      <c r="J507" s="3" t="s">
        <v>737</v>
      </c>
      <c r="L507">
        <v>64.33</v>
      </c>
      <c r="Q507" s="10" t="str">
        <f>Tabela2[[#This Row],[Coluna5]]</f>
        <v>02/2026</v>
      </c>
      <c r="R507" s="10" t="str">
        <f>IF(Tabela2[[#This Row],[Coluna9]]&gt;0,"Entrada","Saída")</f>
        <v>Saída</v>
      </c>
      <c r="S507" s="10" t="str">
        <f>Tabela2[[#This Row],[Coluna8]]</f>
        <v>CARTÃO SANTANDER</v>
      </c>
      <c r="T507" s="10" t="e">
        <f>Tabela2[[#This Row],[Coluna72]]</f>
        <v>#REF!</v>
      </c>
      <c r="U507" s="10">
        <f>SUM(Tabela2[[#This Row],[Coluna9]],Tabela2[[#This Row],[Coluna10]])</f>
        <v>64.33</v>
      </c>
      <c r="V507" s="2">
        <f>Tabela2[[#This Row],[Coluna4]]</f>
        <v>46014</v>
      </c>
      <c r="W507" s="2">
        <f>Tabela2[[#This Row],[Coluna6]]</f>
        <v>46059</v>
      </c>
    </row>
    <row r="508" spans="2:23" x14ac:dyDescent="0.2">
      <c r="B508" s="3" t="s">
        <v>27</v>
      </c>
      <c r="C508" t="s">
        <v>95</v>
      </c>
      <c r="D508" t="s">
        <v>13</v>
      </c>
      <c r="E508" s="8">
        <v>46014</v>
      </c>
      <c r="F508" t="s">
        <v>750</v>
      </c>
      <c r="G508" s="8">
        <v>46059</v>
      </c>
      <c r="H508" t="s">
        <v>458</v>
      </c>
      <c r="I508" t="e">
        <f>VLOOKUP(Tabela2[[#This Row],[Coluna7]],[1]!Tabela1[#All],2,0)</f>
        <v>#REF!</v>
      </c>
      <c r="J508" s="3" t="s">
        <v>737</v>
      </c>
      <c r="L508">
        <v>200</v>
      </c>
      <c r="Q508" s="10" t="str">
        <f>Tabela2[[#This Row],[Coluna5]]</f>
        <v>02/2026</v>
      </c>
      <c r="R508" s="10" t="str">
        <f>IF(Tabela2[[#This Row],[Coluna9]]&gt;0,"Entrada","Saída")</f>
        <v>Saída</v>
      </c>
      <c r="S508" s="10" t="str">
        <f>Tabela2[[#This Row],[Coluna8]]</f>
        <v>CARTÃO SANTANDER</v>
      </c>
      <c r="T508" s="10" t="e">
        <f>Tabela2[[#This Row],[Coluna72]]</f>
        <v>#REF!</v>
      </c>
      <c r="U508" s="10">
        <f>SUM(Tabela2[[#This Row],[Coluna9]],Tabela2[[#This Row],[Coluna10]])</f>
        <v>200</v>
      </c>
      <c r="V508" s="2">
        <f>Tabela2[[#This Row],[Coluna4]]</f>
        <v>46014</v>
      </c>
      <c r="W508" s="2">
        <f>Tabela2[[#This Row],[Coluna6]]</f>
        <v>46059</v>
      </c>
    </row>
    <row r="509" spans="2:23" x14ac:dyDescent="0.2">
      <c r="B509" s="3" t="s">
        <v>27</v>
      </c>
      <c r="C509" t="s">
        <v>95</v>
      </c>
      <c r="D509" t="s">
        <v>13</v>
      </c>
      <c r="E509" s="8">
        <v>46014</v>
      </c>
      <c r="F509" t="s">
        <v>750</v>
      </c>
      <c r="G509" s="8">
        <v>46059</v>
      </c>
      <c r="H509" t="s">
        <v>570</v>
      </c>
      <c r="I509" t="e">
        <f>VLOOKUP(Tabela2[[#This Row],[Coluna7]],[1]!Tabela1[#All],2,0)</f>
        <v>#REF!</v>
      </c>
      <c r="J509" s="3" t="s">
        <v>737</v>
      </c>
      <c r="L509">
        <v>31.53</v>
      </c>
      <c r="Q509" s="10" t="str">
        <f>Tabela2[[#This Row],[Coluna5]]</f>
        <v>02/2026</v>
      </c>
      <c r="R509" s="10" t="str">
        <f>IF(Tabela2[[#This Row],[Coluna9]]&gt;0,"Entrada","Saída")</f>
        <v>Saída</v>
      </c>
      <c r="S509" s="10" t="str">
        <f>Tabela2[[#This Row],[Coluna8]]</f>
        <v>CARTÃO SANTANDER</v>
      </c>
      <c r="T509" s="10" t="e">
        <f>Tabela2[[#This Row],[Coluna72]]</f>
        <v>#REF!</v>
      </c>
      <c r="U509" s="10">
        <f>SUM(Tabela2[[#This Row],[Coluna9]],Tabela2[[#This Row],[Coluna10]])</f>
        <v>31.53</v>
      </c>
      <c r="V509" s="2">
        <f>Tabela2[[#This Row],[Coluna4]]</f>
        <v>46014</v>
      </c>
      <c r="W509" s="2">
        <f>Tabela2[[#This Row],[Coluna6]]</f>
        <v>46059</v>
      </c>
    </row>
    <row r="510" spans="2:23" x14ac:dyDescent="0.2">
      <c r="B510" s="3" t="s">
        <v>27</v>
      </c>
      <c r="C510" t="s">
        <v>95</v>
      </c>
      <c r="D510" t="s">
        <v>13</v>
      </c>
      <c r="E510" s="8">
        <v>46016</v>
      </c>
      <c r="F510" t="s">
        <v>750</v>
      </c>
      <c r="G510" s="8">
        <v>46059</v>
      </c>
      <c r="H510" t="s">
        <v>570</v>
      </c>
      <c r="I510" t="e">
        <f>VLOOKUP(Tabela2[[#This Row],[Coluna7]],[1]!Tabela1[#All],2,0)</f>
        <v>#REF!</v>
      </c>
      <c r="J510" s="3" t="s">
        <v>737</v>
      </c>
      <c r="L510">
        <v>225.58</v>
      </c>
      <c r="Q510" s="10" t="str">
        <f>Tabela2[[#This Row],[Coluna5]]</f>
        <v>02/2026</v>
      </c>
      <c r="R510" s="10" t="str">
        <f>IF(Tabela2[[#This Row],[Coluna9]]&gt;0,"Entrada","Saída")</f>
        <v>Saída</v>
      </c>
      <c r="S510" s="10" t="str">
        <f>Tabela2[[#This Row],[Coluna8]]</f>
        <v>CARTÃO SANTANDER</v>
      </c>
      <c r="T510" s="10" t="e">
        <f>Tabela2[[#This Row],[Coluna72]]</f>
        <v>#REF!</v>
      </c>
      <c r="U510" s="10">
        <f>SUM(Tabela2[[#This Row],[Coluna9]],Tabela2[[#This Row],[Coluna10]])</f>
        <v>225.58</v>
      </c>
      <c r="V510" s="2">
        <f>Tabela2[[#This Row],[Coluna4]]</f>
        <v>46016</v>
      </c>
      <c r="W510" s="2">
        <f>Tabela2[[#This Row],[Coluna6]]</f>
        <v>46059</v>
      </c>
    </row>
    <row r="511" spans="2:23" x14ac:dyDescent="0.2">
      <c r="B511" s="3" t="s">
        <v>27</v>
      </c>
      <c r="C511" t="s">
        <v>95</v>
      </c>
      <c r="D511" t="s">
        <v>13</v>
      </c>
      <c r="E511" s="8">
        <v>46018</v>
      </c>
      <c r="F511" t="s">
        <v>750</v>
      </c>
      <c r="G511" s="8">
        <v>46059</v>
      </c>
      <c r="H511" t="s">
        <v>719</v>
      </c>
      <c r="I511" t="e">
        <f>VLOOKUP(Tabela2[[#This Row],[Coluna7]],[1]!Tabela1[#All],2,0)</f>
        <v>#REF!</v>
      </c>
      <c r="J511" s="3" t="s">
        <v>737</v>
      </c>
      <c r="L511">
        <v>242.38</v>
      </c>
      <c r="Q511" s="10" t="str">
        <f>Tabela2[[#This Row],[Coluna5]]</f>
        <v>02/2026</v>
      </c>
      <c r="R511" s="10" t="str">
        <f>IF(Tabela2[[#This Row],[Coluna9]]&gt;0,"Entrada","Saída")</f>
        <v>Saída</v>
      </c>
      <c r="S511" s="10" t="str">
        <f>Tabela2[[#This Row],[Coluna8]]</f>
        <v>CARTÃO SANTANDER</v>
      </c>
      <c r="T511" s="10" t="e">
        <f>Tabela2[[#This Row],[Coluna72]]</f>
        <v>#REF!</v>
      </c>
      <c r="U511" s="10">
        <f>SUM(Tabela2[[#This Row],[Coluna9]],Tabela2[[#This Row],[Coluna10]])</f>
        <v>242.38</v>
      </c>
      <c r="V511" s="2">
        <f>Tabela2[[#This Row],[Coluna4]]</f>
        <v>46018</v>
      </c>
      <c r="W511" s="2">
        <f>Tabela2[[#This Row],[Coluna6]]</f>
        <v>46059</v>
      </c>
    </row>
    <row r="512" spans="2:23" x14ac:dyDescent="0.2">
      <c r="B512" s="3" t="s">
        <v>27</v>
      </c>
      <c r="C512" t="s">
        <v>95</v>
      </c>
      <c r="D512" t="s">
        <v>13</v>
      </c>
      <c r="E512" s="8">
        <v>46024</v>
      </c>
      <c r="F512" t="s">
        <v>750</v>
      </c>
      <c r="G512" s="8">
        <v>46059</v>
      </c>
      <c r="H512" t="s">
        <v>469</v>
      </c>
      <c r="I512" t="e">
        <f>VLOOKUP(Tabela2[[#This Row],[Coluna7]],[1]!Tabela1[#All],2,0)</f>
        <v>#REF!</v>
      </c>
      <c r="J512" s="3" t="s">
        <v>737</v>
      </c>
      <c r="L512">
        <v>84.7</v>
      </c>
      <c r="Q512" s="10" t="str">
        <f>Tabela2[[#This Row],[Coluna5]]</f>
        <v>02/2026</v>
      </c>
      <c r="R512" s="10" t="str">
        <f>IF(Tabela2[[#This Row],[Coluna9]]&gt;0,"Entrada","Saída")</f>
        <v>Saída</v>
      </c>
      <c r="S512" s="10" t="str">
        <f>Tabela2[[#This Row],[Coluna8]]</f>
        <v>CARTÃO SANTANDER</v>
      </c>
      <c r="T512" s="10" t="e">
        <f>Tabela2[[#This Row],[Coluna72]]</f>
        <v>#REF!</v>
      </c>
      <c r="U512" s="10">
        <f>SUM(Tabela2[[#This Row],[Coluna9]],Tabela2[[#This Row],[Coluna10]])</f>
        <v>84.7</v>
      </c>
      <c r="V512" s="2">
        <f>Tabela2[[#This Row],[Coluna4]]</f>
        <v>46024</v>
      </c>
      <c r="W512" s="2">
        <f>Tabela2[[#This Row],[Coluna6]]</f>
        <v>46059</v>
      </c>
    </row>
    <row r="513" spans="2:23" x14ac:dyDescent="0.2">
      <c r="B513" s="3" t="s">
        <v>27</v>
      </c>
      <c r="C513" t="s">
        <v>95</v>
      </c>
      <c r="D513" t="s">
        <v>13</v>
      </c>
      <c r="E513" s="8">
        <v>46029</v>
      </c>
      <c r="F513" t="s">
        <v>750</v>
      </c>
      <c r="G513" s="8">
        <v>46059</v>
      </c>
      <c r="H513" t="s">
        <v>469</v>
      </c>
      <c r="I513" t="e">
        <f>VLOOKUP(Tabela2[[#This Row],[Coluna7]],[1]!Tabela1[#All],2,0)</f>
        <v>#REF!</v>
      </c>
      <c r="J513" s="3" t="s">
        <v>737</v>
      </c>
      <c r="L513">
        <v>38.880000000000003</v>
      </c>
      <c r="Q513" s="10" t="str">
        <f>Tabela2[[#This Row],[Coluna5]]</f>
        <v>02/2026</v>
      </c>
      <c r="R513" s="10" t="str">
        <f>IF(Tabela2[[#This Row],[Coluna9]]&gt;0,"Entrada","Saída")</f>
        <v>Saída</v>
      </c>
      <c r="S513" s="10" t="str">
        <f>Tabela2[[#This Row],[Coluna8]]</f>
        <v>CARTÃO SANTANDER</v>
      </c>
      <c r="T513" s="10" t="e">
        <f>Tabela2[[#This Row],[Coluna72]]</f>
        <v>#REF!</v>
      </c>
      <c r="U513" s="10">
        <f>SUM(Tabela2[[#This Row],[Coluna9]],Tabela2[[#This Row],[Coluna10]])</f>
        <v>38.880000000000003</v>
      </c>
      <c r="V513" s="2">
        <f>Tabela2[[#This Row],[Coluna4]]</f>
        <v>46029</v>
      </c>
      <c r="W513" s="2">
        <f>Tabela2[[#This Row],[Coluna6]]</f>
        <v>46059</v>
      </c>
    </row>
    <row r="514" spans="2:23" x14ac:dyDescent="0.2">
      <c r="B514" s="3" t="s">
        <v>27</v>
      </c>
      <c r="C514" t="s">
        <v>95</v>
      </c>
      <c r="D514" t="s">
        <v>13</v>
      </c>
      <c r="E514" s="8">
        <v>46029</v>
      </c>
      <c r="F514" t="s">
        <v>750</v>
      </c>
      <c r="G514" s="8">
        <v>46059</v>
      </c>
      <c r="H514" t="s">
        <v>458</v>
      </c>
      <c r="I514" t="e">
        <f>VLOOKUP(Tabela2[[#This Row],[Coluna7]],[1]!Tabela1[#All],2,0)</f>
        <v>#REF!</v>
      </c>
      <c r="J514" s="3" t="s">
        <v>737</v>
      </c>
      <c r="L514">
        <v>262.5</v>
      </c>
      <c r="Q514" s="10" t="str">
        <f>Tabela2[[#This Row],[Coluna5]]</f>
        <v>02/2026</v>
      </c>
      <c r="R514" s="10" t="str">
        <f>IF(Tabela2[[#This Row],[Coluna9]]&gt;0,"Entrada","Saída")</f>
        <v>Saída</v>
      </c>
      <c r="S514" s="10" t="str">
        <f>Tabela2[[#This Row],[Coluna8]]</f>
        <v>CARTÃO SANTANDER</v>
      </c>
      <c r="T514" s="10" t="e">
        <f>Tabela2[[#This Row],[Coluna72]]</f>
        <v>#REF!</v>
      </c>
      <c r="U514" s="10">
        <f>SUM(Tabela2[[#This Row],[Coluna9]],Tabela2[[#This Row],[Coluna10]])</f>
        <v>262.5</v>
      </c>
      <c r="V514" s="2">
        <f>Tabela2[[#This Row],[Coluna4]]</f>
        <v>46029</v>
      </c>
      <c r="W514" s="2">
        <f>Tabela2[[#This Row],[Coluna6]]</f>
        <v>46059</v>
      </c>
    </row>
    <row r="515" spans="2:23" x14ac:dyDescent="0.2">
      <c r="B515" s="3" t="s">
        <v>27</v>
      </c>
      <c r="C515" t="s">
        <v>95</v>
      </c>
      <c r="D515" t="s">
        <v>13</v>
      </c>
      <c r="E515" s="8">
        <v>46029</v>
      </c>
      <c r="F515" t="s">
        <v>750</v>
      </c>
      <c r="G515" s="8">
        <v>46059</v>
      </c>
      <c r="H515" t="s">
        <v>866</v>
      </c>
      <c r="I515" t="e">
        <f>VLOOKUP(Tabela2[[#This Row],[Coluna7]],[1]!Tabela1[#All],2,0)</f>
        <v>#REF!</v>
      </c>
      <c r="J515" s="3" t="s">
        <v>737</v>
      </c>
      <c r="L515">
        <v>126</v>
      </c>
      <c r="Q515" s="10" t="str">
        <f>Tabela2[[#This Row],[Coluna5]]</f>
        <v>02/2026</v>
      </c>
      <c r="R515" s="10" t="str">
        <f>IF(Tabela2[[#This Row],[Coluna9]]&gt;0,"Entrada","Saída")</f>
        <v>Saída</v>
      </c>
      <c r="S515" s="10" t="str">
        <f>Tabela2[[#This Row],[Coluna8]]</f>
        <v>CARTÃO SANTANDER</v>
      </c>
      <c r="T515" s="10" t="e">
        <f>Tabela2[[#This Row],[Coluna72]]</f>
        <v>#REF!</v>
      </c>
      <c r="U515" s="10">
        <f>SUM(Tabela2[[#This Row],[Coluna9]],Tabela2[[#This Row],[Coluna10]])</f>
        <v>126</v>
      </c>
      <c r="V515" s="2">
        <f>Tabela2[[#This Row],[Coluna4]]</f>
        <v>46029</v>
      </c>
      <c r="W515" s="2">
        <f>Tabela2[[#This Row],[Coluna6]]</f>
        <v>46059</v>
      </c>
    </row>
    <row r="516" spans="2:23" x14ac:dyDescent="0.2">
      <c r="B516" s="3" t="s">
        <v>27</v>
      </c>
      <c r="C516" t="s">
        <v>95</v>
      </c>
      <c r="D516" t="s">
        <v>13</v>
      </c>
      <c r="E516" s="8">
        <v>46029</v>
      </c>
      <c r="F516" t="s">
        <v>750</v>
      </c>
      <c r="G516" s="8">
        <v>46059</v>
      </c>
      <c r="H516" t="s">
        <v>528</v>
      </c>
      <c r="I516" t="e">
        <f>VLOOKUP(Tabela2[[#This Row],[Coluna7]],[1]!Tabela1[#All],2,0)</f>
        <v>#REF!</v>
      </c>
      <c r="J516" s="3" t="s">
        <v>737</v>
      </c>
      <c r="L516">
        <v>5.9</v>
      </c>
      <c r="Q516" s="10" t="str">
        <f>Tabela2[[#This Row],[Coluna5]]</f>
        <v>02/2026</v>
      </c>
      <c r="R516" s="10" t="str">
        <f>IF(Tabela2[[#This Row],[Coluna9]]&gt;0,"Entrada","Saída")</f>
        <v>Saída</v>
      </c>
      <c r="S516" s="10" t="str">
        <f>Tabela2[[#This Row],[Coluna8]]</f>
        <v>CARTÃO SANTANDER</v>
      </c>
      <c r="T516" s="10" t="e">
        <f>Tabela2[[#This Row],[Coluna72]]</f>
        <v>#REF!</v>
      </c>
      <c r="U516" s="10">
        <f>SUM(Tabela2[[#This Row],[Coluna9]],Tabela2[[#This Row],[Coluna10]])</f>
        <v>5.9</v>
      </c>
      <c r="V516" s="2">
        <f>Tabela2[[#This Row],[Coluna4]]</f>
        <v>46029</v>
      </c>
      <c r="W516" s="2">
        <f>Tabela2[[#This Row],[Coluna6]]</f>
        <v>46059</v>
      </c>
    </row>
    <row r="517" spans="2:23" x14ac:dyDescent="0.2">
      <c r="B517" s="3" t="s">
        <v>27</v>
      </c>
      <c r="C517" t="s">
        <v>95</v>
      </c>
      <c r="D517" t="s">
        <v>13</v>
      </c>
      <c r="E517" s="8">
        <v>46029</v>
      </c>
      <c r="F517" t="s">
        <v>750</v>
      </c>
      <c r="G517" s="8">
        <v>46059</v>
      </c>
      <c r="H517" t="s">
        <v>488</v>
      </c>
      <c r="I517" t="e">
        <f>VLOOKUP(Tabela2[[#This Row],[Coluna7]],[1]!Tabela1[#All],2,0)</f>
        <v>#REF!</v>
      </c>
      <c r="J517" s="3" t="s">
        <v>737</v>
      </c>
      <c r="L517">
        <v>15</v>
      </c>
      <c r="Q517" s="10" t="str">
        <f>Tabela2[[#This Row],[Coluna5]]</f>
        <v>02/2026</v>
      </c>
      <c r="R517" s="10" t="str">
        <f>IF(Tabela2[[#This Row],[Coluna9]]&gt;0,"Entrada","Saída")</f>
        <v>Saída</v>
      </c>
      <c r="S517" s="10" t="str">
        <f>Tabela2[[#This Row],[Coluna8]]</f>
        <v>CARTÃO SANTANDER</v>
      </c>
      <c r="T517" s="10" t="e">
        <f>Tabela2[[#This Row],[Coluna72]]</f>
        <v>#REF!</v>
      </c>
      <c r="U517" s="10">
        <f>SUM(Tabela2[[#This Row],[Coluna9]],Tabela2[[#This Row],[Coluna10]])</f>
        <v>15</v>
      </c>
      <c r="V517" s="2">
        <f>Tabela2[[#This Row],[Coluna4]]</f>
        <v>46029</v>
      </c>
      <c r="W517" s="2">
        <f>Tabela2[[#This Row],[Coluna6]]</f>
        <v>46059</v>
      </c>
    </row>
    <row r="518" spans="2:23" x14ac:dyDescent="0.2">
      <c r="B518" s="3" t="s">
        <v>27</v>
      </c>
      <c r="C518" t="s">
        <v>95</v>
      </c>
      <c r="D518" t="s">
        <v>13</v>
      </c>
      <c r="E518" s="8">
        <v>46029</v>
      </c>
      <c r="F518" t="s">
        <v>750</v>
      </c>
      <c r="G518" s="8">
        <v>46059</v>
      </c>
      <c r="H518" t="s">
        <v>469</v>
      </c>
      <c r="I518" t="e">
        <f>VLOOKUP(Tabela2[[#This Row],[Coluna7]],[1]!Tabela1[#All],2,0)</f>
        <v>#REF!</v>
      </c>
      <c r="J518" s="3" t="s">
        <v>737</v>
      </c>
      <c r="L518">
        <v>109.42</v>
      </c>
      <c r="Q518" s="10" t="str">
        <f>Tabela2[[#This Row],[Coluna5]]</f>
        <v>02/2026</v>
      </c>
      <c r="R518" s="10" t="str">
        <f>IF(Tabela2[[#This Row],[Coluna9]]&gt;0,"Entrada","Saída")</f>
        <v>Saída</v>
      </c>
      <c r="S518" s="10" t="str">
        <f>Tabela2[[#This Row],[Coluna8]]</f>
        <v>CARTÃO SANTANDER</v>
      </c>
      <c r="T518" s="10" t="e">
        <f>Tabela2[[#This Row],[Coluna72]]</f>
        <v>#REF!</v>
      </c>
      <c r="U518" s="10">
        <f>SUM(Tabela2[[#This Row],[Coluna9]],Tabela2[[#This Row],[Coluna10]])</f>
        <v>109.42</v>
      </c>
      <c r="V518" s="2">
        <f>Tabela2[[#This Row],[Coluna4]]</f>
        <v>46029</v>
      </c>
      <c r="W518" s="2">
        <f>Tabela2[[#This Row],[Coluna6]]</f>
        <v>46059</v>
      </c>
    </row>
    <row r="519" spans="2:23" x14ac:dyDescent="0.2">
      <c r="B519" s="3" t="s">
        <v>27</v>
      </c>
      <c r="C519" t="s">
        <v>95</v>
      </c>
      <c r="D519" t="s">
        <v>13</v>
      </c>
      <c r="E519" s="8">
        <v>46030</v>
      </c>
      <c r="F519" t="s">
        <v>750</v>
      </c>
      <c r="G519" s="8">
        <v>46059</v>
      </c>
      <c r="H519" t="s">
        <v>469</v>
      </c>
      <c r="I519" t="e">
        <f>VLOOKUP(Tabela2[[#This Row],[Coluna7]],[1]!Tabela1[#All],2,0)</f>
        <v>#REF!</v>
      </c>
      <c r="J519" s="3" t="s">
        <v>737</v>
      </c>
      <c r="L519">
        <v>27.18</v>
      </c>
      <c r="Q519" s="10" t="str">
        <f>Tabela2[[#This Row],[Coluna5]]</f>
        <v>02/2026</v>
      </c>
      <c r="R519" s="10" t="str">
        <f>IF(Tabela2[[#This Row],[Coluna9]]&gt;0,"Entrada","Saída")</f>
        <v>Saída</v>
      </c>
      <c r="S519" s="10" t="str">
        <f>Tabela2[[#This Row],[Coluna8]]</f>
        <v>CARTÃO SANTANDER</v>
      </c>
      <c r="T519" s="10" t="e">
        <f>Tabela2[[#This Row],[Coluna72]]</f>
        <v>#REF!</v>
      </c>
      <c r="U519" s="10">
        <f>SUM(Tabela2[[#This Row],[Coluna9]],Tabela2[[#This Row],[Coluna10]])</f>
        <v>27.18</v>
      </c>
      <c r="V519" s="2">
        <f>Tabela2[[#This Row],[Coluna4]]</f>
        <v>46030</v>
      </c>
      <c r="W519" s="2">
        <f>Tabela2[[#This Row],[Coluna6]]</f>
        <v>46059</v>
      </c>
    </row>
    <row r="520" spans="2:23" x14ac:dyDescent="0.2">
      <c r="B520" s="3" t="s">
        <v>27</v>
      </c>
      <c r="C520" t="s">
        <v>95</v>
      </c>
      <c r="D520" t="s">
        <v>13</v>
      </c>
      <c r="E520" s="8">
        <v>46032</v>
      </c>
      <c r="F520" t="s">
        <v>750</v>
      </c>
      <c r="G520" s="8">
        <v>46059</v>
      </c>
      <c r="H520" t="s">
        <v>488</v>
      </c>
      <c r="I520" t="e">
        <f>VLOOKUP(Tabela2[[#This Row],[Coluna7]],[1]!Tabela1[#All],2,0)</f>
        <v>#REF!</v>
      </c>
      <c r="J520" s="3" t="s">
        <v>737</v>
      </c>
      <c r="L520">
        <v>55</v>
      </c>
      <c r="Q520" s="10" t="str">
        <f>Tabela2[[#This Row],[Coluna5]]</f>
        <v>02/2026</v>
      </c>
      <c r="R520" s="10" t="str">
        <f>IF(Tabela2[[#This Row],[Coluna9]]&gt;0,"Entrada","Saída")</f>
        <v>Saída</v>
      </c>
      <c r="S520" s="10" t="str">
        <f>Tabela2[[#This Row],[Coluna8]]</f>
        <v>CARTÃO SANTANDER</v>
      </c>
      <c r="T520" s="10" t="e">
        <f>Tabela2[[#This Row],[Coluna72]]</f>
        <v>#REF!</v>
      </c>
      <c r="U520" s="10">
        <f>SUM(Tabela2[[#This Row],[Coluna9]],Tabela2[[#This Row],[Coluna10]])</f>
        <v>55</v>
      </c>
      <c r="V520" s="2">
        <f>Tabela2[[#This Row],[Coluna4]]</f>
        <v>46032</v>
      </c>
      <c r="W520" s="2">
        <f>Tabela2[[#This Row],[Coluna6]]</f>
        <v>46059</v>
      </c>
    </row>
    <row r="521" spans="2:23" x14ac:dyDescent="0.2">
      <c r="B521" s="3" t="s">
        <v>27</v>
      </c>
      <c r="C521" t="s">
        <v>95</v>
      </c>
      <c r="D521" t="s">
        <v>13</v>
      </c>
      <c r="E521" s="8">
        <v>46032</v>
      </c>
      <c r="F521" t="s">
        <v>750</v>
      </c>
      <c r="G521" s="8">
        <v>46059</v>
      </c>
      <c r="H521" t="s">
        <v>746</v>
      </c>
      <c r="I521" t="e">
        <f>VLOOKUP(Tabela2[[#This Row],[Coluna7]],[1]!Tabela1[#All],2,0)</f>
        <v>#REF!</v>
      </c>
      <c r="J521" s="3" t="s">
        <v>737</v>
      </c>
      <c r="L521">
        <v>292.08999999999997</v>
      </c>
      <c r="Q521" s="10" t="str">
        <f>Tabela2[[#This Row],[Coluna5]]</f>
        <v>02/2026</v>
      </c>
      <c r="R521" s="10" t="str">
        <f>IF(Tabela2[[#This Row],[Coluna9]]&gt;0,"Entrada","Saída")</f>
        <v>Saída</v>
      </c>
      <c r="S521" s="10" t="str">
        <f>Tabela2[[#This Row],[Coluna8]]</f>
        <v>CARTÃO SANTANDER</v>
      </c>
      <c r="T521" s="10" t="e">
        <f>Tabela2[[#This Row],[Coluna72]]</f>
        <v>#REF!</v>
      </c>
      <c r="U521" s="10">
        <f>SUM(Tabela2[[#This Row],[Coluna9]],Tabela2[[#This Row],[Coluna10]])</f>
        <v>292.08999999999997</v>
      </c>
      <c r="V521" s="2">
        <f>Tabela2[[#This Row],[Coluna4]]</f>
        <v>46032</v>
      </c>
      <c r="W521" s="2">
        <f>Tabela2[[#This Row],[Coluna6]]</f>
        <v>46059</v>
      </c>
    </row>
    <row r="522" spans="2:23" x14ac:dyDescent="0.2">
      <c r="B522" s="3" t="s">
        <v>27</v>
      </c>
      <c r="C522" t="s">
        <v>95</v>
      </c>
      <c r="D522" t="s">
        <v>13</v>
      </c>
      <c r="E522" s="8">
        <v>46033</v>
      </c>
      <c r="F522" t="s">
        <v>750</v>
      </c>
      <c r="G522" s="8">
        <v>46059</v>
      </c>
      <c r="H522" t="s">
        <v>746</v>
      </c>
      <c r="I522" t="e">
        <f>VLOOKUP(Tabela2[[#This Row],[Coluna7]],[1]!Tabela1[#All],2,0)</f>
        <v>#REF!</v>
      </c>
      <c r="J522" s="3" t="s">
        <v>737</v>
      </c>
      <c r="L522">
        <v>325.8</v>
      </c>
      <c r="Q522" s="10" t="str">
        <f>Tabela2[[#This Row],[Coluna5]]</f>
        <v>02/2026</v>
      </c>
      <c r="R522" s="10" t="str">
        <f>IF(Tabela2[[#This Row],[Coluna9]]&gt;0,"Entrada","Saída")</f>
        <v>Saída</v>
      </c>
      <c r="S522" s="10" t="str">
        <f>Tabela2[[#This Row],[Coluna8]]</f>
        <v>CARTÃO SANTANDER</v>
      </c>
      <c r="T522" s="10" t="e">
        <f>Tabela2[[#This Row],[Coluna72]]</f>
        <v>#REF!</v>
      </c>
      <c r="U522" s="10">
        <f>SUM(Tabela2[[#This Row],[Coluna9]],Tabela2[[#This Row],[Coluna10]])</f>
        <v>325.8</v>
      </c>
      <c r="V522" s="2">
        <f>Tabela2[[#This Row],[Coluna4]]</f>
        <v>46033</v>
      </c>
      <c r="W522" s="2">
        <f>Tabela2[[#This Row],[Coluna6]]</f>
        <v>46059</v>
      </c>
    </row>
    <row r="523" spans="2:23" x14ac:dyDescent="0.2">
      <c r="B523" s="3" t="s">
        <v>27</v>
      </c>
      <c r="C523" t="s">
        <v>95</v>
      </c>
      <c r="D523" t="s">
        <v>13</v>
      </c>
      <c r="E523" s="8">
        <v>46033</v>
      </c>
      <c r="F523" t="s">
        <v>750</v>
      </c>
      <c r="G523" s="8">
        <v>46059</v>
      </c>
      <c r="H523" t="s">
        <v>469</v>
      </c>
      <c r="I523" t="e">
        <f>VLOOKUP(Tabela2[[#This Row],[Coluna7]],[1]!Tabela1[#All],2,0)</f>
        <v>#REF!</v>
      </c>
      <c r="J523" s="3" t="s">
        <v>737</v>
      </c>
      <c r="L523">
        <v>26.33</v>
      </c>
      <c r="Q523" s="10" t="str">
        <f>Tabela2[[#This Row],[Coluna5]]</f>
        <v>02/2026</v>
      </c>
      <c r="R523" s="10" t="str">
        <f>IF(Tabela2[[#This Row],[Coluna9]]&gt;0,"Entrada","Saída")</f>
        <v>Saída</v>
      </c>
      <c r="S523" s="10" t="str">
        <f>Tabela2[[#This Row],[Coluna8]]</f>
        <v>CARTÃO SANTANDER</v>
      </c>
      <c r="T523" s="10" t="e">
        <f>Tabela2[[#This Row],[Coluna72]]</f>
        <v>#REF!</v>
      </c>
      <c r="U523" s="10">
        <f>SUM(Tabela2[[#This Row],[Coluna9]],Tabela2[[#This Row],[Coluna10]])</f>
        <v>26.33</v>
      </c>
      <c r="V523" s="2">
        <f>Tabela2[[#This Row],[Coluna4]]</f>
        <v>46033</v>
      </c>
      <c r="W523" s="2">
        <f>Tabela2[[#This Row],[Coluna6]]</f>
        <v>46059</v>
      </c>
    </row>
    <row r="524" spans="2:23" x14ac:dyDescent="0.2">
      <c r="B524" s="3" t="s">
        <v>27</v>
      </c>
      <c r="C524" t="s">
        <v>95</v>
      </c>
      <c r="D524" t="s">
        <v>13</v>
      </c>
      <c r="E524" s="8">
        <v>46034</v>
      </c>
      <c r="F524" t="s">
        <v>750</v>
      </c>
      <c r="G524" s="8">
        <v>46059</v>
      </c>
      <c r="H524" t="s">
        <v>570</v>
      </c>
      <c r="I524" t="e">
        <f>VLOOKUP(Tabela2[[#This Row],[Coluna7]],[1]!Tabela1[#All],2,0)</f>
        <v>#REF!</v>
      </c>
      <c r="J524" s="3" t="s">
        <v>737</v>
      </c>
      <c r="L524">
        <v>204.93</v>
      </c>
      <c r="Q524" s="10" t="str">
        <f>Tabela2[[#This Row],[Coluna5]]</f>
        <v>02/2026</v>
      </c>
      <c r="R524" s="10" t="str">
        <f>IF(Tabela2[[#This Row],[Coluna9]]&gt;0,"Entrada","Saída")</f>
        <v>Saída</v>
      </c>
      <c r="S524" s="10" t="str">
        <f>Tabela2[[#This Row],[Coluna8]]</f>
        <v>CARTÃO SANTANDER</v>
      </c>
      <c r="T524" s="10" t="e">
        <f>Tabela2[[#This Row],[Coluna72]]</f>
        <v>#REF!</v>
      </c>
      <c r="U524" s="10">
        <f>SUM(Tabela2[[#This Row],[Coluna9]],Tabela2[[#This Row],[Coluna10]])</f>
        <v>204.93</v>
      </c>
      <c r="V524" s="2">
        <f>Tabela2[[#This Row],[Coluna4]]</f>
        <v>46034</v>
      </c>
      <c r="W524" s="2">
        <f>Tabela2[[#This Row],[Coluna6]]</f>
        <v>46059</v>
      </c>
    </row>
    <row r="525" spans="2:23" x14ac:dyDescent="0.2">
      <c r="B525" s="3" t="s">
        <v>27</v>
      </c>
      <c r="C525" t="s">
        <v>95</v>
      </c>
      <c r="D525" t="s">
        <v>13</v>
      </c>
      <c r="E525" s="8">
        <v>46034</v>
      </c>
      <c r="F525" t="s">
        <v>750</v>
      </c>
      <c r="G525" s="8">
        <v>46059</v>
      </c>
      <c r="H525" t="s">
        <v>488</v>
      </c>
      <c r="I525" t="e">
        <f>VLOOKUP(Tabela2[[#This Row],[Coluna7]],[1]!Tabela1[#All],2,0)</f>
        <v>#REF!</v>
      </c>
      <c r="J525" s="3" t="s">
        <v>737</v>
      </c>
      <c r="L525">
        <v>34.4</v>
      </c>
      <c r="Q525" s="10" t="str">
        <f>Tabela2[[#This Row],[Coluna5]]</f>
        <v>02/2026</v>
      </c>
      <c r="R525" s="10" t="str">
        <f>IF(Tabela2[[#This Row],[Coluna9]]&gt;0,"Entrada","Saída")</f>
        <v>Saída</v>
      </c>
      <c r="S525" s="10" t="str">
        <f>Tabela2[[#This Row],[Coluna8]]</f>
        <v>CARTÃO SANTANDER</v>
      </c>
      <c r="T525" s="10" t="e">
        <f>Tabela2[[#This Row],[Coluna72]]</f>
        <v>#REF!</v>
      </c>
      <c r="U525" s="10">
        <f>SUM(Tabela2[[#This Row],[Coluna9]],Tabela2[[#This Row],[Coluna10]])</f>
        <v>34.4</v>
      </c>
      <c r="V525" s="2">
        <f>Tabela2[[#This Row],[Coluna4]]</f>
        <v>46034</v>
      </c>
      <c r="W525" s="2">
        <f>Tabela2[[#This Row],[Coluna6]]</f>
        <v>46059</v>
      </c>
    </row>
    <row r="526" spans="2:23" x14ac:dyDescent="0.2">
      <c r="B526" s="3" t="s">
        <v>27</v>
      </c>
      <c r="C526" t="s">
        <v>95</v>
      </c>
      <c r="D526" t="s">
        <v>13</v>
      </c>
      <c r="E526" s="8">
        <v>46034</v>
      </c>
      <c r="F526" t="s">
        <v>750</v>
      </c>
      <c r="G526" s="8">
        <v>46059</v>
      </c>
      <c r="H526" t="s">
        <v>488</v>
      </c>
      <c r="I526" t="e">
        <f>VLOOKUP(Tabela2[[#This Row],[Coluna7]],[1]!Tabela1[#All],2,0)</f>
        <v>#REF!</v>
      </c>
      <c r="J526" s="3" t="s">
        <v>737</v>
      </c>
      <c r="L526">
        <v>34.4</v>
      </c>
      <c r="Q526" s="10" t="str">
        <f>Tabela2[[#This Row],[Coluna5]]</f>
        <v>02/2026</v>
      </c>
      <c r="R526" s="10" t="str">
        <f>IF(Tabela2[[#This Row],[Coluna9]]&gt;0,"Entrada","Saída")</f>
        <v>Saída</v>
      </c>
      <c r="S526" s="10" t="str">
        <f>Tabela2[[#This Row],[Coluna8]]</f>
        <v>CARTÃO SANTANDER</v>
      </c>
      <c r="T526" s="10" t="e">
        <f>Tabela2[[#This Row],[Coluna72]]</f>
        <v>#REF!</v>
      </c>
      <c r="U526" s="10">
        <f>SUM(Tabela2[[#This Row],[Coluna9]],Tabela2[[#This Row],[Coluna10]])</f>
        <v>34.4</v>
      </c>
      <c r="V526" s="2">
        <f>Tabela2[[#This Row],[Coluna4]]</f>
        <v>46034</v>
      </c>
      <c r="W526" s="2">
        <f>Tabela2[[#This Row],[Coluna6]]</f>
        <v>46059</v>
      </c>
    </row>
    <row r="527" spans="2:23" x14ac:dyDescent="0.2">
      <c r="B527" s="3" t="s">
        <v>27</v>
      </c>
      <c r="C527" t="s">
        <v>95</v>
      </c>
      <c r="D527" t="s">
        <v>13</v>
      </c>
      <c r="E527" s="8">
        <v>46034</v>
      </c>
      <c r="F527" t="s">
        <v>750</v>
      </c>
      <c r="G527" s="8">
        <v>46059</v>
      </c>
      <c r="H527" t="s">
        <v>469</v>
      </c>
      <c r="I527" t="e">
        <f>VLOOKUP(Tabela2[[#This Row],[Coluna7]],[1]!Tabela1[#All],2,0)</f>
        <v>#REF!</v>
      </c>
      <c r="J527" s="3" t="s">
        <v>737</v>
      </c>
      <c r="L527">
        <v>139.08000000000001</v>
      </c>
      <c r="Q527" s="10" t="str">
        <f>Tabela2[[#This Row],[Coluna5]]</f>
        <v>02/2026</v>
      </c>
      <c r="R527" s="10" t="str">
        <f>IF(Tabela2[[#This Row],[Coluna9]]&gt;0,"Entrada","Saída")</f>
        <v>Saída</v>
      </c>
      <c r="S527" s="10" t="str">
        <f>Tabela2[[#This Row],[Coluna8]]</f>
        <v>CARTÃO SANTANDER</v>
      </c>
      <c r="T527" s="10" t="e">
        <f>Tabela2[[#This Row],[Coluna72]]</f>
        <v>#REF!</v>
      </c>
      <c r="U527" s="10">
        <f>SUM(Tabela2[[#This Row],[Coluna9]],Tabela2[[#This Row],[Coluna10]])</f>
        <v>139.08000000000001</v>
      </c>
      <c r="V527" s="2">
        <f>Tabela2[[#This Row],[Coluna4]]</f>
        <v>46034</v>
      </c>
      <c r="W527" s="2">
        <f>Tabela2[[#This Row],[Coluna6]]</f>
        <v>46059</v>
      </c>
    </row>
    <row r="528" spans="2:23" x14ac:dyDescent="0.2">
      <c r="B528" s="3" t="s">
        <v>27</v>
      </c>
      <c r="C528" t="s">
        <v>95</v>
      </c>
      <c r="D528" t="s">
        <v>13</v>
      </c>
      <c r="E528" s="8">
        <v>46038</v>
      </c>
      <c r="F528" t="s">
        <v>750</v>
      </c>
      <c r="G528" s="8">
        <v>46059</v>
      </c>
      <c r="H528" t="s">
        <v>438</v>
      </c>
      <c r="I528" t="e">
        <f>VLOOKUP(Tabela2[[#This Row],[Coluna7]],[1]!Tabela1[#All],2,0)</f>
        <v>#REF!</v>
      </c>
      <c r="J528" s="3" t="s">
        <v>737</v>
      </c>
      <c r="L528">
        <v>45</v>
      </c>
      <c r="Q528" s="10" t="str">
        <f>Tabela2[[#This Row],[Coluna5]]</f>
        <v>02/2026</v>
      </c>
      <c r="R528" s="10" t="str">
        <f>IF(Tabela2[[#This Row],[Coluna9]]&gt;0,"Entrada","Saída")</f>
        <v>Saída</v>
      </c>
      <c r="S528" s="10" t="str">
        <f>Tabela2[[#This Row],[Coluna8]]</f>
        <v>CARTÃO SANTANDER</v>
      </c>
      <c r="T528" s="10" t="e">
        <f>Tabela2[[#This Row],[Coluna72]]</f>
        <v>#REF!</v>
      </c>
      <c r="U528" s="10">
        <f>SUM(Tabela2[[#This Row],[Coluna9]],Tabela2[[#This Row],[Coluna10]])</f>
        <v>45</v>
      </c>
      <c r="V528" s="2">
        <f>Tabela2[[#This Row],[Coluna4]]</f>
        <v>46038</v>
      </c>
      <c r="W528" s="2">
        <f>Tabela2[[#This Row],[Coluna6]]</f>
        <v>46059</v>
      </c>
    </row>
    <row r="529" spans="2:23" x14ac:dyDescent="0.2">
      <c r="B529" s="3" t="s">
        <v>27</v>
      </c>
      <c r="C529" t="s">
        <v>95</v>
      </c>
      <c r="D529" t="s">
        <v>13</v>
      </c>
      <c r="E529" s="8">
        <v>46040</v>
      </c>
      <c r="F529" t="s">
        <v>750</v>
      </c>
      <c r="G529" s="8">
        <v>46059</v>
      </c>
      <c r="H529" t="s">
        <v>469</v>
      </c>
      <c r="I529" t="e">
        <f>VLOOKUP(Tabela2[[#This Row],[Coluna7]],[1]!Tabela1[#All],2,0)</f>
        <v>#REF!</v>
      </c>
      <c r="J529" s="3" t="s">
        <v>737</v>
      </c>
      <c r="L529">
        <v>36.869999999999997</v>
      </c>
      <c r="Q529" s="10" t="str">
        <f>Tabela2[[#This Row],[Coluna5]]</f>
        <v>02/2026</v>
      </c>
      <c r="R529" s="10" t="str">
        <f>IF(Tabela2[[#This Row],[Coluna9]]&gt;0,"Entrada","Saída")</f>
        <v>Saída</v>
      </c>
      <c r="S529" s="10" t="str">
        <f>Tabela2[[#This Row],[Coluna8]]</f>
        <v>CARTÃO SANTANDER</v>
      </c>
      <c r="T529" s="10" t="e">
        <f>Tabela2[[#This Row],[Coluna72]]</f>
        <v>#REF!</v>
      </c>
      <c r="U529" s="10">
        <f>SUM(Tabela2[[#This Row],[Coluna9]],Tabela2[[#This Row],[Coluna10]])</f>
        <v>36.869999999999997</v>
      </c>
      <c r="V529" s="2">
        <f>Tabela2[[#This Row],[Coluna4]]</f>
        <v>46040</v>
      </c>
      <c r="W529" s="2">
        <f>Tabela2[[#This Row],[Coluna6]]</f>
        <v>46059</v>
      </c>
    </row>
    <row r="530" spans="2:23" x14ac:dyDescent="0.2">
      <c r="B530" s="3" t="s">
        <v>27</v>
      </c>
      <c r="C530" t="s">
        <v>95</v>
      </c>
      <c r="D530" t="s">
        <v>13</v>
      </c>
      <c r="E530" s="8">
        <v>46040</v>
      </c>
      <c r="F530" t="s">
        <v>750</v>
      </c>
      <c r="G530" s="8">
        <v>46059</v>
      </c>
      <c r="H530" t="s">
        <v>538</v>
      </c>
      <c r="I530" t="e">
        <f>VLOOKUP(Tabela2[[#This Row],[Coluna7]],[1]!Tabela1[#All],2,0)</f>
        <v>#REF!</v>
      </c>
      <c r="J530" s="3" t="s">
        <v>737</v>
      </c>
      <c r="L530">
        <v>0.75</v>
      </c>
      <c r="Q530" s="10" t="str">
        <f>Tabela2[[#This Row],[Coluna5]]</f>
        <v>02/2026</v>
      </c>
      <c r="R530" s="10" t="str">
        <f>IF(Tabela2[[#This Row],[Coluna9]]&gt;0,"Entrada","Saída")</f>
        <v>Saída</v>
      </c>
      <c r="S530" s="10" t="str">
        <f>Tabela2[[#This Row],[Coluna8]]</f>
        <v>CARTÃO SANTANDER</v>
      </c>
      <c r="T530" s="10" t="e">
        <f>Tabela2[[#This Row],[Coluna72]]</f>
        <v>#REF!</v>
      </c>
      <c r="U530" s="10">
        <f>SUM(Tabela2[[#This Row],[Coluna9]],Tabela2[[#This Row],[Coluna10]])</f>
        <v>0.75</v>
      </c>
      <c r="V530" s="2">
        <f>Tabela2[[#This Row],[Coluna4]]</f>
        <v>46040</v>
      </c>
      <c r="W530" s="2">
        <f>Tabela2[[#This Row],[Coluna6]]</f>
        <v>46059</v>
      </c>
    </row>
    <row r="531" spans="2:23" x14ac:dyDescent="0.2">
      <c r="B531" s="3" t="s">
        <v>27</v>
      </c>
      <c r="C531" t="s">
        <v>95</v>
      </c>
      <c r="D531" t="s">
        <v>13</v>
      </c>
      <c r="E531" s="8">
        <v>46041</v>
      </c>
      <c r="F531" t="s">
        <v>750</v>
      </c>
      <c r="G531" s="8">
        <v>46059</v>
      </c>
      <c r="H531" t="s">
        <v>469</v>
      </c>
      <c r="I531" t="e">
        <f>VLOOKUP(Tabela2[[#This Row],[Coluna7]],[1]!Tabela1[#All],2,0)</f>
        <v>#REF!</v>
      </c>
      <c r="J531" s="3" t="s">
        <v>737</v>
      </c>
      <c r="L531">
        <v>36.54</v>
      </c>
      <c r="Q531" s="10" t="str">
        <f>Tabela2[[#This Row],[Coluna5]]</f>
        <v>02/2026</v>
      </c>
      <c r="R531" s="10" t="str">
        <f>IF(Tabela2[[#This Row],[Coluna9]]&gt;0,"Entrada","Saída")</f>
        <v>Saída</v>
      </c>
      <c r="S531" s="10" t="str">
        <f>Tabela2[[#This Row],[Coluna8]]</f>
        <v>CARTÃO SANTANDER</v>
      </c>
      <c r="T531" s="10" t="e">
        <f>Tabela2[[#This Row],[Coluna72]]</f>
        <v>#REF!</v>
      </c>
      <c r="U531" s="10">
        <f>SUM(Tabela2[[#This Row],[Coluna9]],Tabela2[[#This Row],[Coluna10]])</f>
        <v>36.54</v>
      </c>
      <c r="V531" s="2">
        <f>Tabela2[[#This Row],[Coluna4]]</f>
        <v>46041</v>
      </c>
      <c r="W531" s="2">
        <f>Tabela2[[#This Row],[Coluna6]]</f>
        <v>46059</v>
      </c>
    </row>
    <row r="532" spans="2:23" x14ac:dyDescent="0.2">
      <c r="B532" s="3" t="s">
        <v>27</v>
      </c>
      <c r="C532" t="s">
        <v>95</v>
      </c>
      <c r="D532" t="s">
        <v>13</v>
      </c>
      <c r="E532" s="8">
        <v>46041</v>
      </c>
      <c r="F532" t="s">
        <v>750</v>
      </c>
      <c r="G532" s="8">
        <v>46059</v>
      </c>
      <c r="H532" t="s">
        <v>488</v>
      </c>
      <c r="I532" t="e">
        <f>VLOOKUP(Tabela2[[#This Row],[Coluna7]],[1]!Tabela1[#All],2,0)</f>
        <v>#REF!</v>
      </c>
      <c r="J532" s="3" t="s">
        <v>737</v>
      </c>
      <c r="L532">
        <v>30</v>
      </c>
      <c r="Q532" s="10" t="str">
        <f>Tabela2[[#This Row],[Coluna5]]</f>
        <v>02/2026</v>
      </c>
      <c r="R532" s="10" t="str">
        <f>IF(Tabela2[[#This Row],[Coluna9]]&gt;0,"Entrada","Saída")</f>
        <v>Saída</v>
      </c>
      <c r="S532" s="10" t="str">
        <f>Tabela2[[#This Row],[Coluna8]]</f>
        <v>CARTÃO SANTANDER</v>
      </c>
      <c r="T532" s="10" t="e">
        <f>Tabela2[[#This Row],[Coluna72]]</f>
        <v>#REF!</v>
      </c>
      <c r="U532" s="10">
        <f>SUM(Tabela2[[#This Row],[Coluna9]],Tabela2[[#This Row],[Coluna10]])</f>
        <v>30</v>
      </c>
      <c r="V532" s="2">
        <f>Tabela2[[#This Row],[Coluna4]]</f>
        <v>46041</v>
      </c>
      <c r="W532" s="2">
        <f>Tabela2[[#This Row],[Coluna6]]</f>
        <v>46059</v>
      </c>
    </row>
    <row r="533" spans="2:23" x14ac:dyDescent="0.2">
      <c r="B533" s="3" t="s">
        <v>27</v>
      </c>
      <c r="C533" t="s">
        <v>95</v>
      </c>
      <c r="D533" t="s">
        <v>13</v>
      </c>
      <c r="E533" s="8">
        <v>46045</v>
      </c>
      <c r="F533" t="s">
        <v>750</v>
      </c>
      <c r="G533" s="8">
        <v>46059</v>
      </c>
      <c r="H533" t="s">
        <v>746</v>
      </c>
      <c r="I533" t="e">
        <f>VLOOKUP(Tabela2[[#This Row],[Coluna7]],[1]!Tabela1[#All],2,0)</f>
        <v>#REF!</v>
      </c>
      <c r="J533" s="3" t="s">
        <v>737</v>
      </c>
      <c r="L533">
        <v>173.7</v>
      </c>
      <c r="Q533" s="10" t="str">
        <f>Tabela2[[#This Row],[Coluna5]]</f>
        <v>02/2026</v>
      </c>
      <c r="R533" s="10" t="str">
        <f>IF(Tabela2[[#This Row],[Coluna9]]&gt;0,"Entrada","Saída")</f>
        <v>Saída</v>
      </c>
      <c r="S533" s="10" t="str">
        <f>Tabela2[[#This Row],[Coluna8]]</f>
        <v>CARTÃO SANTANDER</v>
      </c>
      <c r="T533" s="10" t="e">
        <f>Tabela2[[#This Row],[Coluna72]]</f>
        <v>#REF!</v>
      </c>
      <c r="U533" s="10">
        <f>SUM(Tabela2[[#This Row],[Coluna9]],Tabela2[[#This Row],[Coluna10]])</f>
        <v>173.7</v>
      </c>
      <c r="V533" s="2">
        <f>Tabela2[[#This Row],[Coluna4]]</f>
        <v>46045</v>
      </c>
      <c r="W533" s="2">
        <f>Tabela2[[#This Row],[Coluna6]]</f>
        <v>46059</v>
      </c>
    </row>
    <row r="534" spans="2:23" x14ac:dyDescent="0.2">
      <c r="B534" s="3" t="s">
        <v>27</v>
      </c>
      <c r="C534" t="s">
        <v>95</v>
      </c>
      <c r="D534" t="s">
        <v>13</v>
      </c>
      <c r="E534" s="8">
        <v>46045</v>
      </c>
      <c r="F534" t="s">
        <v>750</v>
      </c>
      <c r="G534" s="8">
        <v>46059</v>
      </c>
      <c r="H534" t="s">
        <v>435</v>
      </c>
      <c r="I534" t="e">
        <f>VLOOKUP(Tabela2[[#This Row],[Coluna7]],[1]!Tabela1[#All],2,0)</f>
        <v>#REF!</v>
      </c>
      <c r="J534" s="3" t="s">
        <v>737</v>
      </c>
      <c r="L534">
        <v>44.25</v>
      </c>
      <c r="Q534" s="10" t="str">
        <f>Tabela2[[#This Row],[Coluna5]]</f>
        <v>02/2026</v>
      </c>
      <c r="R534" s="10" t="str">
        <f>IF(Tabela2[[#This Row],[Coluna9]]&gt;0,"Entrada","Saída")</f>
        <v>Saída</v>
      </c>
      <c r="S534" s="10" t="str">
        <f>Tabela2[[#This Row],[Coluna8]]</f>
        <v>CARTÃO SANTANDER</v>
      </c>
      <c r="T534" s="10" t="e">
        <f>Tabela2[[#This Row],[Coluna72]]</f>
        <v>#REF!</v>
      </c>
      <c r="U534" s="10">
        <f>SUM(Tabela2[[#This Row],[Coluna9]],Tabela2[[#This Row],[Coluna10]])</f>
        <v>44.25</v>
      </c>
      <c r="V534" s="2">
        <f>Tabela2[[#This Row],[Coluna4]]</f>
        <v>46045</v>
      </c>
      <c r="W534" s="2">
        <f>Tabela2[[#This Row],[Coluna6]]</f>
        <v>46059</v>
      </c>
    </row>
    <row r="535" spans="2:23" x14ac:dyDescent="0.2">
      <c r="B535" s="3" t="s">
        <v>27</v>
      </c>
      <c r="C535" t="s">
        <v>95</v>
      </c>
      <c r="D535" t="s">
        <v>13</v>
      </c>
      <c r="E535" s="8">
        <v>46050</v>
      </c>
      <c r="F535" t="s">
        <v>750</v>
      </c>
      <c r="G535" s="8">
        <v>46059</v>
      </c>
      <c r="H535" t="s">
        <v>445</v>
      </c>
      <c r="I535" t="e">
        <f>VLOOKUP(Tabela2[[#This Row],[Coluna7]],[1]!Tabela1[#All],2,0)</f>
        <v>#REF!</v>
      </c>
      <c r="J535" s="3" t="s">
        <v>737</v>
      </c>
      <c r="L535">
        <v>125</v>
      </c>
      <c r="Q535" s="10" t="str">
        <f>Tabela2[[#This Row],[Coluna5]]</f>
        <v>02/2026</v>
      </c>
      <c r="R535" s="10" t="str">
        <f>IF(Tabela2[[#This Row],[Coluna9]]&gt;0,"Entrada","Saída")</f>
        <v>Saída</v>
      </c>
      <c r="S535" s="10" t="str">
        <f>Tabela2[[#This Row],[Coluna8]]</f>
        <v>CARTÃO SANTANDER</v>
      </c>
      <c r="T535" s="10" t="e">
        <f>Tabela2[[#This Row],[Coluna72]]</f>
        <v>#REF!</v>
      </c>
      <c r="U535" s="10">
        <f>SUM(Tabela2[[#This Row],[Coluna9]],Tabela2[[#This Row],[Coluna10]])</f>
        <v>125</v>
      </c>
      <c r="V535" s="2">
        <f>Tabela2[[#This Row],[Coluna4]]</f>
        <v>46050</v>
      </c>
      <c r="W535" s="2">
        <f>Tabela2[[#This Row],[Coluna6]]</f>
        <v>46059</v>
      </c>
    </row>
    <row r="536" spans="2:23" x14ac:dyDescent="0.2">
      <c r="B536" s="3" t="s">
        <v>27</v>
      </c>
      <c r="C536" t="s">
        <v>95</v>
      </c>
      <c r="D536" t="s">
        <v>13</v>
      </c>
      <c r="E536" s="8">
        <v>46050</v>
      </c>
      <c r="F536" t="s">
        <v>750</v>
      </c>
      <c r="G536" s="8">
        <v>46059</v>
      </c>
      <c r="H536" t="s">
        <v>570</v>
      </c>
      <c r="I536" t="e">
        <f>VLOOKUP(Tabela2[[#This Row],[Coluna7]],[1]!Tabela1[#All],2,0)</f>
        <v>#REF!</v>
      </c>
      <c r="J536" s="3" t="s">
        <v>737</v>
      </c>
      <c r="L536">
        <v>26.33</v>
      </c>
      <c r="Q536" s="10" t="str">
        <f>Tabela2[[#This Row],[Coluna5]]</f>
        <v>02/2026</v>
      </c>
      <c r="R536" s="10" t="str">
        <f>IF(Tabela2[[#This Row],[Coluna9]]&gt;0,"Entrada","Saída")</f>
        <v>Saída</v>
      </c>
      <c r="S536" s="10" t="str">
        <f>Tabela2[[#This Row],[Coluna8]]</f>
        <v>CARTÃO SANTANDER</v>
      </c>
      <c r="T536" s="10" t="e">
        <f>Tabela2[[#This Row],[Coluna72]]</f>
        <v>#REF!</v>
      </c>
      <c r="U536" s="10">
        <f>SUM(Tabela2[[#This Row],[Coluna9]],Tabela2[[#This Row],[Coluna10]])</f>
        <v>26.33</v>
      </c>
      <c r="V536" s="2">
        <f>Tabela2[[#This Row],[Coluna4]]</f>
        <v>46050</v>
      </c>
      <c r="W536" s="2">
        <f>Tabela2[[#This Row],[Coluna6]]</f>
        <v>46059</v>
      </c>
    </row>
    <row r="537" spans="2:23" x14ac:dyDescent="0.2">
      <c r="B537" s="3" t="s">
        <v>27</v>
      </c>
      <c r="C537" t="s">
        <v>95</v>
      </c>
      <c r="D537" t="s">
        <v>13</v>
      </c>
      <c r="E537" s="8">
        <v>46050</v>
      </c>
      <c r="F537" t="s">
        <v>750</v>
      </c>
      <c r="G537" s="8">
        <v>46059</v>
      </c>
      <c r="H537" t="s">
        <v>435</v>
      </c>
      <c r="I537" t="e">
        <f>VLOOKUP(Tabela2[[#This Row],[Coluna7]],[1]!Tabela1[#All],2,0)</f>
        <v>#REF!</v>
      </c>
      <c r="J537" s="3" t="s">
        <v>737</v>
      </c>
      <c r="L537">
        <v>89.37</v>
      </c>
      <c r="Q537" s="10" t="str">
        <f>Tabela2[[#This Row],[Coluna5]]</f>
        <v>02/2026</v>
      </c>
      <c r="R537" s="10" t="str">
        <f>IF(Tabela2[[#This Row],[Coluna9]]&gt;0,"Entrada","Saída")</f>
        <v>Saída</v>
      </c>
      <c r="S537" s="10" t="str">
        <f>Tabela2[[#This Row],[Coluna8]]</f>
        <v>CARTÃO SANTANDER</v>
      </c>
      <c r="T537" s="10" t="e">
        <f>Tabela2[[#This Row],[Coluna72]]</f>
        <v>#REF!</v>
      </c>
      <c r="U537" s="10">
        <f>SUM(Tabela2[[#This Row],[Coluna9]],Tabela2[[#This Row],[Coluna10]])</f>
        <v>89.37</v>
      </c>
      <c r="V537" s="2">
        <f>Tabela2[[#This Row],[Coluna4]]</f>
        <v>46050</v>
      </c>
      <c r="W537" s="2">
        <f>Tabela2[[#This Row],[Coluna6]]</f>
        <v>46059</v>
      </c>
    </row>
    <row r="538" spans="2:23" x14ac:dyDescent="0.2">
      <c r="B538" s="3" t="s">
        <v>27</v>
      </c>
      <c r="C538" t="s">
        <v>95</v>
      </c>
      <c r="D538" t="s">
        <v>13</v>
      </c>
      <c r="E538" s="8">
        <v>46050</v>
      </c>
      <c r="F538" t="s">
        <v>750</v>
      </c>
      <c r="G538" s="8">
        <v>46059</v>
      </c>
      <c r="H538" t="s">
        <v>538</v>
      </c>
      <c r="I538" t="e">
        <f>VLOOKUP(Tabela2[[#This Row],[Coluna7]],[1]!Tabela1[#All],2,0)</f>
        <v>#REF!</v>
      </c>
      <c r="J538" s="3" t="s">
        <v>737</v>
      </c>
      <c r="L538">
        <v>23</v>
      </c>
      <c r="Q538" s="10" t="str">
        <f>Tabela2[[#This Row],[Coluna5]]</f>
        <v>02/2026</v>
      </c>
      <c r="R538" s="10" t="str">
        <f>IF(Tabela2[[#This Row],[Coluna9]]&gt;0,"Entrada","Saída")</f>
        <v>Saída</v>
      </c>
      <c r="S538" s="10" t="str">
        <f>Tabela2[[#This Row],[Coluna8]]</f>
        <v>CARTÃO SANTANDER</v>
      </c>
      <c r="T538" s="10" t="e">
        <f>Tabela2[[#This Row],[Coluna72]]</f>
        <v>#REF!</v>
      </c>
      <c r="U538" s="10">
        <f>SUM(Tabela2[[#This Row],[Coluna9]],Tabela2[[#This Row],[Coluna10]])</f>
        <v>23</v>
      </c>
      <c r="V538" s="2">
        <f>Tabela2[[#This Row],[Coluna4]]</f>
        <v>46050</v>
      </c>
      <c r="W538" s="2">
        <f>Tabela2[[#This Row],[Coluna6]]</f>
        <v>46059</v>
      </c>
    </row>
    <row r="539" spans="2:23" x14ac:dyDescent="0.2">
      <c r="B539" s="3" t="s">
        <v>27</v>
      </c>
      <c r="C539" t="s">
        <v>95</v>
      </c>
      <c r="D539" t="s">
        <v>13</v>
      </c>
      <c r="E539" s="8">
        <v>46052</v>
      </c>
      <c r="F539" t="s">
        <v>750</v>
      </c>
      <c r="G539" s="8">
        <v>46059</v>
      </c>
      <c r="H539" t="s">
        <v>746</v>
      </c>
      <c r="I539" t="e">
        <f>VLOOKUP(Tabela2[[#This Row],[Coluna7]],[1]!Tabela1[#All],2,0)</f>
        <v>#REF!</v>
      </c>
      <c r="J539" s="3" t="s">
        <v>737</v>
      </c>
      <c r="L539">
        <v>59.6</v>
      </c>
      <c r="Q539" s="10" t="str">
        <f>Tabela2[[#This Row],[Coluna5]]</f>
        <v>02/2026</v>
      </c>
      <c r="R539" s="10" t="str">
        <f>IF(Tabela2[[#This Row],[Coluna9]]&gt;0,"Entrada","Saída")</f>
        <v>Saída</v>
      </c>
      <c r="S539" s="10" t="str">
        <f>Tabela2[[#This Row],[Coluna8]]</f>
        <v>CARTÃO SANTANDER</v>
      </c>
      <c r="T539" s="10" t="e">
        <f>Tabela2[[#This Row],[Coluna72]]</f>
        <v>#REF!</v>
      </c>
      <c r="U539" s="10">
        <f>SUM(Tabela2[[#This Row],[Coluna9]],Tabela2[[#This Row],[Coluna10]])</f>
        <v>59.6</v>
      </c>
      <c r="V539" s="2">
        <f>Tabela2[[#This Row],[Coluna4]]</f>
        <v>46052</v>
      </c>
      <c r="W539" s="2">
        <f>Tabela2[[#This Row],[Coluna6]]</f>
        <v>46059</v>
      </c>
    </row>
    <row r="540" spans="2:23" x14ac:dyDescent="0.2">
      <c r="B540" s="3" t="s">
        <v>27</v>
      </c>
      <c r="C540" t="s">
        <v>95</v>
      </c>
      <c r="D540" t="s">
        <v>13</v>
      </c>
      <c r="E540" s="8">
        <v>46052</v>
      </c>
      <c r="F540" t="s">
        <v>750</v>
      </c>
      <c r="G540" s="8">
        <v>46059</v>
      </c>
      <c r="H540" t="s">
        <v>528</v>
      </c>
      <c r="I540" t="e">
        <f>VLOOKUP(Tabela2[[#This Row],[Coluna7]],[1]!Tabela1[#All],2,0)</f>
        <v>#REF!</v>
      </c>
      <c r="J540" s="3" t="s">
        <v>737</v>
      </c>
      <c r="L540">
        <v>111.06</v>
      </c>
      <c r="Q540" s="10" t="str">
        <f>Tabela2[[#This Row],[Coluna5]]</f>
        <v>02/2026</v>
      </c>
      <c r="R540" s="10" t="str">
        <f>IF(Tabela2[[#This Row],[Coluna9]]&gt;0,"Entrada","Saída")</f>
        <v>Saída</v>
      </c>
      <c r="S540" s="10" t="str">
        <f>Tabela2[[#This Row],[Coluna8]]</f>
        <v>CARTÃO SANTANDER</v>
      </c>
      <c r="T540" s="10" t="e">
        <f>Tabela2[[#This Row],[Coluna72]]</f>
        <v>#REF!</v>
      </c>
      <c r="U540" s="10">
        <f>SUM(Tabela2[[#This Row],[Coluna9]],Tabela2[[#This Row],[Coluna10]])</f>
        <v>111.06</v>
      </c>
      <c r="V540" s="2">
        <f>Tabela2[[#This Row],[Coluna4]]</f>
        <v>46052</v>
      </c>
      <c r="W540" s="2">
        <f>Tabela2[[#This Row],[Coluna6]]</f>
        <v>46059</v>
      </c>
    </row>
    <row r="541" spans="2:23" x14ac:dyDescent="0.2">
      <c r="B541" s="3" t="s">
        <v>27</v>
      </c>
      <c r="C541" t="s">
        <v>95</v>
      </c>
      <c r="D541" t="s">
        <v>13</v>
      </c>
      <c r="E541" s="8">
        <v>46050</v>
      </c>
      <c r="F541" t="s">
        <v>750</v>
      </c>
      <c r="G541" s="8">
        <v>46059</v>
      </c>
      <c r="H541" t="s">
        <v>528</v>
      </c>
      <c r="I541" t="e">
        <f>VLOOKUP(Tabela2[[#This Row],[Coluna7]],[1]!Tabela1[#All],2,0)</f>
        <v>#REF!</v>
      </c>
      <c r="J541" s="3" t="s">
        <v>737</v>
      </c>
      <c r="L541">
        <v>3.89</v>
      </c>
      <c r="Q541" s="10" t="str">
        <f>Tabela2[[#This Row],[Coluna5]]</f>
        <v>02/2026</v>
      </c>
      <c r="R541" s="10" t="str">
        <f>IF(Tabela2[[#This Row],[Coluna9]]&gt;0,"Entrada","Saída")</f>
        <v>Saída</v>
      </c>
      <c r="S541" s="10" t="str">
        <f>Tabela2[[#This Row],[Coluna8]]</f>
        <v>CARTÃO SANTANDER</v>
      </c>
      <c r="T541" s="10" t="e">
        <f>Tabela2[[#This Row],[Coluna72]]</f>
        <v>#REF!</v>
      </c>
      <c r="U541" s="10">
        <f>SUM(Tabela2[[#This Row],[Coluna9]],Tabela2[[#This Row],[Coluna10]])</f>
        <v>3.89</v>
      </c>
      <c r="V541" s="2">
        <f>Tabela2[[#This Row],[Coluna4]]</f>
        <v>46050</v>
      </c>
      <c r="W541" s="2">
        <f>Tabela2[[#This Row],[Coluna6]]</f>
        <v>46059</v>
      </c>
    </row>
    <row r="542" spans="2:23" x14ac:dyDescent="0.2">
      <c r="B542" s="3" t="s">
        <v>27</v>
      </c>
      <c r="C542" t="s">
        <v>95</v>
      </c>
      <c r="D542" t="s">
        <v>13</v>
      </c>
      <c r="E542" s="8">
        <v>46052</v>
      </c>
      <c r="F542" t="s">
        <v>750</v>
      </c>
      <c r="G542" s="8">
        <v>46059</v>
      </c>
      <c r="H542" t="s">
        <v>570</v>
      </c>
      <c r="I542" t="e">
        <f>VLOOKUP(Tabela2[[#This Row],[Coluna7]],[1]!Tabela1[#All],2,0)</f>
        <v>#REF!</v>
      </c>
      <c r="J542" s="3" t="s">
        <v>737</v>
      </c>
      <c r="L542">
        <v>165</v>
      </c>
      <c r="Q542" s="10" t="str">
        <f>Tabela2[[#This Row],[Coluna5]]</f>
        <v>02/2026</v>
      </c>
      <c r="R542" s="10" t="str">
        <f>IF(Tabela2[[#This Row],[Coluna9]]&gt;0,"Entrada","Saída")</f>
        <v>Saída</v>
      </c>
      <c r="S542" s="10" t="str">
        <f>Tabela2[[#This Row],[Coluna8]]</f>
        <v>CARTÃO SANTANDER</v>
      </c>
      <c r="T542" s="10" t="e">
        <f>Tabela2[[#This Row],[Coluna72]]</f>
        <v>#REF!</v>
      </c>
      <c r="U542" s="10">
        <f>SUM(Tabela2[[#This Row],[Coluna9]],Tabela2[[#This Row],[Coluna10]])</f>
        <v>165</v>
      </c>
      <c r="V542" s="2">
        <f>Tabela2[[#This Row],[Coluna4]]</f>
        <v>46052</v>
      </c>
      <c r="W542" s="2">
        <f>Tabela2[[#This Row],[Coluna6]]</f>
        <v>46059</v>
      </c>
    </row>
    <row r="543" spans="2:23" x14ac:dyDescent="0.2">
      <c r="B543" s="3" t="s">
        <v>27</v>
      </c>
      <c r="C543" t="s">
        <v>95</v>
      </c>
      <c r="D543" t="s">
        <v>13</v>
      </c>
      <c r="E543" s="8">
        <v>46052</v>
      </c>
      <c r="F543" t="s">
        <v>750</v>
      </c>
      <c r="G543" s="8">
        <v>46059</v>
      </c>
      <c r="H543" t="s">
        <v>570</v>
      </c>
      <c r="I543" t="e">
        <f>VLOOKUP(Tabela2[[#This Row],[Coluna7]],[1]!Tabela1[#All],2,0)</f>
        <v>#REF!</v>
      </c>
      <c r="J543" s="3" t="s">
        <v>737</v>
      </c>
      <c r="L543">
        <v>198</v>
      </c>
      <c r="Q543" s="10" t="str">
        <f>Tabela2[[#This Row],[Coluna5]]</f>
        <v>02/2026</v>
      </c>
      <c r="R543" s="10" t="str">
        <f>IF(Tabela2[[#This Row],[Coluna9]]&gt;0,"Entrada","Saída")</f>
        <v>Saída</v>
      </c>
      <c r="S543" s="10" t="str">
        <f>Tabela2[[#This Row],[Coluna8]]</f>
        <v>CARTÃO SANTANDER</v>
      </c>
      <c r="T543" s="10" t="e">
        <f>Tabela2[[#This Row],[Coluna72]]</f>
        <v>#REF!</v>
      </c>
      <c r="U543" s="10">
        <f>SUM(Tabela2[[#This Row],[Coluna9]],Tabela2[[#This Row],[Coluna10]])</f>
        <v>198</v>
      </c>
      <c r="V543" s="2">
        <f>Tabela2[[#This Row],[Coluna4]]</f>
        <v>46052</v>
      </c>
      <c r="W543" s="2">
        <f>Tabela2[[#This Row],[Coluna6]]</f>
        <v>46059</v>
      </c>
    </row>
    <row r="544" spans="2:23" x14ac:dyDescent="0.2">
      <c r="B544" s="3" t="s">
        <v>18</v>
      </c>
      <c r="C544" t="s">
        <v>95</v>
      </c>
      <c r="D544" t="s">
        <v>13</v>
      </c>
      <c r="E544" s="8">
        <v>46052</v>
      </c>
      <c r="F544" t="s">
        <v>750</v>
      </c>
      <c r="G544" s="8">
        <v>46059</v>
      </c>
      <c r="H544" t="s">
        <v>435</v>
      </c>
      <c r="I544" t="e">
        <f>VLOOKUP(Tabela2[[#This Row],[Coluna7]],[1]!Tabela1[#All],2,0)</f>
        <v>#REF!</v>
      </c>
      <c r="J544" s="2" t="s">
        <v>745</v>
      </c>
      <c r="L544">
        <v>112.79</v>
      </c>
      <c r="Q544" s="10" t="str">
        <f>Tabela2[[#This Row],[Coluna5]]</f>
        <v>02/2026</v>
      </c>
      <c r="R544" s="10" t="str">
        <f>IF(Tabela2[[#This Row],[Coluna9]]&gt;0,"Entrada","Saída")</f>
        <v>Saída</v>
      </c>
      <c r="S544" s="10" t="str">
        <f>Tabela2[[#This Row],[Coluna8]]</f>
        <v xml:space="preserve">CARTÃO INTER </v>
      </c>
      <c r="T544" s="10" t="e">
        <f>Tabela2[[#This Row],[Coluna72]]</f>
        <v>#REF!</v>
      </c>
      <c r="U544" s="10">
        <f>SUM(Tabela2[[#This Row],[Coluna9]],Tabela2[[#This Row],[Coluna10]])</f>
        <v>112.79</v>
      </c>
      <c r="V544" s="2">
        <f>Tabela2[[#This Row],[Coluna4]]</f>
        <v>46052</v>
      </c>
      <c r="W544" s="2">
        <f>Tabela2[[#This Row],[Coluna6]]</f>
        <v>46059</v>
      </c>
    </row>
    <row r="545" spans="2:23" x14ac:dyDescent="0.2">
      <c r="B545" s="3" t="s">
        <v>27</v>
      </c>
      <c r="C545" t="s">
        <v>95</v>
      </c>
      <c r="D545" t="s">
        <v>13</v>
      </c>
      <c r="E545" s="8">
        <v>46052</v>
      </c>
      <c r="F545" t="s">
        <v>750</v>
      </c>
      <c r="G545" s="8">
        <v>46062</v>
      </c>
      <c r="H545" t="s">
        <v>538</v>
      </c>
      <c r="I545" t="e">
        <f>VLOOKUP(Tabela2[[#This Row],[Coluna7]],[1]!Tabela1[#All],2,0)</f>
        <v>#REF!</v>
      </c>
      <c r="J545" s="2" t="s">
        <v>741</v>
      </c>
      <c r="L545">
        <v>16.64</v>
      </c>
      <c r="Q545" s="10" t="str">
        <f>Tabela2[[#This Row],[Coluna5]]</f>
        <v>02/2026</v>
      </c>
      <c r="R545" s="10" t="str">
        <f>IF(Tabela2[[#This Row],[Coluna9]]&gt;0,"Entrada","Saída")</f>
        <v>Saída</v>
      </c>
      <c r="S545" s="10" t="str">
        <f>Tabela2[[#This Row],[Coluna8]]</f>
        <v>CARTÃO NUBANK</v>
      </c>
      <c r="T545" s="10" t="e">
        <f>Tabela2[[#This Row],[Coluna72]]</f>
        <v>#REF!</v>
      </c>
      <c r="U545" s="10">
        <f>SUM(Tabela2[[#This Row],[Coluna9]],Tabela2[[#This Row],[Coluna10]])</f>
        <v>16.64</v>
      </c>
      <c r="V545" s="2">
        <f>Tabela2[[#This Row],[Coluna4]]</f>
        <v>46052</v>
      </c>
      <c r="W545" s="2">
        <f>Tabela2[[#This Row],[Coluna6]]</f>
        <v>46062</v>
      </c>
    </row>
    <row r="546" spans="2:23" x14ac:dyDescent="0.2">
      <c r="B546" s="3" t="s">
        <v>27</v>
      </c>
      <c r="C546" t="s">
        <v>95</v>
      </c>
      <c r="D546" t="s">
        <v>13</v>
      </c>
      <c r="E546" s="8">
        <v>46052</v>
      </c>
      <c r="F546" t="s">
        <v>750</v>
      </c>
      <c r="G546" s="8">
        <v>46062</v>
      </c>
      <c r="H546" t="s">
        <v>435</v>
      </c>
      <c r="I546" t="e">
        <f>VLOOKUP(Tabela2[[#This Row],[Coluna7]],[1]!Tabela1[#All],2,0)</f>
        <v>#REF!</v>
      </c>
      <c r="J546" s="2" t="s">
        <v>741</v>
      </c>
      <c r="L546">
        <v>229.9</v>
      </c>
      <c r="Q546" s="10" t="str">
        <f>Tabela2[[#This Row],[Coluna5]]</f>
        <v>02/2026</v>
      </c>
      <c r="R546" s="10" t="str">
        <f>IF(Tabela2[[#This Row],[Coluna9]]&gt;0,"Entrada","Saída")</f>
        <v>Saída</v>
      </c>
      <c r="S546" s="10" t="str">
        <f>Tabela2[[#This Row],[Coluna8]]</f>
        <v>CARTÃO NUBANK</v>
      </c>
      <c r="T546" s="10" t="e">
        <f>Tabela2[[#This Row],[Coluna72]]</f>
        <v>#REF!</v>
      </c>
      <c r="U546" s="10">
        <f>SUM(Tabela2[[#This Row],[Coluna9]],Tabela2[[#This Row],[Coluna10]])</f>
        <v>229.9</v>
      </c>
      <c r="V546" s="2">
        <f>Tabela2[[#This Row],[Coluna4]]</f>
        <v>46052</v>
      </c>
      <c r="W546" s="2">
        <f>Tabela2[[#This Row],[Coluna6]]</f>
        <v>46062</v>
      </c>
    </row>
    <row r="547" spans="2:23" x14ac:dyDescent="0.2">
      <c r="B547" s="3" t="s">
        <v>27</v>
      </c>
      <c r="C547" t="s">
        <v>95</v>
      </c>
      <c r="D547" t="s">
        <v>13</v>
      </c>
      <c r="E547" s="8">
        <v>46052</v>
      </c>
      <c r="F547" t="s">
        <v>750</v>
      </c>
      <c r="G547" s="8">
        <v>46062</v>
      </c>
      <c r="H547" t="s">
        <v>458</v>
      </c>
      <c r="I547" t="e">
        <f>VLOOKUP(Tabela2[[#This Row],[Coluna7]],[1]!Tabela1[#All],2,0)</f>
        <v>#REF!</v>
      </c>
      <c r="J547" s="2" t="s">
        <v>741</v>
      </c>
      <c r="L547">
        <v>198.5</v>
      </c>
      <c r="Q547" s="10" t="str">
        <f>Tabela2[[#This Row],[Coluna5]]</f>
        <v>02/2026</v>
      </c>
      <c r="R547" s="10" t="str">
        <f>IF(Tabela2[[#This Row],[Coluna9]]&gt;0,"Entrada","Saída")</f>
        <v>Saída</v>
      </c>
      <c r="S547" s="10" t="str">
        <f>Tabela2[[#This Row],[Coluna8]]</f>
        <v>CARTÃO NUBANK</v>
      </c>
      <c r="T547" s="10" t="e">
        <f>Tabela2[[#This Row],[Coluna72]]</f>
        <v>#REF!</v>
      </c>
      <c r="U547" s="10">
        <f>SUM(Tabela2[[#This Row],[Coluna9]],Tabela2[[#This Row],[Coluna10]])</f>
        <v>198.5</v>
      </c>
      <c r="V547" s="2">
        <f>Tabela2[[#This Row],[Coluna4]]</f>
        <v>46052</v>
      </c>
      <c r="W547" s="2">
        <f>Tabela2[[#This Row],[Coluna6]]</f>
        <v>46062</v>
      </c>
    </row>
    <row r="548" spans="2:23" x14ac:dyDescent="0.2">
      <c r="B548" s="3" t="s">
        <v>27</v>
      </c>
      <c r="C548" t="s">
        <v>95</v>
      </c>
      <c r="D548" t="s">
        <v>13</v>
      </c>
      <c r="E548" s="8">
        <v>46052</v>
      </c>
      <c r="F548" t="s">
        <v>750</v>
      </c>
      <c r="G548" s="8">
        <v>46062</v>
      </c>
      <c r="H548" t="s">
        <v>538</v>
      </c>
      <c r="I548" t="e">
        <f>VLOOKUP(Tabela2[[#This Row],[Coluna7]],[1]!Tabela1[#All],2,0)</f>
        <v>#REF!</v>
      </c>
      <c r="J548" s="2" t="s">
        <v>741</v>
      </c>
      <c r="L548">
        <v>53.09</v>
      </c>
      <c r="Q548" s="10" t="str">
        <f>Tabela2[[#This Row],[Coluna5]]</f>
        <v>02/2026</v>
      </c>
      <c r="R548" s="10" t="str">
        <f>IF(Tabela2[[#This Row],[Coluna9]]&gt;0,"Entrada","Saída")</f>
        <v>Saída</v>
      </c>
      <c r="S548" s="10" t="str">
        <f>Tabela2[[#This Row],[Coluna8]]</f>
        <v>CARTÃO NUBANK</v>
      </c>
      <c r="T548" s="10" t="e">
        <f>Tabela2[[#This Row],[Coluna72]]</f>
        <v>#REF!</v>
      </c>
      <c r="U548" s="10">
        <f>SUM(Tabela2[[#This Row],[Coluna9]],Tabela2[[#This Row],[Coluna10]])</f>
        <v>53.09</v>
      </c>
      <c r="V548" s="2">
        <f>Tabela2[[#This Row],[Coluna4]]</f>
        <v>46052</v>
      </c>
      <c r="W548" s="2">
        <f>Tabela2[[#This Row],[Coluna6]]</f>
        <v>46062</v>
      </c>
    </row>
    <row r="549" spans="2:23" x14ac:dyDescent="0.2">
      <c r="B549" s="3" t="s">
        <v>27</v>
      </c>
      <c r="C549" t="s">
        <v>95</v>
      </c>
      <c r="D549" t="s">
        <v>13</v>
      </c>
      <c r="E549" s="8">
        <v>46052</v>
      </c>
      <c r="F549" t="s">
        <v>750</v>
      </c>
      <c r="G549" s="8">
        <v>46062</v>
      </c>
      <c r="H549" t="s">
        <v>538</v>
      </c>
      <c r="I549" t="e">
        <f>VLOOKUP(Tabela2[[#This Row],[Coluna7]],[1]!Tabela1[#All],2,0)</f>
        <v>#REF!</v>
      </c>
      <c r="J549" s="2" t="s">
        <v>741</v>
      </c>
      <c r="L549">
        <v>153.83000000000001</v>
      </c>
      <c r="Q549" s="10" t="str">
        <f>Tabela2[[#This Row],[Coluna5]]</f>
        <v>02/2026</v>
      </c>
      <c r="R549" s="10" t="str">
        <f>IF(Tabela2[[#This Row],[Coluna9]]&gt;0,"Entrada","Saída")</f>
        <v>Saída</v>
      </c>
      <c r="S549" s="10" t="str">
        <f>Tabela2[[#This Row],[Coluna8]]</f>
        <v>CARTÃO NUBANK</v>
      </c>
      <c r="T549" s="10" t="e">
        <f>Tabela2[[#This Row],[Coluna72]]</f>
        <v>#REF!</v>
      </c>
      <c r="U549" s="10">
        <f>SUM(Tabela2[[#This Row],[Coluna9]],Tabela2[[#This Row],[Coluna10]])</f>
        <v>153.83000000000001</v>
      </c>
      <c r="V549" s="2">
        <f>Tabela2[[#This Row],[Coluna4]]</f>
        <v>46052</v>
      </c>
      <c r="W549" s="2">
        <f>Tabela2[[#This Row],[Coluna6]]</f>
        <v>46062</v>
      </c>
    </row>
    <row r="550" spans="2:23" x14ac:dyDescent="0.2">
      <c r="B550" s="3" t="s">
        <v>27</v>
      </c>
      <c r="C550" t="s">
        <v>95</v>
      </c>
      <c r="D550" t="s">
        <v>13</v>
      </c>
      <c r="E550" s="8">
        <v>46052</v>
      </c>
      <c r="F550" t="s">
        <v>750</v>
      </c>
      <c r="G550" s="8">
        <v>46062</v>
      </c>
      <c r="H550" t="s">
        <v>570</v>
      </c>
      <c r="I550" t="e">
        <f>VLOOKUP(Tabela2[[#This Row],[Coluna7]],[1]!Tabela1[#All],2,0)</f>
        <v>#REF!</v>
      </c>
      <c r="J550" s="2" t="s">
        <v>741</v>
      </c>
      <c r="L550">
        <v>153.6</v>
      </c>
      <c r="Q550" s="10" t="str">
        <f>Tabela2[[#This Row],[Coluna5]]</f>
        <v>02/2026</v>
      </c>
      <c r="R550" s="10" t="str">
        <f>IF(Tabela2[[#This Row],[Coluna9]]&gt;0,"Entrada","Saída")</f>
        <v>Saída</v>
      </c>
      <c r="S550" s="10" t="str">
        <f>Tabela2[[#This Row],[Coluna8]]</f>
        <v>CARTÃO NUBANK</v>
      </c>
      <c r="T550" s="10" t="e">
        <f>Tabela2[[#This Row],[Coluna72]]</f>
        <v>#REF!</v>
      </c>
      <c r="U550" s="10">
        <f>SUM(Tabela2[[#This Row],[Coluna9]],Tabela2[[#This Row],[Coluna10]])</f>
        <v>153.6</v>
      </c>
      <c r="V550" s="2">
        <f>Tabela2[[#This Row],[Coluna4]]</f>
        <v>46052</v>
      </c>
      <c r="W550" s="2">
        <f>Tabela2[[#This Row],[Coluna6]]</f>
        <v>46062</v>
      </c>
    </row>
    <row r="551" spans="2:23" x14ac:dyDescent="0.2">
      <c r="B551" s="3" t="s">
        <v>27</v>
      </c>
      <c r="C551" t="s">
        <v>95</v>
      </c>
      <c r="D551" t="s">
        <v>13</v>
      </c>
      <c r="E551" s="8">
        <v>46052</v>
      </c>
      <c r="F551" t="s">
        <v>750</v>
      </c>
      <c r="G551" s="8">
        <v>46071</v>
      </c>
      <c r="H551" t="s">
        <v>469</v>
      </c>
      <c r="I551" t="e">
        <f>VLOOKUP(Tabela2[[#This Row],[Coluna7]],[1]!Tabela1[#All],2,0)</f>
        <v>#REF!</v>
      </c>
      <c r="J551" s="9" t="s">
        <v>742</v>
      </c>
      <c r="L551">
        <v>54.33</v>
      </c>
      <c r="Q551" s="10" t="str">
        <f>Tabela2[[#This Row],[Coluna5]]</f>
        <v>02/2026</v>
      </c>
      <c r="R551" s="10" t="str">
        <f>IF(Tabela2[[#This Row],[Coluna9]]&gt;0,"Entrada","Saída")</f>
        <v>Saída</v>
      </c>
      <c r="S551" s="10" t="str">
        <f>Tabela2[[#This Row],[Coluna8]]</f>
        <v>CARTÃO HIPERCARD</v>
      </c>
      <c r="T551" s="10" t="e">
        <f>Tabela2[[#This Row],[Coluna72]]</f>
        <v>#REF!</v>
      </c>
      <c r="U551" s="10">
        <f>SUM(Tabela2[[#This Row],[Coluna9]],Tabela2[[#This Row],[Coluna10]])</f>
        <v>54.33</v>
      </c>
      <c r="V551" s="2">
        <f>Tabela2[[#This Row],[Coluna4]]</f>
        <v>46052</v>
      </c>
      <c r="W551" s="2">
        <f>Tabela2[[#This Row],[Coluna6]]</f>
        <v>46071</v>
      </c>
    </row>
    <row r="552" spans="2:23" x14ac:dyDescent="0.2">
      <c r="B552" s="3" t="s">
        <v>27</v>
      </c>
      <c r="C552" t="s">
        <v>95</v>
      </c>
      <c r="D552" t="s">
        <v>13</v>
      </c>
      <c r="E552" s="8">
        <v>46052</v>
      </c>
      <c r="F552" t="s">
        <v>750</v>
      </c>
      <c r="G552" s="8">
        <v>46071</v>
      </c>
      <c r="H552" t="s">
        <v>469</v>
      </c>
      <c r="I552" t="e">
        <f>VLOOKUP(Tabela2[[#This Row],[Coluna7]],[1]!Tabela1[#All],2,0)</f>
        <v>#REF!</v>
      </c>
      <c r="J552" s="9" t="s">
        <v>742</v>
      </c>
      <c r="L552">
        <v>90</v>
      </c>
      <c r="Q552" s="10" t="str">
        <f>Tabela2[[#This Row],[Coluna5]]</f>
        <v>02/2026</v>
      </c>
      <c r="R552" s="10" t="str">
        <f>IF(Tabela2[[#This Row],[Coluna9]]&gt;0,"Entrada","Saída")</f>
        <v>Saída</v>
      </c>
      <c r="S552" s="10" t="str">
        <f>Tabela2[[#This Row],[Coluna8]]</f>
        <v>CARTÃO HIPERCARD</v>
      </c>
      <c r="T552" s="10" t="e">
        <f>Tabela2[[#This Row],[Coluna72]]</f>
        <v>#REF!</v>
      </c>
      <c r="U552" s="10">
        <f>SUM(Tabela2[[#This Row],[Coluna9]],Tabela2[[#This Row],[Coluna10]])</f>
        <v>90</v>
      </c>
      <c r="V552" s="2">
        <f>Tabela2[[#This Row],[Coluna4]]</f>
        <v>46052</v>
      </c>
      <c r="W552" s="2">
        <f>Tabela2[[#This Row],[Coluna6]]</f>
        <v>46071</v>
      </c>
    </row>
    <row r="553" spans="2:23" x14ac:dyDescent="0.2">
      <c r="B553" s="3" t="s">
        <v>27</v>
      </c>
      <c r="C553" t="s">
        <v>95</v>
      </c>
      <c r="D553" t="s">
        <v>13</v>
      </c>
      <c r="E553" s="8">
        <v>46052</v>
      </c>
      <c r="F553" t="s">
        <v>750</v>
      </c>
      <c r="G553" s="8">
        <v>46071</v>
      </c>
      <c r="H553" t="s">
        <v>570</v>
      </c>
      <c r="I553" t="e">
        <f>VLOOKUP(Tabela2[[#This Row],[Coluna7]],[1]!Tabela1[#All],2,0)</f>
        <v>#REF!</v>
      </c>
      <c r="J553" s="9" t="s">
        <v>742</v>
      </c>
      <c r="L553">
        <v>52</v>
      </c>
      <c r="Q553" s="10" t="str">
        <f>Tabela2[[#This Row],[Coluna5]]</f>
        <v>02/2026</v>
      </c>
      <c r="R553" s="10" t="str">
        <f>IF(Tabela2[[#This Row],[Coluna9]]&gt;0,"Entrada","Saída")</f>
        <v>Saída</v>
      </c>
      <c r="S553" s="10" t="str">
        <f>Tabela2[[#This Row],[Coluna8]]</f>
        <v>CARTÃO HIPERCARD</v>
      </c>
      <c r="T553" s="10" t="e">
        <f>Tabela2[[#This Row],[Coluna72]]</f>
        <v>#REF!</v>
      </c>
      <c r="U553" s="10">
        <f>SUM(Tabela2[[#This Row],[Coluna9]],Tabela2[[#This Row],[Coluna10]])</f>
        <v>52</v>
      </c>
      <c r="V553" s="2">
        <f>Tabela2[[#This Row],[Coluna4]]</f>
        <v>46052</v>
      </c>
      <c r="W553" s="2">
        <f>Tabela2[[#This Row],[Coluna6]]</f>
        <v>46071</v>
      </c>
    </row>
    <row r="554" spans="2:23" x14ac:dyDescent="0.2">
      <c r="B554" s="3" t="s">
        <v>27</v>
      </c>
      <c r="C554" t="s">
        <v>95</v>
      </c>
      <c r="D554" t="s">
        <v>13</v>
      </c>
      <c r="E554" s="8">
        <v>46052</v>
      </c>
      <c r="F554" t="s">
        <v>750</v>
      </c>
      <c r="G554" s="8">
        <v>46071</v>
      </c>
      <c r="H554" t="s">
        <v>693</v>
      </c>
      <c r="I554" t="e">
        <f>VLOOKUP(Tabela2[[#This Row],[Coluna7]],[1]!Tabela1[#All],2,0)</f>
        <v>#REF!</v>
      </c>
      <c r="J554" s="9" t="s">
        <v>742</v>
      </c>
      <c r="L554">
        <v>10.47</v>
      </c>
      <c r="Q554" s="10" t="str">
        <f>Tabela2[[#This Row],[Coluna5]]</f>
        <v>02/2026</v>
      </c>
      <c r="R554" s="10" t="str">
        <f>IF(Tabela2[[#This Row],[Coluna9]]&gt;0,"Entrada","Saída")</f>
        <v>Saída</v>
      </c>
      <c r="S554" s="10" t="str">
        <f>Tabela2[[#This Row],[Coluna8]]</f>
        <v>CARTÃO HIPERCARD</v>
      </c>
      <c r="T554" s="10" t="e">
        <f>Tabela2[[#This Row],[Coluna72]]</f>
        <v>#REF!</v>
      </c>
      <c r="U554" s="10">
        <f>SUM(Tabela2[[#This Row],[Coluna9]],Tabela2[[#This Row],[Coluna10]])</f>
        <v>10.47</v>
      </c>
      <c r="V554" s="2">
        <f>Tabela2[[#This Row],[Coluna4]]</f>
        <v>46052</v>
      </c>
      <c r="W554" s="2">
        <f>Tabela2[[#This Row],[Coluna6]]</f>
        <v>46071</v>
      </c>
    </row>
    <row r="555" spans="2:23" x14ac:dyDescent="0.2">
      <c r="B555" s="3" t="s">
        <v>27</v>
      </c>
      <c r="C555" t="s">
        <v>95</v>
      </c>
      <c r="D555" t="s">
        <v>13</v>
      </c>
      <c r="E555" s="8">
        <v>46052</v>
      </c>
      <c r="F555" t="s">
        <v>750</v>
      </c>
      <c r="G555" s="8">
        <v>46071</v>
      </c>
      <c r="H555" t="s">
        <v>693</v>
      </c>
      <c r="I555" t="e">
        <f>VLOOKUP(Tabela2[[#This Row],[Coluna7]],[1]!Tabela1[#All],2,0)</f>
        <v>#REF!</v>
      </c>
      <c r="J555" s="9" t="s">
        <v>743</v>
      </c>
      <c r="L555">
        <v>16.989999999999998</v>
      </c>
      <c r="Q555" s="10" t="str">
        <f>Tabela2[[#This Row],[Coluna5]]</f>
        <v>02/2026</v>
      </c>
      <c r="R555" s="10" t="str">
        <f>IF(Tabela2[[#This Row],[Coluna9]]&gt;0,"Entrada","Saída")</f>
        <v>Saída</v>
      </c>
      <c r="S555" s="10" t="str">
        <f>Tabela2[[#This Row],[Coluna8]]</f>
        <v>CARTÃO CARREFOUR</v>
      </c>
      <c r="T555" s="10" t="e">
        <f>Tabela2[[#This Row],[Coluna72]]</f>
        <v>#REF!</v>
      </c>
      <c r="U555" s="10">
        <f>SUM(Tabela2[[#This Row],[Coluna9]],Tabela2[[#This Row],[Coluna10]])</f>
        <v>16.989999999999998</v>
      </c>
      <c r="V555" s="2">
        <f>Tabela2[[#This Row],[Coluna4]]</f>
        <v>46052</v>
      </c>
      <c r="W555" s="2">
        <f>Tabela2[[#This Row],[Coluna6]]</f>
        <v>46071</v>
      </c>
    </row>
    <row r="556" spans="2:23" x14ac:dyDescent="0.2">
      <c r="B556" s="3" t="s">
        <v>27</v>
      </c>
      <c r="C556" t="s">
        <v>95</v>
      </c>
      <c r="D556" t="s">
        <v>13</v>
      </c>
      <c r="E556" s="8">
        <v>46052</v>
      </c>
      <c r="F556" t="s">
        <v>750</v>
      </c>
      <c r="G556" s="8">
        <v>46071</v>
      </c>
      <c r="H556" t="s">
        <v>435</v>
      </c>
      <c r="I556" t="e">
        <f>VLOOKUP(Tabela2[[#This Row],[Coluna7]],[1]!Tabela1[#All],2,0)</f>
        <v>#REF!</v>
      </c>
      <c r="J556" s="9" t="s">
        <v>743</v>
      </c>
      <c r="L556">
        <v>221.08</v>
      </c>
      <c r="Q556" s="10" t="str">
        <f>Tabela2[[#This Row],[Coluna5]]</f>
        <v>02/2026</v>
      </c>
      <c r="R556" s="10" t="str">
        <f>IF(Tabela2[[#This Row],[Coluna9]]&gt;0,"Entrada","Saída")</f>
        <v>Saída</v>
      </c>
      <c r="S556" s="10" t="str">
        <f>Tabela2[[#This Row],[Coluna8]]</f>
        <v>CARTÃO CARREFOUR</v>
      </c>
      <c r="T556" s="10" t="e">
        <f>Tabela2[[#This Row],[Coluna72]]</f>
        <v>#REF!</v>
      </c>
      <c r="U556" s="10">
        <f>SUM(Tabela2[[#This Row],[Coluna9]],Tabela2[[#This Row],[Coluna10]])</f>
        <v>221.08</v>
      </c>
      <c r="V556" s="2">
        <f>Tabela2[[#This Row],[Coluna4]]</f>
        <v>46052</v>
      </c>
      <c r="W556" s="2">
        <f>Tabela2[[#This Row],[Coluna6]]</f>
        <v>46071</v>
      </c>
    </row>
    <row r="557" spans="2:23" x14ac:dyDescent="0.2">
      <c r="B557" s="3" t="s">
        <v>27</v>
      </c>
      <c r="C557" t="s">
        <v>95</v>
      </c>
      <c r="D557" t="s">
        <v>13</v>
      </c>
      <c r="E557" s="8">
        <v>46052</v>
      </c>
      <c r="F557" t="s">
        <v>750</v>
      </c>
      <c r="G557" s="8">
        <v>46071</v>
      </c>
      <c r="H557" t="s">
        <v>445</v>
      </c>
      <c r="I557" t="e">
        <f>VLOOKUP(Tabela2[[#This Row],[Coluna7]],[1]!Tabela1[#All],2,0)</f>
        <v>#REF!</v>
      </c>
      <c r="J557" s="9" t="s">
        <v>743</v>
      </c>
      <c r="L557">
        <v>58</v>
      </c>
      <c r="Q557" s="10" t="str">
        <f>Tabela2[[#This Row],[Coluna5]]</f>
        <v>02/2026</v>
      </c>
      <c r="R557" s="10" t="str">
        <f>IF(Tabela2[[#This Row],[Coluna9]]&gt;0,"Entrada","Saída")</f>
        <v>Saída</v>
      </c>
      <c r="S557" s="10" t="str">
        <f>Tabela2[[#This Row],[Coluna8]]</f>
        <v>CARTÃO CARREFOUR</v>
      </c>
      <c r="T557" s="10" t="e">
        <f>Tabela2[[#This Row],[Coluna72]]</f>
        <v>#REF!</v>
      </c>
      <c r="U557" s="10">
        <f>SUM(Tabela2[[#This Row],[Coluna9]],Tabela2[[#This Row],[Coluna10]])</f>
        <v>58</v>
      </c>
      <c r="V557" s="2">
        <f>Tabela2[[#This Row],[Coluna4]]</f>
        <v>46052</v>
      </c>
      <c r="W557" s="2">
        <f>Tabela2[[#This Row],[Coluna6]]</f>
        <v>46071</v>
      </c>
    </row>
    <row r="558" spans="2:23" x14ac:dyDescent="0.2">
      <c r="B558" s="3" t="s">
        <v>27</v>
      </c>
      <c r="C558" t="s">
        <v>95</v>
      </c>
      <c r="D558" t="s">
        <v>13</v>
      </c>
      <c r="E558" s="8">
        <v>46052</v>
      </c>
      <c r="F558" t="s">
        <v>750</v>
      </c>
      <c r="G558" s="8">
        <v>46071</v>
      </c>
      <c r="H558" t="s">
        <v>570</v>
      </c>
      <c r="I558" t="e">
        <f>VLOOKUP(Tabela2[[#This Row],[Coluna7]],[1]!Tabela1[#All],2,0)</f>
        <v>#REF!</v>
      </c>
      <c r="J558" s="9" t="s">
        <v>684</v>
      </c>
      <c r="L558">
        <v>35.729999999999997</v>
      </c>
      <c r="Q558" s="10" t="str">
        <f>Tabela2[[#This Row],[Coluna5]]</f>
        <v>02/2026</v>
      </c>
      <c r="R558" s="10" t="str">
        <f>IF(Tabela2[[#This Row],[Coluna9]]&gt;0,"Entrada","Saída")</f>
        <v>Saída</v>
      </c>
      <c r="S558" s="10" t="str">
        <f>Tabela2[[#This Row],[Coluna8]]</f>
        <v>CARTÃO BRADESCO</v>
      </c>
      <c r="T558" s="10" t="e">
        <f>Tabela2[[#This Row],[Coluna72]]</f>
        <v>#REF!</v>
      </c>
      <c r="U558" s="10">
        <f>SUM(Tabela2[[#This Row],[Coluna9]],Tabela2[[#This Row],[Coluna10]])</f>
        <v>35.729999999999997</v>
      </c>
      <c r="V558" s="2">
        <f>Tabela2[[#This Row],[Coluna4]]</f>
        <v>46052</v>
      </c>
      <c r="W558" s="2">
        <f>Tabela2[[#This Row],[Coluna6]]</f>
        <v>46071</v>
      </c>
    </row>
    <row r="559" spans="2:23" x14ac:dyDescent="0.2">
      <c r="B559" s="3" t="s">
        <v>27</v>
      </c>
      <c r="C559" t="s">
        <v>95</v>
      </c>
      <c r="D559" t="s">
        <v>13</v>
      </c>
      <c r="E559" s="8">
        <v>46052</v>
      </c>
      <c r="F559" t="s">
        <v>750</v>
      </c>
      <c r="G559" s="8">
        <v>46071</v>
      </c>
      <c r="H559" t="s">
        <v>469</v>
      </c>
      <c r="I559" t="e">
        <f>VLOOKUP(Tabela2[[#This Row],[Coluna7]],[1]!Tabela1[#All],2,0)</f>
        <v>#REF!</v>
      </c>
      <c r="J559" s="9" t="s">
        <v>684</v>
      </c>
      <c r="L559">
        <v>26.88</v>
      </c>
      <c r="Q559" s="10" t="str">
        <f>Tabela2[[#This Row],[Coluna5]]</f>
        <v>02/2026</v>
      </c>
      <c r="R559" s="10" t="str">
        <f>IF(Tabela2[[#This Row],[Coluna9]]&gt;0,"Entrada","Saída")</f>
        <v>Saída</v>
      </c>
      <c r="S559" s="10" t="str">
        <f>Tabela2[[#This Row],[Coluna8]]</f>
        <v>CARTÃO BRADESCO</v>
      </c>
      <c r="T559" s="10" t="e">
        <f>Tabela2[[#This Row],[Coluna72]]</f>
        <v>#REF!</v>
      </c>
      <c r="U559" s="10">
        <f>SUM(Tabela2[[#This Row],[Coluna9]],Tabela2[[#This Row],[Coluna10]])</f>
        <v>26.88</v>
      </c>
      <c r="V559" s="2">
        <f>Tabela2[[#This Row],[Coluna4]]</f>
        <v>46052</v>
      </c>
      <c r="W559" s="2">
        <f>Tabela2[[#This Row],[Coluna6]]</f>
        <v>46071</v>
      </c>
    </row>
    <row r="560" spans="2:23" x14ac:dyDescent="0.2">
      <c r="B560" s="3" t="s">
        <v>27</v>
      </c>
      <c r="C560" t="s">
        <v>95</v>
      </c>
      <c r="D560" t="s">
        <v>13</v>
      </c>
      <c r="E560" s="8">
        <v>46052</v>
      </c>
      <c r="F560" t="s">
        <v>750</v>
      </c>
      <c r="G560" s="8">
        <v>46071</v>
      </c>
      <c r="H560" t="s">
        <v>570</v>
      </c>
      <c r="I560" t="e">
        <f>VLOOKUP(Tabela2[[#This Row],[Coluna7]],[1]!Tabela1[#All],2,0)</f>
        <v>#REF!</v>
      </c>
      <c r="J560" s="9" t="s">
        <v>684</v>
      </c>
      <c r="L560">
        <v>5.49</v>
      </c>
      <c r="Q560" s="10" t="str">
        <f>Tabela2[[#This Row],[Coluna5]]</f>
        <v>02/2026</v>
      </c>
      <c r="R560" s="10" t="str">
        <f>IF(Tabela2[[#This Row],[Coluna9]]&gt;0,"Entrada","Saída")</f>
        <v>Saída</v>
      </c>
      <c r="S560" s="10" t="str">
        <f>Tabela2[[#This Row],[Coluna8]]</f>
        <v>CARTÃO BRADESCO</v>
      </c>
      <c r="T560" s="10" t="e">
        <f>Tabela2[[#This Row],[Coluna72]]</f>
        <v>#REF!</v>
      </c>
      <c r="U560" s="10">
        <f>SUM(Tabela2[[#This Row],[Coluna9]],Tabela2[[#This Row],[Coluna10]])</f>
        <v>5.49</v>
      </c>
      <c r="V560" s="2">
        <f>Tabela2[[#This Row],[Coluna4]]</f>
        <v>46052</v>
      </c>
      <c r="W560" s="2">
        <f>Tabela2[[#This Row],[Coluna6]]</f>
        <v>46071</v>
      </c>
    </row>
    <row r="561" spans="2:23" x14ac:dyDescent="0.2">
      <c r="B561" s="3" t="s">
        <v>27</v>
      </c>
      <c r="C561" t="s">
        <v>95</v>
      </c>
      <c r="D561" t="s">
        <v>13</v>
      </c>
      <c r="E561" s="8">
        <v>46052</v>
      </c>
      <c r="F561" t="s">
        <v>750</v>
      </c>
      <c r="G561" s="8">
        <v>46071</v>
      </c>
      <c r="H561" t="s">
        <v>570</v>
      </c>
      <c r="I561" t="e">
        <f>VLOOKUP(Tabela2[[#This Row],[Coluna7]],[1]!Tabela1[#All],2,0)</f>
        <v>#REF!</v>
      </c>
      <c r="J561" s="9" t="s">
        <v>684</v>
      </c>
      <c r="L561">
        <v>36.97</v>
      </c>
      <c r="Q561" s="10" t="str">
        <f>Tabela2[[#This Row],[Coluna5]]</f>
        <v>02/2026</v>
      </c>
      <c r="R561" s="10" t="str">
        <f>IF(Tabela2[[#This Row],[Coluna9]]&gt;0,"Entrada","Saída")</f>
        <v>Saída</v>
      </c>
      <c r="S561" s="10" t="str">
        <f>Tabela2[[#This Row],[Coluna8]]</f>
        <v>CARTÃO BRADESCO</v>
      </c>
      <c r="T561" s="10" t="e">
        <f>Tabela2[[#This Row],[Coluna72]]</f>
        <v>#REF!</v>
      </c>
      <c r="U561" s="10">
        <f>SUM(Tabela2[[#This Row],[Coluna9]],Tabela2[[#This Row],[Coluna10]])</f>
        <v>36.97</v>
      </c>
      <c r="V561" s="2">
        <f>Tabela2[[#This Row],[Coluna4]]</f>
        <v>46052</v>
      </c>
      <c r="W561" s="2">
        <f>Tabela2[[#This Row],[Coluna6]]</f>
        <v>46071</v>
      </c>
    </row>
    <row r="562" spans="2:23" x14ac:dyDescent="0.2">
      <c r="B562" s="3" t="s">
        <v>27</v>
      </c>
      <c r="C562" t="s">
        <v>95</v>
      </c>
      <c r="D562" t="s">
        <v>13</v>
      </c>
      <c r="E562" s="8">
        <v>46052</v>
      </c>
      <c r="F562" t="s">
        <v>750</v>
      </c>
      <c r="G562" s="8">
        <v>46071</v>
      </c>
      <c r="H562" t="s">
        <v>570</v>
      </c>
      <c r="I562" t="e">
        <f>VLOOKUP(Tabela2[[#This Row],[Coluna7]],[1]!Tabela1[#All],2,0)</f>
        <v>#REF!</v>
      </c>
      <c r="J562" s="9" t="s">
        <v>684</v>
      </c>
      <c r="L562">
        <v>50</v>
      </c>
      <c r="Q562" s="10" t="str">
        <f>Tabela2[[#This Row],[Coluna5]]</f>
        <v>02/2026</v>
      </c>
      <c r="R562" s="10" t="str">
        <f>IF(Tabela2[[#This Row],[Coluna9]]&gt;0,"Entrada","Saída")</f>
        <v>Saída</v>
      </c>
      <c r="S562" s="10" t="str">
        <f>Tabela2[[#This Row],[Coluna8]]</f>
        <v>CARTÃO BRADESCO</v>
      </c>
      <c r="T562" s="10" t="e">
        <f>Tabela2[[#This Row],[Coluna72]]</f>
        <v>#REF!</v>
      </c>
      <c r="U562" s="10">
        <f>SUM(Tabela2[[#This Row],[Coluna9]],Tabela2[[#This Row],[Coluna10]])</f>
        <v>50</v>
      </c>
      <c r="V562" s="2">
        <f>Tabela2[[#This Row],[Coluna4]]</f>
        <v>46052</v>
      </c>
      <c r="W562" s="2">
        <f>Tabela2[[#This Row],[Coluna6]]</f>
        <v>46071</v>
      </c>
    </row>
    <row r="563" spans="2:23" x14ac:dyDescent="0.2">
      <c r="B563" s="3" t="s">
        <v>27</v>
      </c>
      <c r="C563" t="s">
        <v>95</v>
      </c>
      <c r="D563" t="s">
        <v>13</v>
      </c>
      <c r="E563" s="8">
        <v>46052</v>
      </c>
      <c r="F563" t="s">
        <v>750</v>
      </c>
      <c r="G563" s="8">
        <v>46071</v>
      </c>
      <c r="H563" t="s">
        <v>693</v>
      </c>
      <c r="I563" t="e">
        <f>VLOOKUP(Tabela2[[#This Row],[Coluna7]],[1]!Tabela1[#All],2,0)</f>
        <v>#REF!</v>
      </c>
      <c r="J563" s="9" t="s">
        <v>684</v>
      </c>
      <c r="L563">
        <v>46</v>
      </c>
      <c r="Q563" s="10" t="str">
        <f>Tabela2[[#This Row],[Coluna5]]</f>
        <v>02/2026</v>
      </c>
      <c r="R563" s="10" t="str">
        <f>IF(Tabela2[[#This Row],[Coluna9]]&gt;0,"Entrada","Saída")</f>
        <v>Saída</v>
      </c>
      <c r="S563" s="10" t="str">
        <f>Tabela2[[#This Row],[Coluna8]]</f>
        <v>CARTÃO BRADESCO</v>
      </c>
      <c r="T563" s="10" t="e">
        <f>Tabela2[[#This Row],[Coluna72]]</f>
        <v>#REF!</v>
      </c>
      <c r="U563" s="10">
        <f>SUM(Tabela2[[#This Row],[Coluna9]],Tabela2[[#This Row],[Coluna10]])</f>
        <v>46</v>
      </c>
      <c r="V563" s="2">
        <f>Tabela2[[#This Row],[Coluna4]]</f>
        <v>46052</v>
      </c>
      <c r="W563" s="2">
        <f>Tabela2[[#This Row],[Coluna6]]</f>
        <v>46071</v>
      </c>
    </row>
    <row r="564" spans="2:23" x14ac:dyDescent="0.2">
      <c r="B564" s="3" t="s">
        <v>27</v>
      </c>
      <c r="C564" t="s">
        <v>95</v>
      </c>
      <c r="D564" t="s">
        <v>13</v>
      </c>
      <c r="E564" s="8">
        <v>46052</v>
      </c>
      <c r="F564" t="s">
        <v>750</v>
      </c>
      <c r="G564" s="8">
        <v>46071</v>
      </c>
      <c r="H564" t="s">
        <v>538</v>
      </c>
      <c r="I564" t="e">
        <f>VLOOKUP(Tabela2[[#This Row],[Coluna7]],[1]!Tabela1[#All],2,0)</f>
        <v>#REF!</v>
      </c>
      <c r="J564" s="9" t="s">
        <v>684</v>
      </c>
      <c r="L564">
        <v>132.75</v>
      </c>
      <c r="Q564" s="10" t="str">
        <f>Tabela2[[#This Row],[Coluna5]]</f>
        <v>02/2026</v>
      </c>
      <c r="R564" s="10" t="str">
        <f>IF(Tabela2[[#This Row],[Coluna9]]&gt;0,"Entrada","Saída")</f>
        <v>Saída</v>
      </c>
      <c r="S564" s="10" t="str">
        <f>Tabela2[[#This Row],[Coluna8]]</f>
        <v>CARTÃO BRADESCO</v>
      </c>
      <c r="T564" s="10" t="e">
        <f>Tabela2[[#This Row],[Coluna72]]</f>
        <v>#REF!</v>
      </c>
      <c r="U564" s="10">
        <f>SUM(Tabela2[[#This Row],[Coluna9]],Tabela2[[#This Row],[Coluna10]])</f>
        <v>132.75</v>
      </c>
      <c r="V564" s="2">
        <f>Tabela2[[#This Row],[Coluna4]]</f>
        <v>46052</v>
      </c>
      <c r="W564" s="2">
        <f>Tabela2[[#This Row],[Coluna6]]</f>
        <v>46071</v>
      </c>
    </row>
    <row r="565" spans="2:23" x14ac:dyDescent="0.2">
      <c r="B565" s="3" t="s">
        <v>27</v>
      </c>
      <c r="C565" t="s">
        <v>95</v>
      </c>
      <c r="D565" t="s">
        <v>13</v>
      </c>
      <c r="E565" s="8">
        <v>46052</v>
      </c>
      <c r="F565" t="s">
        <v>750</v>
      </c>
      <c r="G565" s="8">
        <v>46071</v>
      </c>
      <c r="H565" t="s">
        <v>538</v>
      </c>
      <c r="I565" t="e">
        <f>VLOOKUP(Tabela2[[#This Row],[Coluna7]],[1]!Tabela1[#All],2,0)</f>
        <v>#REF!</v>
      </c>
      <c r="J565" s="9" t="s">
        <v>684</v>
      </c>
      <c r="L565">
        <v>69.89</v>
      </c>
      <c r="Q565" s="10" t="str">
        <f>Tabela2[[#This Row],[Coluna5]]</f>
        <v>02/2026</v>
      </c>
      <c r="R565" s="10" t="str">
        <f>IF(Tabela2[[#This Row],[Coluna9]]&gt;0,"Entrada","Saída")</f>
        <v>Saída</v>
      </c>
      <c r="S565" s="10" t="str">
        <f>Tabela2[[#This Row],[Coluna8]]</f>
        <v>CARTÃO BRADESCO</v>
      </c>
      <c r="T565" s="10" t="e">
        <f>Tabela2[[#This Row],[Coluna72]]</f>
        <v>#REF!</v>
      </c>
      <c r="U565" s="10">
        <f>SUM(Tabela2[[#This Row],[Coluna9]],Tabela2[[#This Row],[Coluna10]])</f>
        <v>69.89</v>
      </c>
      <c r="V565" s="2">
        <f>Tabela2[[#This Row],[Coluna4]]</f>
        <v>46052</v>
      </c>
      <c r="W565" s="2">
        <f>Tabela2[[#This Row],[Coluna6]]</f>
        <v>46071</v>
      </c>
    </row>
    <row r="566" spans="2:23" x14ac:dyDescent="0.2">
      <c r="B566" s="3" t="s">
        <v>27</v>
      </c>
      <c r="C566" t="s">
        <v>95</v>
      </c>
      <c r="D566" t="s">
        <v>13</v>
      </c>
      <c r="E566" s="8">
        <v>46052</v>
      </c>
      <c r="F566" t="s">
        <v>750</v>
      </c>
      <c r="G566" s="8">
        <v>46071</v>
      </c>
      <c r="H566" t="s">
        <v>435</v>
      </c>
      <c r="I566" t="e">
        <f>VLOOKUP(Tabela2[[#This Row],[Coluna7]],[1]!Tabela1[#All],2,0)</f>
        <v>#REF!</v>
      </c>
      <c r="J566" s="9" t="s">
        <v>684</v>
      </c>
      <c r="L566">
        <v>39.630000000000003</v>
      </c>
      <c r="Q566" s="10" t="str">
        <f>Tabela2[[#This Row],[Coluna5]]</f>
        <v>02/2026</v>
      </c>
      <c r="R566" s="10" t="str">
        <f>IF(Tabela2[[#This Row],[Coluna9]]&gt;0,"Entrada","Saída")</f>
        <v>Saída</v>
      </c>
      <c r="S566" s="10" t="str">
        <f>Tabela2[[#This Row],[Coluna8]]</f>
        <v>CARTÃO BRADESCO</v>
      </c>
      <c r="T566" s="10" t="e">
        <f>Tabela2[[#This Row],[Coluna72]]</f>
        <v>#REF!</v>
      </c>
      <c r="U566" s="10">
        <f>SUM(Tabela2[[#This Row],[Coluna9]],Tabela2[[#This Row],[Coluna10]])</f>
        <v>39.630000000000003</v>
      </c>
      <c r="V566" s="2">
        <f>Tabela2[[#This Row],[Coluna4]]</f>
        <v>46052</v>
      </c>
      <c r="W566" s="2">
        <f>Tabela2[[#This Row],[Coluna6]]</f>
        <v>46071</v>
      </c>
    </row>
    <row r="567" spans="2:23" x14ac:dyDescent="0.2">
      <c r="B567" s="3" t="s">
        <v>27</v>
      </c>
      <c r="C567" t="s">
        <v>95</v>
      </c>
      <c r="D567" t="s">
        <v>13</v>
      </c>
      <c r="E567" s="8">
        <v>46052</v>
      </c>
      <c r="F567" t="s">
        <v>750</v>
      </c>
      <c r="G567" s="8">
        <v>46071</v>
      </c>
      <c r="H567" t="s">
        <v>538</v>
      </c>
      <c r="I567" t="e">
        <f>VLOOKUP(Tabela2[[#This Row],[Coluna7]],[1]!Tabela1[#All],2,0)</f>
        <v>#REF!</v>
      </c>
      <c r="J567" s="9" t="s">
        <v>684</v>
      </c>
      <c r="L567">
        <v>61.11</v>
      </c>
      <c r="Q567" s="10" t="str">
        <f>Tabela2[[#This Row],[Coluna5]]</f>
        <v>02/2026</v>
      </c>
      <c r="R567" s="10" t="str">
        <f>IF(Tabela2[[#This Row],[Coluna9]]&gt;0,"Entrada","Saída")</f>
        <v>Saída</v>
      </c>
      <c r="S567" s="10" t="str">
        <f>Tabela2[[#This Row],[Coluna8]]</f>
        <v>CARTÃO BRADESCO</v>
      </c>
      <c r="T567" s="10" t="e">
        <f>Tabela2[[#This Row],[Coluna72]]</f>
        <v>#REF!</v>
      </c>
      <c r="U567" s="10">
        <f>SUM(Tabela2[[#This Row],[Coluna9]],Tabela2[[#This Row],[Coluna10]])</f>
        <v>61.11</v>
      </c>
      <c r="V567" s="2">
        <f>Tabela2[[#This Row],[Coluna4]]</f>
        <v>46052</v>
      </c>
      <c r="W567" s="2">
        <f>Tabela2[[#This Row],[Coluna6]]</f>
        <v>46071</v>
      </c>
    </row>
    <row r="568" spans="2:23" x14ac:dyDescent="0.2">
      <c r="B568" s="3" t="s">
        <v>27</v>
      </c>
      <c r="C568" t="s">
        <v>95</v>
      </c>
      <c r="D568" t="s">
        <v>13</v>
      </c>
      <c r="E568" s="8">
        <v>46052</v>
      </c>
      <c r="F568" t="s">
        <v>750</v>
      </c>
      <c r="G568" s="8">
        <v>46071</v>
      </c>
      <c r="H568" t="s">
        <v>538</v>
      </c>
      <c r="I568" t="e">
        <f>VLOOKUP(Tabela2[[#This Row],[Coluna7]],[1]!Tabela1[#All],2,0)</f>
        <v>#REF!</v>
      </c>
      <c r="J568" s="9" t="s">
        <v>684</v>
      </c>
      <c r="L568">
        <v>28.23</v>
      </c>
      <c r="Q568" s="10" t="str">
        <f>Tabela2[[#This Row],[Coluna5]]</f>
        <v>02/2026</v>
      </c>
      <c r="R568" s="10" t="str">
        <f>IF(Tabela2[[#This Row],[Coluna9]]&gt;0,"Entrada","Saída")</f>
        <v>Saída</v>
      </c>
      <c r="S568" s="10" t="str">
        <f>Tabela2[[#This Row],[Coluna8]]</f>
        <v>CARTÃO BRADESCO</v>
      </c>
      <c r="T568" s="10" t="e">
        <f>Tabela2[[#This Row],[Coluna72]]</f>
        <v>#REF!</v>
      </c>
      <c r="U568" s="10">
        <f>SUM(Tabela2[[#This Row],[Coluna9]],Tabela2[[#This Row],[Coluna10]])</f>
        <v>28.23</v>
      </c>
      <c r="V568" s="2">
        <f>Tabela2[[#This Row],[Coluna4]]</f>
        <v>46052</v>
      </c>
      <c r="W568" s="2">
        <f>Tabela2[[#This Row],[Coluna6]]</f>
        <v>46071</v>
      </c>
    </row>
    <row r="569" spans="2:23" x14ac:dyDescent="0.2">
      <c r="B569" s="3" t="s">
        <v>27</v>
      </c>
      <c r="C569" t="s">
        <v>95</v>
      </c>
      <c r="D569" t="s">
        <v>13</v>
      </c>
      <c r="E569" s="8">
        <v>46052</v>
      </c>
      <c r="F569" t="s">
        <v>750</v>
      </c>
      <c r="G569" s="8">
        <v>46071</v>
      </c>
      <c r="H569" t="s">
        <v>730</v>
      </c>
      <c r="I569" t="e">
        <f>VLOOKUP(Tabela2[[#This Row],[Coluna7]],[1]!Tabela1[#All],2,0)</f>
        <v>#REF!</v>
      </c>
      <c r="J569" s="9" t="s">
        <v>684</v>
      </c>
      <c r="L569">
        <v>114.83</v>
      </c>
      <c r="Q569" s="10" t="str">
        <f>Tabela2[[#This Row],[Coluna5]]</f>
        <v>02/2026</v>
      </c>
      <c r="R569" s="10" t="str">
        <f>IF(Tabela2[[#This Row],[Coluna9]]&gt;0,"Entrada","Saída")</f>
        <v>Saída</v>
      </c>
      <c r="S569" s="10" t="str">
        <f>Tabela2[[#This Row],[Coluna8]]</f>
        <v>CARTÃO BRADESCO</v>
      </c>
      <c r="T569" s="10" t="e">
        <f>Tabela2[[#This Row],[Coluna72]]</f>
        <v>#REF!</v>
      </c>
      <c r="U569" s="10">
        <f>SUM(Tabela2[[#This Row],[Coluna9]],Tabela2[[#This Row],[Coluna10]])</f>
        <v>114.83</v>
      </c>
      <c r="V569" s="2">
        <f>Tabela2[[#This Row],[Coluna4]]</f>
        <v>46052</v>
      </c>
      <c r="W569" s="2">
        <f>Tabela2[[#This Row],[Coluna6]]</f>
        <v>46071</v>
      </c>
    </row>
    <row r="570" spans="2:23" x14ac:dyDescent="0.2">
      <c r="B570" s="3" t="s">
        <v>27</v>
      </c>
      <c r="C570" t="s">
        <v>95</v>
      </c>
      <c r="D570" t="s">
        <v>13</v>
      </c>
      <c r="E570" s="8">
        <v>46052</v>
      </c>
      <c r="F570" t="s">
        <v>750</v>
      </c>
      <c r="G570" s="8">
        <v>46071</v>
      </c>
      <c r="H570" t="s">
        <v>933</v>
      </c>
      <c r="I570" t="e">
        <f>VLOOKUP(Tabela2[[#This Row],[Coluna7]],[1]!Tabela1[#All],2,0)</f>
        <v>#REF!</v>
      </c>
      <c r="J570" s="9" t="s">
        <v>684</v>
      </c>
      <c r="L570">
        <v>132.6</v>
      </c>
      <c r="Q570" s="10" t="str">
        <f>Tabela2[[#This Row],[Coluna5]]</f>
        <v>02/2026</v>
      </c>
      <c r="R570" s="10" t="str">
        <f>IF(Tabela2[[#This Row],[Coluna9]]&gt;0,"Entrada","Saída")</f>
        <v>Saída</v>
      </c>
      <c r="S570" s="10" t="str">
        <f>Tabela2[[#This Row],[Coluna8]]</f>
        <v>CARTÃO BRADESCO</v>
      </c>
      <c r="T570" s="10" t="e">
        <f>Tabela2[[#This Row],[Coluna72]]</f>
        <v>#REF!</v>
      </c>
      <c r="U570" s="10">
        <f>SUM(Tabela2[[#This Row],[Coluna9]],Tabela2[[#This Row],[Coluna10]])</f>
        <v>132.6</v>
      </c>
      <c r="V570" s="2">
        <f>Tabela2[[#This Row],[Coluna4]]</f>
        <v>46052</v>
      </c>
      <c r="W570" s="2">
        <f>Tabela2[[#This Row],[Coluna6]]</f>
        <v>46071</v>
      </c>
    </row>
    <row r="571" spans="2:23" x14ac:dyDescent="0.2">
      <c r="B571" s="3" t="s">
        <v>27</v>
      </c>
      <c r="C571" t="s">
        <v>95</v>
      </c>
      <c r="D571" t="s">
        <v>13</v>
      </c>
      <c r="E571" s="8">
        <v>46052</v>
      </c>
      <c r="F571" t="s">
        <v>750</v>
      </c>
      <c r="G571" s="8">
        <v>46071</v>
      </c>
      <c r="H571" t="s">
        <v>746</v>
      </c>
      <c r="I571" t="e">
        <f>VLOOKUP(Tabela2[[#This Row],[Coluna7]],[1]!Tabela1[#All],2,0)</f>
        <v>#REF!</v>
      </c>
      <c r="J571" s="9" t="s">
        <v>684</v>
      </c>
      <c r="L571">
        <v>261.77</v>
      </c>
      <c r="Q571" s="10" t="str">
        <f>Tabela2[[#This Row],[Coluna5]]</f>
        <v>02/2026</v>
      </c>
      <c r="R571" s="10" t="str">
        <f>IF(Tabela2[[#This Row],[Coluna9]]&gt;0,"Entrada","Saída")</f>
        <v>Saída</v>
      </c>
      <c r="S571" s="10" t="str">
        <f>Tabela2[[#This Row],[Coluna8]]</f>
        <v>CARTÃO BRADESCO</v>
      </c>
      <c r="T571" s="10" t="e">
        <f>Tabela2[[#This Row],[Coluna72]]</f>
        <v>#REF!</v>
      </c>
      <c r="U571" s="10">
        <f>SUM(Tabela2[[#This Row],[Coluna9]],Tabela2[[#This Row],[Coluna10]])</f>
        <v>261.77</v>
      </c>
      <c r="V571" s="2">
        <f>Tabela2[[#This Row],[Coluna4]]</f>
        <v>46052</v>
      </c>
      <c r="W571" s="2">
        <f>Tabela2[[#This Row],[Coluna6]]</f>
        <v>46071</v>
      </c>
    </row>
    <row r="572" spans="2:23" x14ac:dyDescent="0.2">
      <c r="B572" s="3" t="s">
        <v>27</v>
      </c>
      <c r="C572" t="s">
        <v>95</v>
      </c>
      <c r="D572" t="s">
        <v>13</v>
      </c>
      <c r="E572" s="8">
        <v>46052</v>
      </c>
      <c r="F572" t="s">
        <v>750</v>
      </c>
      <c r="G572" s="8">
        <v>46071</v>
      </c>
      <c r="H572" t="s">
        <v>488</v>
      </c>
      <c r="I572" t="e">
        <f>VLOOKUP(Tabela2[[#This Row],[Coluna7]],[1]!Tabela1[#All],2,0)</f>
        <v>#REF!</v>
      </c>
      <c r="J572" s="9" t="s">
        <v>684</v>
      </c>
      <c r="L572">
        <v>25.99</v>
      </c>
      <c r="Q572" s="10" t="str">
        <f>Tabela2[[#This Row],[Coluna5]]</f>
        <v>02/2026</v>
      </c>
      <c r="R572" s="10" t="str">
        <f>IF(Tabela2[[#This Row],[Coluna9]]&gt;0,"Entrada","Saída")</f>
        <v>Saída</v>
      </c>
      <c r="S572" s="10" t="str">
        <f>Tabela2[[#This Row],[Coluna8]]</f>
        <v>CARTÃO BRADESCO</v>
      </c>
      <c r="T572" s="10" t="e">
        <f>Tabela2[[#This Row],[Coluna72]]</f>
        <v>#REF!</v>
      </c>
      <c r="U572" s="10">
        <f>SUM(Tabela2[[#This Row],[Coluna9]],Tabela2[[#This Row],[Coluna10]])</f>
        <v>25.99</v>
      </c>
      <c r="V572" s="2">
        <f>Tabela2[[#This Row],[Coluna4]]</f>
        <v>46052</v>
      </c>
      <c r="W572" s="2">
        <f>Tabela2[[#This Row],[Coluna6]]</f>
        <v>46071</v>
      </c>
    </row>
    <row r="573" spans="2:23" x14ac:dyDescent="0.2">
      <c r="B573" s="3" t="s">
        <v>27</v>
      </c>
      <c r="C573" t="s">
        <v>95</v>
      </c>
      <c r="D573" t="s">
        <v>13</v>
      </c>
      <c r="E573" s="8">
        <v>46052</v>
      </c>
      <c r="F573" t="s">
        <v>750</v>
      </c>
      <c r="G573" s="8">
        <v>46071</v>
      </c>
      <c r="H573" t="s">
        <v>570</v>
      </c>
      <c r="I573" t="e">
        <f>VLOOKUP(Tabela2[[#This Row],[Coluna7]],[1]!Tabela1[#All],2,0)</f>
        <v>#REF!</v>
      </c>
      <c r="J573" s="9" t="s">
        <v>684</v>
      </c>
      <c r="L573">
        <v>61.2</v>
      </c>
      <c r="Q573" s="10" t="str">
        <f>Tabela2[[#This Row],[Coluna5]]</f>
        <v>02/2026</v>
      </c>
      <c r="R573" s="10" t="str">
        <f>IF(Tabela2[[#This Row],[Coluna9]]&gt;0,"Entrada","Saída")</f>
        <v>Saída</v>
      </c>
      <c r="S573" s="10" t="str">
        <f>Tabela2[[#This Row],[Coluna8]]</f>
        <v>CARTÃO BRADESCO</v>
      </c>
      <c r="T573" s="10" t="e">
        <f>Tabela2[[#This Row],[Coluna72]]</f>
        <v>#REF!</v>
      </c>
      <c r="U573" s="10">
        <f>SUM(Tabela2[[#This Row],[Coluna9]],Tabela2[[#This Row],[Coluna10]])</f>
        <v>61.2</v>
      </c>
      <c r="V573" s="2">
        <f>Tabela2[[#This Row],[Coluna4]]</f>
        <v>46052</v>
      </c>
      <c r="W573" s="2">
        <f>Tabela2[[#This Row],[Coluna6]]</f>
        <v>46071</v>
      </c>
    </row>
    <row r="574" spans="2:23" x14ac:dyDescent="0.2">
      <c r="B574" s="3" t="s">
        <v>27</v>
      </c>
      <c r="C574" t="s">
        <v>95</v>
      </c>
      <c r="D574" t="s">
        <v>13</v>
      </c>
      <c r="E574" s="8">
        <v>46052</v>
      </c>
      <c r="F574" t="s">
        <v>750</v>
      </c>
      <c r="G574" s="8">
        <v>46071</v>
      </c>
      <c r="H574" t="s">
        <v>488</v>
      </c>
      <c r="I574" t="e">
        <f>VLOOKUP(Tabela2[[#This Row],[Coluna7]],[1]!Tabela1[#All],2,0)</f>
        <v>#REF!</v>
      </c>
      <c r="J574" s="9" t="s">
        <v>684</v>
      </c>
      <c r="L574">
        <v>18.39</v>
      </c>
      <c r="Q574" s="10" t="str">
        <f>Tabela2[[#This Row],[Coluna5]]</f>
        <v>02/2026</v>
      </c>
      <c r="R574" s="10" t="str">
        <f>IF(Tabela2[[#This Row],[Coluna9]]&gt;0,"Entrada","Saída")</f>
        <v>Saída</v>
      </c>
      <c r="S574" s="10" t="str">
        <f>Tabela2[[#This Row],[Coluna8]]</f>
        <v>CARTÃO BRADESCO</v>
      </c>
      <c r="T574" s="10" t="e">
        <f>Tabela2[[#This Row],[Coluna72]]</f>
        <v>#REF!</v>
      </c>
      <c r="U574" s="10">
        <f>SUM(Tabela2[[#This Row],[Coluna9]],Tabela2[[#This Row],[Coluna10]])</f>
        <v>18.39</v>
      </c>
      <c r="V574" s="2">
        <f>Tabela2[[#This Row],[Coluna4]]</f>
        <v>46052</v>
      </c>
      <c r="W574" s="2">
        <f>Tabela2[[#This Row],[Coluna6]]</f>
        <v>46071</v>
      </c>
    </row>
    <row r="575" spans="2:23" x14ac:dyDescent="0.2">
      <c r="B575" s="3" t="s">
        <v>27</v>
      </c>
      <c r="C575" t="s">
        <v>95</v>
      </c>
      <c r="D575" t="s">
        <v>13</v>
      </c>
      <c r="E575" s="8">
        <v>46052</v>
      </c>
      <c r="F575" t="s">
        <v>750</v>
      </c>
      <c r="G575" s="8">
        <v>46071</v>
      </c>
      <c r="H575" t="s">
        <v>570</v>
      </c>
      <c r="I575" t="e">
        <f>VLOOKUP(Tabela2[[#This Row],[Coluna7]],[1]!Tabela1[#All],2,0)</f>
        <v>#REF!</v>
      </c>
      <c r="J575" s="9" t="s">
        <v>684</v>
      </c>
      <c r="L575">
        <v>99</v>
      </c>
      <c r="Q575" s="10" t="str">
        <f>Tabela2[[#This Row],[Coluna5]]</f>
        <v>02/2026</v>
      </c>
      <c r="R575" s="10" t="str">
        <f>IF(Tabela2[[#This Row],[Coluna9]]&gt;0,"Entrada","Saída")</f>
        <v>Saída</v>
      </c>
      <c r="S575" s="10" t="str">
        <f>Tabela2[[#This Row],[Coluna8]]</f>
        <v>CARTÃO BRADESCO</v>
      </c>
      <c r="T575" s="10" t="e">
        <f>Tabela2[[#This Row],[Coluna72]]</f>
        <v>#REF!</v>
      </c>
      <c r="U575" s="10">
        <f>SUM(Tabela2[[#This Row],[Coluna9]],Tabela2[[#This Row],[Coluna10]])</f>
        <v>99</v>
      </c>
      <c r="V575" s="2">
        <f>Tabela2[[#This Row],[Coluna4]]</f>
        <v>46052</v>
      </c>
      <c r="W575" s="2">
        <f>Tabela2[[#This Row],[Coluna6]]</f>
        <v>46071</v>
      </c>
    </row>
    <row r="576" spans="2:23" x14ac:dyDescent="0.2">
      <c r="B576" s="3" t="s">
        <v>27</v>
      </c>
      <c r="C576" t="s">
        <v>95</v>
      </c>
      <c r="D576" t="s">
        <v>13</v>
      </c>
      <c r="E576" s="8">
        <v>46052</v>
      </c>
      <c r="F576" t="s">
        <v>750</v>
      </c>
      <c r="G576" s="8">
        <v>46071</v>
      </c>
      <c r="H576" t="s">
        <v>746</v>
      </c>
      <c r="I576" t="e">
        <f>VLOOKUP(Tabela2[[#This Row],[Coluna7]],[1]!Tabela1[#All],2,0)</f>
        <v>#REF!</v>
      </c>
      <c r="J576" s="9" t="s">
        <v>684</v>
      </c>
      <c r="L576">
        <v>333.7</v>
      </c>
      <c r="Q576" s="10" t="str">
        <f>Tabela2[[#This Row],[Coluna5]]</f>
        <v>02/2026</v>
      </c>
      <c r="R576" s="10" t="str">
        <f>IF(Tabela2[[#This Row],[Coluna9]]&gt;0,"Entrada","Saída")</f>
        <v>Saída</v>
      </c>
      <c r="S576" s="10" t="str">
        <f>Tabela2[[#This Row],[Coluna8]]</f>
        <v>CARTÃO BRADESCO</v>
      </c>
      <c r="T576" s="10" t="e">
        <f>Tabela2[[#This Row],[Coluna72]]</f>
        <v>#REF!</v>
      </c>
      <c r="U576" s="10">
        <f>SUM(Tabela2[[#This Row],[Coluna9]],Tabela2[[#This Row],[Coluna10]])</f>
        <v>333.7</v>
      </c>
      <c r="V576" s="2">
        <f>Tabela2[[#This Row],[Coluna4]]</f>
        <v>46052</v>
      </c>
      <c r="W576" s="2">
        <f>Tabela2[[#This Row],[Coluna6]]</f>
        <v>46071</v>
      </c>
    </row>
    <row r="577" spans="2:23" x14ac:dyDescent="0.2">
      <c r="B577" s="3" t="s">
        <v>27</v>
      </c>
      <c r="C577" t="s">
        <v>95</v>
      </c>
      <c r="D577" t="s">
        <v>13</v>
      </c>
      <c r="E577" s="8">
        <v>46052</v>
      </c>
      <c r="F577" t="s">
        <v>750</v>
      </c>
      <c r="G577" s="8">
        <v>46071</v>
      </c>
      <c r="H577" t="s">
        <v>488</v>
      </c>
      <c r="I577" t="e">
        <f>VLOOKUP(Tabela2[[#This Row],[Coluna7]],[1]!Tabela1[#All],2,0)</f>
        <v>#REF!</v>
      </c>
      <c r="J577" s="9" t="s">
        <v>684</v>
      </c>
      <c r="L577">
        <v>13.49</v>
      </c>
      <c r="Q577" s="10" t="str">
        <f>Tabela2[[#This Row],[Coluna5]]</f>
        <v>02/2026</v>
      </c>
      <c r="R577" s="10" t="str">
        <f>IF(Tabela2[[#This Row],[Coluna9]]&gt;0,"Entrada","Saída")</f>
        <v>Saída</v>
      </c>
      <c r="S577" s="10" t="str">
        <f>Tabela2[[#This Row],[Coluna8]]</f>
        <v>CARTÃO BRADESCO</v>
      </c>
      <c r="T577" s="10" t="e">
        <f>Tabela2[[#This Row],[Coluna72]]</f>
        <v>#REF!</v>
      </c>
      <c r="U577" s="10">
        <f>SUM(Tabela2[[#This Row],[Coluna9]],Tabela2[[#This Row],[Coluna10]])</f>
        <v>13.49</v>
      </c>
      <c r="V577" s="2">
        <f>Tabela2[[#This Row],[Coluna4]]</f>
        <v>46052</v>
      </c>
      <c r="W577" s="2">
        <f>Tabela2[[#This Row],[Coluna6]]</f>
        <v>46071</v>
      </c>
    </row>
    <row r="578" spans="2:23" x14ac:dyDescent="0.2">
      <c r="B578" s="3" t="s">
        <v>27</v>
      </c>
      <c r="C578" t="s">
        <v>95</v>
      </c>
      <c r="D578" t="s">
        <v>13</v>
      </c>
      <c r="E578" s="8">
        <v>46052</v>
      </c>
      <c r="F578" t="s">
        <v>750</v>
      </c>
      <c r="G578" s="8">
        <v>46071</v>
      </c>
      <c r="H578" t="s">
        <v>570</v>
      </c>
      <c r="I578" t="e">
        <f>VLOOKUP(Tabela2[[#This Row],[Coluna7]],[1]!Tabela1[#All],2,0)</f>
        <v>#REF!</v>
      </c>
      <c r="J578" s="9" t="s">
        <v>684</v>
      </c>
      <c r="L578">
        <v>319.77999999999997</v>
      </c>
      <c r="Q578" s="10" t="str">
        <f>Tabela2[[#This Row],[Coluna5]]</f>
        <v>02/2026</v>
      </c>
      <c r="R578" s="10" t="str">
        <f>IF(Tabela2[[#This Row],[Coluna9]]&gt;0,"Entrada","Saída")</f>
        <v>Saída</v>
      </c>
      <c r="S578" s="10" t="str">
        <f>Tabela2[[#This Row],[Coluna8]]</f>
        <v>CARTÃO BRADESCO</v>
      </c>
      <c r="T578" s="10" t="e">
        <f>Tabela2[[#This Row],[Coluna72]]</f>
        <v>#REF!</v>
      </c>
      <c r="U578" s="10">
        <f>SUM(Tabela2[[#This Row],[Coluna9]],Tabela2[[#This Row],[Coluna10]])</f>
        <v>319.77999999999997</v>
      </c>
      <c r="V578" s="2">
        <f>Tabela2[[#This Row],[Coluna4]]</f>
        <v>46052</v>
      </c>
      <c r="W578" s="2">
        <f>Tabela2[[#This Row],[Coluna6]]</f>
        <v>46071</v>
      </c>
    </row>
    <row r="579" spans="2:23" x14ac:dyDescent="0.2">
      <c r="B579" s="3" t="s">
        <v>27</v>
      </c>
      <c r="C579" t="s">
        <v>95</v>
      </c>
      <c r="D579" t="s">
        <v>13</v>
      </c>
      <c r="E579" s="8">
        <v>46052</v>
      </c>
      <c r="F579" t="s">
        <v>750</v>
      </c>
      <c r="G579" s="8">
        <v>46071</v>
      </c>
      <c r="H579" t="s">
        <v>570</v>
      </c>
      <c r="I579" t="e">
        <f>VLOOKUP(Tabela2[[#This Row],[Coluna7]],[1]!Tabela1[#All],2,0)</f>
        <v>#REF!</v>
      </c>
      <c r="J579" s="9" t="s">
        <v>684</v>
      </c>
      <c r="L579">
        <v>128.79</v>
      </c>
      <c r="Q579" s="10" t="str">
        <f>Tabela2[[#This Row],[Coluna5]]</f>
        <v>02/2026</v>
      </c>
      <c r="R579" s="10" t="str">
        <f>IF(Tabela2[[#This Row],[Coluna9]]&gt;0,"Entrada","Saída")</f>
        <v>Saída</v>
      </c>
      <c r="S579" s="10" t="str">
        <f>Tabela2[[#This Row],[Coluna8]]</f>
        <v>CARTÃO BRADESCO</v>
      </c>
      <c r="T579" s="10" t="e">
        <f>Tabela2[[#This Row],[Coluna72]]</f>
        <v>#REF!</v>
      </c>
      <c r="U579" s="10">
        <f>SUM(Tabela2[[#This Row],[Coluna9]],Tabela2[[#This Row],[Coluna10]])</f>
        <v>128.79</v>
      </c>
      <c r="V579" s="2">
        <f>Tabela2[[#This Row],[Coluna4]]</f>
        <v>46052</v>
      </c>
      <c r="W579" s="2">
        <f>Tabela2[[#This Row],[Coluna6]]</f>
        <v>46071</v>
      </c>
    </row>
    <row r="580" spans="2:23" x14ac:dyDescent="0.2">
      <c r="B580" s="3" t="s">
        <v>27</v>
      </c>
      <c r="C580" t="s">
        <v>95</v>
      </c>
      <c r="D580" t="s">
        <v>13</v>
      </c>
      <c r="E580" s="8">
        <v>46052</v>
      </c>
      <c r="F580" t="s">
        <v>750</v>
      </c>
      <c r="G580" s="8">
        <v>46071</v>
      </c>
      <c r="H580" t="s">
        <v>570</v>
      </c>
      <c r="I580" t="e">
        <f>VLOOKUP(Tabela2[[#This Row],[Coluna7]],[1]!Tabela1[#All],2,0)</f>
        <v>#REF!</v>
      </c>
      <c r="J580" s="9" t="s">
        <v>684</v>
      </c>
      <c r="L580">
        <v>69.98</v>
      </c>
      <c r="Q580" s="10" t="str">
        <f>Tabela2[[#This Row],[Coluna5]]</f>
        <v>02/2026</v>
      </c>
      <c r="R580" s="10" t="str">
        <f>IF(Tabela2[[#This Row],[Coluna9]]&gt;0,"Entrada","Saída")</f>
        <v>Saída</v>
      </c>
      <c r="S580" s="10" t="str">
        <f>Tabela2[[#This Row],[Coluna8]]</f>
        <v>CARTÃO BRADESCO</v>
      </c>
      <c r="T580" s="10" t="e">
        <f>Tabela2[[#This Row],[Coluna72]]</f>
        <v>#REF!</v>
      </c>
      <c r="U580" s="10">
        <f>SUM(Tabela2[[#This Row],[Coluna9]],Tabela2[[#This Row],[Coluna10]])</f>
        <v>69.98</v>
      </c>
      <c r="V580" s="2">
        <f>Tabela2[[#This Row],[Coluna4]]</f>
        <v>46052</v>
      </c>
      <c r="W580" s="2">
        <f>Tabela2[[#This Row],[Coluna6]]</f>
        <v>46071</v>
      </c>
    </row>
    <row r="581" spans="2:23" x14ac:dyDescent="0.2">
      <c r="B581" s="3" t="s">
        <v>27</v>
      </c>
      <c r="C581" t="s">
        <v>95</v>
      </c>
      <c r="D581" t="s">
        <v>13</v>
      </c>
      <c r="E581" s="8">
        <v>46052</v>
      </c>
      <c r="F581" t="s">
        <v>750</v>
      </c>
      <c r="G581" s="8">
        <v>46071</v>
      </c>
      <c r="H581" t="s">
        <v>469</v>
      </c>
      <c r="I581" t="e">
        <f>VLOOKUP(Tabela2[[#This Row],[Coluna7]],[1]!Tabela1[#All],2,0)</f>
        <v>#REF!</v>
      </c>
      <c r="J581" s="9" t="s">
        <v>684</v>
      </c>
      <c r="L581">
        <v>366.04</v>
      </c>
      <c r="Q581" s="10" t="str">
        <f>Tabela2[[#This Row],[Coluna5]]</f>
        <v>02/2026</v>
      </c>
      <c r="R581" s="10" t="str">
        <f>IF(Tabela2[[#This Row],[Coluna9]]&gt;0,"Entrada","Saída")</f>
        <v>Saída</v>
      </c>
      <c r="S581" s="10" t="str">
        <f>Tabela2[[#This Row],[Coluna8]]</f>
        <v>CARTÃO BRADESCO</v>
      </c>
      <c r="T581" s="10" t="e">
        <f>Tabela2[[#This Row],[Coluna72]]</f>
        <v>#REF!</v>
      </c>
      <c r="U581" s="10">
        <f>SUM(Tabela2[[#This Row],[Coluna9]],Tabela2[[#This Row],[Coluna10]])</f>
        <v>366.04</v>
      </c>
      <c r="V581" s="2">
        <f>Tabela2[[#This Row],[Coluna4]]</f>
        <v>46052</v>
      </c>
      <c r="W581" s="2">
        <f>Tabela2[[#This Row],[Coluna6]]</f>
        <v>46071</v>
      </c>
    </row>
    <row r="582" spans="2:23" x14ac:dyDescent="0.2">
      <c r="B582" s="3" t="s">
        <v>27</v>
      </c>
      <c r="C582" t="s">
        <v>95</v>
      </c>
      <c r="D582" t="s">
        <v>13</v>
      </c>
      <c r="E582" s="8">
        <v>46052</v>
      </c>
      <c r="F582" t="s">
        <v>750</v>
      </c>
      <c r="G582" s="8">
        <v>46071</v>
      </c>
      <c r="H582" t="s">
        <v>538</v>
      </c>
      <c r="I582" t="e">
        <f>VLOOKUP(Tabela2[[#This Row],[Coluna7]],[1]!Tabela1[#All],2,0)</f>
        <v>#REF!</v>
      </c>
      <c r="J582" s="9" t="s">
        <v>684</v>
      </c>
      <c r="L582">
        <v>48.33</v>
      </c>
      <c r="Q582" s="10" t="str">
        <f>Tabela2[[#This Row],[Coluna5]]</f>
        <v>02/2026</v>
      </c>
      <c r="R582" s="10" t="str">
        <f>IF(Tabela2[[#This Row],[Coluna9]]&gt;0,"Entrada","Saída")</f>
        <v>Saída</v>
      </c>
      <c r="S582" s="10" t="str">
        <f>Tabela2[[#This Row],[Coluna8]]</f>
        <v>CARTÃO BRADESCO</v>
      </c>
      <c r="T582" s="10" t="e">
        <f>Tabela2[[#This Row],[Coluna72]]</f>
        <v>#REF!</v>
      </c>
      <c r="U582" s="10">
        <f>SUM(Tabela2[[#This Row],[Coluna9]],Tabela2[[#This Row],[Coluna10]])</f>
        <v>48.33</v>
      </c>
      <c r="V582" s="2">
        <f>Tabela2[[#This Row],[Coluna4]]</f>
        <v>46052</v>
      </c>
      <c r="W582" s="2">
        <f>Tabela2[[#This Row],[Coluna6]]</f>
        <v>46071</v>
      </c>
    </row>
    <row r="583" spans="2:23" x14ac:dyDescent="0.2">
      <c r="B583" s="3" t="s">
        <v>27</v>
      </c>
      <c r="C583" t="s">
        <v>95</v>
      </c>
      <c r="D583" t="s">
        <v>13</v>
      </c>
      <c r="E583" s="8">
        <v>46052</v>
      </c>
      <c r="F583" t="s">
        <v>750</v>
      </c>
      <c r="G583" s="8">
        <v>46071</v>
      </c>
      <c r="H583" t="s">
        <v>570</v>
      </c>
      <c r="I583" t="e">
        <f>VLOOKUP(Tabela2[[#This Row],[Coluna7]],[1]!Tabela1[#All],2,0)</f>
        <v>#REF!</v>
      </c>
      <c r="J583" s="9" t="s">
        <v>684</v>
      </c>
      <c r="L583">
        <v>306.79000000000002</v>
      </c>
      <c r="Q583" s="10" t="str">
        <f>Tabela2[[#This Row],[Coluna5]]</f>
        <v>02/2026</v>
      </c>
      <c r="R583" s="10" t="str">
        <f>IF(Tabela2[[#This Row],[Coluna9]]&gt;0,"Entrada","Saída")</f>
        <v>Saída</v>
      </c>
      <c r="S583" s="10" t="str">
        <f>Tabela2[[#This Row],[Coluna8]]</f>
        <v>CARTÃO BRADESCO</v>
      </c>
      <c r="T583" s="10" t="e">
        <f>Tabela2[[#This Row],[Coluna72]]</f>
        <v>#REF!</v>
      </c>
      <c r="U583" s="10">
        <f>SUM(Tabela2[[#This Row],[Coluna9]],Tabela2[[#This Row],[Coluna10]])</f>
        <v>306.79000000000002</v>
      </c>
      <c r="V583" s="2">
        <f>Tabela2[[#This Row],[Coluna4]]</f>
        <v>46052</v>
      </c>
      <c r="W583" s="2">
        <f>Tabela2[[#This Row],[Coluna6]]</f>
        <v>46071</v>
      </c>
    </row>
    <row r="584" spans="2:23" x14ac:dyDescent="0.2">
      <c r="B584" s="3" t="s">
        <v>27</v>
      </c>
      <c r="C584" t="s">
        <v>95</v>
      </c>
      <c r="D584" t="s">
        <v>13</v>
      </c>
      <c r="E584" s="8">
        <v>46052</v>
      </c>
      <c r="F584" t="s">
        <v>750</v>
      </c>
      <c r="G584" s="8">
        <v>46071</v>
      </c>
      <c r="H584" t="s">
        <v>570</v>
      </c>
      <c r="I584" t="e">
        <f>VLOOKUP(Tabela2[[#This Row],[Coluna7]],[1]!Tabela1[#All],2,0)</f>
        <v>#REF!</v>
      </c>
      <c r="J584" s="9" t="s">
        <v>684</v>
      </c>
      <c r="L584">
        <v>61.64</v>
      </c>
      <c r="Q584" s="10" t="str">
        <f>Tabela2[[#This Row],[Coluna5]]</f>
        <v>02/2026</v>
      </c>
      <c r="R584" s="10" t="str">
        <f>IF(Tabela2[[#This Row],[Coluna9]]&gt;0,"Entrada","Saída")</f>
        <v>Saída</v>
      </c>
      <c r="S584" s="10" t="str">
        <f>Tabela2[[#This Row],[Coluna8]]</f>
        <v>CARTÃO BRADESCO</v>
      </c>
      <c r="T584" s="10" t="e">
        <f>Tabela2[[#This Row],[Coluna72]]</f>
        <v>#REF!</v>
      </c>
      <c r="U584" s="10">
        <f>SUM(Tabela2[[#This Row],[Coluna9]],Tabela2[[#This Row],[Coluna10]])</f>
        <v>61.64</v>
      </c>
      <c r="V584" s="2">
        <f>Tabela2[[#This Row],[Coluna4]]</f>
        <v>46052</v>
      </c>
      <c r="W584" s="2">
        <f>Tabela2[[#This Row],[Coluna6]]</f>
        <v>46071</v>
      </c>
    </row>
    <row r="585" spans="2:23" x14ac:dyDescent="0.2">
      <c r="B585" s="3" t="s">
        <v>27</v>
      </c>
      <c r="C585" t="s">
        <v>95</v>
      </c>
      <c r="D585" t="s">
        <v>13</v>
      </c>
      <c r="E585" s="8">
        <v>46052</v>
      </c>
      <c r="F585" t="s">
        <v>750</v>
      </c>
      <c r="G585" s="8">
        <v>46071</v>
      </c>
      <c r="H585" t="s">
        <v>693</v>
      </c>
      <c r="I585" t="e">
        <f>VLOOKUP(Tabela2[[#This Row],[Coluna7]],[1]!Tabela1[#All],2,0)</f>
        <v>#REF!</v>
      </c>
      <c r="J585" s="9" t="s">
        <v>684</v>
      </c>
      <c r="L585">
        <v>46</v>
      </c>
      <c r="Q585" s="10" t="str">
        <f>Tabela2[[#This Row],[Coluna5]]</f>
        <v>02/2026</v>
      </c>
      <c r="R585" s="10" t="str">
        <f>IF(Tabela2[[#This Row],[Coluna9]]&gt;0,"Entrada","Saída")</f>
        <v>Saída</v>
      </c>
      <c r="S585" s="10" t="str">
        <f>Tabela2[[#This Row],[Coluna8]]</f>
        <v>CARTÃO BRADESCO</v>
      </c>
      <c r="T585" s="10" t="e">
        <f>Tabela2[[#This Row],[Coluna72]]</f>
        <v>#REF!</v>
      </c>
      <c r="U585" s="10">
        <f>SUM(Tabela2[[#This Row],[Coluna9]],Tabela2[[#This Row],[Coluna10]])</f>
        <v>46</v>
      </c>
      <c r="V585" s="2">
        <f>Tabela2[[#This Row],[Coluna4]]</f>
        <v>46052</v>
      </c>
      <c r="W585" s="2">
        <f>Tabela2[[#This Row],[Coluna6]]</f>
        <v>46071</v>
      </c>
    </row>
    <row r="586" spans="2:23" x14ac:dyDescent="0.2">
      <c r="B586" s="3" t="s">
        <v>27</v>
      </c>
      <c r="C586" t="s">
        <v>95</v>
      </c>
      <c r="D586" t="s">
        <v>13</v>
      </c>
      <c r="E586" s="8">
        <v>45932</v>
      </c>
      <c r="F586" t="s">
        <v>15</v>
      </c>
      <c r="G586" s="8">
        <v>45945</v>
      </c>
      <c r="H586" t="s">
        <v>693</v>
      </c>
      <c r="I586" t="e">
        <f>VLOOKUP(Tabela2[[#This Row],[Coluna7]],[1]!Tabela1[#All],2,0)</f>
        <v>#REF!</v>
      </c>
      <c r="J586" s="9" t="s">
        <v>684</v>
      </c>
      <c r="L586">
        <v>46</v>
      </c>
      <c r="Q586" s="10" t="str">
        <f>Tabela2[[#This Row],[Coluna5]]</f>
        <v>10/2025</v>
      </c>
      <c r="R586" s="10" t="str">
        <f>IF(Tabela2[[#This Row],[Coluna9]]&gt;0,"Entrada","Saída")</f>
        <v>Saída</v>
      </c>
      <c r="S586" s="10" t="str">
        <f>Tabela2[[#This Row],[Coluna8]]</f>
        <v>CARTÃO BRADESCO</v>
      </c>
      <c r="T586" s="10" t="e">
        <f>Tabela2[[#This Row],[Coluna72]]</f>
        <v>#REF!</v>
      </c>
      <c r="U586" s="10">
        <f>SUM(Tabela2[[#This Row],[Coluna9]],Tabela2[[#This Row],[Coluna10]])</f>
        <v>46</v>
      </c>
      <c r="V586" s="2">
        <f>Tabela2[[#This Row],[Coluna4]]</f>
        <v>45932</v>
      </c>
      <c r="W586" s="2">
        <f>Tabela2[[#This Row],[Coluna6]]</f>
        <v>45945</v>
      </c>
    </row>
    <row r="587" spans="2:23" x14ac:dyDescent="0.2">
      <c r="B587" s="3" t="s">
        <v>27</v>
      </c>
      <c r="C587" t="s">
        <v>95</v>
      </c>
      <c r="D587" t="s">
        <v>13</v>
      </c>
      <c r="E587" s="8">
        <v>45933</v>
      </c>
      <c r="F587" t="s">
        <v>15</v>
      </c>
      <c r="G587" s="8">
        <v>45945</v>
      </c>
      <c r="H587" t="s">
        <v>570</v>
      </c>
      <c r="I587" t="e">
        <f>VLOOKUP(Tabela2[[#This Row],[Coluna7]],[1]!Tabela1[#All],2,0)</f>
        <v>#REF!</v>
      </c>
      <c r="J587" s="9" t="s">
        <v>684</v>
      </c>
      <c r="L587">
        <v>112.48</v>
      </c>
      <c r="Q587" s="10" t="str">
        <f>Tabela2[[#This Row],[Coluna5]]</f>
        <v>10/2025</v>
      </c>
      <c r="R587" s="10" t="str">
        <f>IF(Tabela2[[#This Row],[Coluna9]]&gt;0,"Entrada","Saída")</f>
        <v>Saída</v>
      </c>
      <c r="S587" s="10" t="str">
        <f>Tabela2[[#This Row],[Coluna8]]</f>
        <v>CARTÃO BRADESCO</v>
      </c>
      <c r="T587" s="10" t="e">
        <f>Tabela2[[#This Row],[Coluna72]]</f>
        <v>#REF!</v>
      </c>
      <c r="U587" s="10">
        <f>SUM(Tabela2[[#This Row],[Coluna9]],Tabela2[[#This Row],[Coluna10]])</f>
        <v>112.48</v>
      </c>
      <c r="V587" s="2">
        <f>Tabela2[[#This Row],[Coluna4]]</f>
        <v>45933</v>
      </c>
      <c r="W587" s="2">
        <f>Tabela2[[#This Row],[Coluna6]]</f>
        <v>45945</v>
      </c>
    </row>
    <row r="588" spans="2:23" x14ac:dyDescent="0.2">
      <c r="B588" s="3" t="s">
        <v>27</v>
      </c>
      <c r="C588" t="s">
        <v>95</v>
      </c>
      <c r="D588" t="s">
        <v>13</v>
      </c>
      <c r="E588" s="8">
        <v>45937</v>
      </c>
      <c r="F588" t="s">
        <v>15</v>
      </c>
      <c r="G588" s="8">
        <v>45945</v>
      </c>
      <c r="H588" t="s">
        <v>570</v>
      </c>
      <c r="I588" t="e">
        <f>VLOOKUP(Tabela2[[#This Row],[Coluna7]],[1]!Tabela1[#All],2,0)</f>
        <v>#REF!</v>
      </c>
      <c r="J588" s="9" t="s">
        <v>684</v>
      </c>
      <c r="L588">
        <v>70.010000000000005</v>
      </c>
      <c r="Q588" s="10" t="str">
        <f>Tabela2[[#This Row],[Coluna5]]</f>
        <v>10/2025</v>
      </c>
      <c r="R588" s="10" t="str">
        <f>IF(Tabela2[[#This Row],[Coluna9]]&gt;0,"Entrada","Saída")</f>
        <v>Saída</v>
      </c>
      <c r="S588" s="10" t="str">
        <f>Tabela2[[#This Row],[Coluna8]]</f>
        <v>CARTÃO BRADESCO</v>
      </c>
      <c r="T588" s="10" t="e">
        <f>Tabela2[[#This Row],[Coluna72]]</f>
        <v>#REF!</v>
      </c>
      <c r="U588" s="10">
        <f>SUM(Tabela2[[#This Row],[Coluna9]],Tabela2[[#This Row],[Coluna10]])</f>
        <v>70.010000000000005</v>
      </c>
      <c r="V588" s="2">
        <f>Tabela2[[#This Row],[Coluna4]]</f>
        <v>45937</v>
      </c>
      <c r="W588" s="2">
        <f>Tabela2[[#This Row],[Coluna6]]</f>
        <v>45945</v>
      </c>
    </row>
    <row r="589" spans="2:23" x14ac:dyDescent="0.2">
      <c r="B589" s="3" t="s">
        <v>27</v>
      </c>
      <c r="C589" t="s">
        <v>95</v>
      </c>
      <c r="D589" t="s">
        <v>13</v>
      </c>
      <c r="E589" s="8">
        <v>45937</v>
      </c>
      <c r="F589" t="s">
        <v>15</v>
      </c>
      <c r="G589" s="8">
        <v>45945</v>
      </c>
      <c r="H589" t="s">
        <v>435</v>
      </c>
      <c r="I589" t="e">
        <f>VLOOKUP(Tabela2[[#This Row],[Coluna7]],[1]!Tabela1[#All],2,0)</f>
        <v>#REF!</v>
      </c>
      <c r="J589" s="9" t="s">
        <v>684</v>
      </c>
      <c r="L589">
        <v>26.88</v>
      </c>
      <c r="Q589" s="10" t="str">
        <f>Tabela2[[#This Row],[Coluna5]]</f>
        <v>10/2025</v>
      </c>
      <c r="R589" s="10" t="str">
        <f>IF(Tabela2[[#This Row],[Coluna9]]&gt;0,"Entrada","Saída")</f>
        <v>Saída</v>
      </c>
      <c r="S589" s="10" t="str">
        <f>Tabela2[[#This Row],[Coluna8]]</f>
        <v>CARTÃO BRADESCO</v>
      </c>
      <c r="T589" s="10" t="e">
        <f>Tabela2[[#This Row],[Coluna72]]</f>
        <v>#REF!</v>
      </c>
      <c r="U589" s="10">
        <f>SUM(Tabela2[[#This Row],[Coluna9]],Tabela2[[#This Row],[Coluna10]])</f>
        <v>26.88</v>
      </c>
      <c r="V589" s="2">
        <f>Tabela2[[#This Row],[Coluna4]]</f>
        <v>45937</v>
      </c>
      <c r="W589" s="2">
        <f>Tabela2[[#This Row],[Coluna6]]</f>
        <v>45945</v>
      </c>
    </row>
    <row r="590" spans="2:23" x14ac:dyDescent="0.2">
      <c r="B590" s="3" t="s">
        <v>27</v>
      </c>
      <c r="C590" t="s">
        <v>95</v>
      </c>
      <c r="D590" t="s">
        <v>13</v>
      </c>
      <c r="E590" s="8">
        <v>45937</v>
      </c>
      <c r="F590" t="s">
        <v>15</v>
      </c>
      <c r="G590" s="8">
        <v>45945</v>
      </c>
      <c r="H590" t="s">
        <v>570</v>
      </c>
      <c r="I590" t="e">
        <f>VLOOKUP(Tabela2[[#This Row],[Coluna7]],[1]!Tabela1[#All],2,0)</f>
        <v>#REF!</v>
      </c>
      <c r="J590" s="9" t="s">
        <v>684</v>
      </c>
      <c r="L590">
        <v>5.49</v>
      </c>
      <c r="Q590" s="10" t="str">
        <f>Tabela2[[#This Row],[Coluna5]]</f>
        <v>10/2025</v>
      </c>
      <c r="R590" s="10" t="str">
        <f>IF(Tabela2[[#This Row],[Coluna9]]&gt;0,"Entrada","Saída")</f>
        <v>Saída</v>
      </c>
      <c r="S590" s="10" t="str">
        <f>Tabela2[[#This Row],[Coluna8]]</f>
        <v>CARTÃO BRADESCO</v>
      </c>
      <c r="T590" s="10" t="e">
        <f>Tabela2[[#This Row],[Coluna72]]</f>
        <v>#REF!</v>
      </c>
      <c r="U590" s="10">
        <f>SUM(Tabela2[[#This Row],[Coluna9]],Tabela2[[#This Row],[Coluna10]])</f>
        <v>5.49</v>
      </c>
      <c r="V590" s="2">
        <f>Tabela2[[#This Row],[Coluna4]]</f>
        <v>45937</v>
      </c>
      <c r="W590" s="2">
        <f>Tabela2[[#This Row],[Coluna6]]</f>
        <v>45945</v>
      </c>
    </row>
    <row r="591" spans="2:23" x14ac:dyDescent="0.2">
      <c r="B591" s="3" t="s">
        <v>27</v>
      </c>
      <c r="C591" t="s">
        <v>95</v>
      </c>
      <c r="D591" t="s">
        <v>13</v>
      </c>
      <c r="E591" s="8">
        <v>45937</v>
      </c>
      <c r="F591" t="s">
        <v>15</v>
      </c>
      <c r="G591" s="8">
        <v>45945</v>
      </c>
      <c r="H591" t="s">
        <v>570</v>
      </c>
      <c r="I591" t="e">
        <f>VLOOKUP(Tabela2[[#This Row],[Coluna7]],[1]!Tabela1[#All],2,0)</f>
        <v>#REF!</v>
      </c>
      <c r="J591" s="9" t="s">
        <v>684</v>
      </c>
      <c r="L591">
        <v>128.79</v>
      </c>
      <c r="Q591" s="10" t="str">
        <f>Tabela2[[#This Row],[Coluna5]]</f>
        <v>10/2025</v>
      </c>
      <c r="R591" s="10" t="str">
        <f>IF(Tabela2[[#This Row],[Coluna9]]&gt;0,"Entrada","Saída")</f>
        <v>Saída</v>
      </c>
      <c r="S591" s="10" t="str">
        <f>Tabela2[[#This Row],[Coluna8]]</f>
        <v>CARTÃO BRADESCO</v>
      </c>
      <c r="T591" s="10" t="e">
        <f>Tabela2[[#This Row],[Coluna72]]</f>
        <v>#REF!</v>
      </c>
      <c r="U591" s="10">
        <f>SUM(Tabela2[[#This Row],[Coluna9]],Tabela2[[#This Row],[Coluna10]])</f>
        <v>128.79</v>
      </c>
      <c r="V591" s="2">
        <f>Tabela2[[#This Row],[Coluna4]]</f>
        <v>45937</v>
      </c>
      <c r="W591" s="2">
        <f>Tabela2[[#This Row],[Coluna6]]</f>
        <v>45945</v>
      </c>
    </row>
    <row r="592" spans="2:23" x14ac:dyDescent="0.2">
      <c r="B592" s="3" t="s">
        <v>27</v>
      </c>
      <c r="C592" t="s">
        <v>95</v>
      </c>
      <c r="D592" t="s">
        <v>13</v>
      </c>
      <c r="E592" s="8">
        <v>45937</v>
      </c>
      <c r="F592" t="s">
        <v>15</v>
      </c>
      <c r="G592" s="8">
        <v>45945</v>
      </c>
      <c r="H592" t="s">
        <v>570</v>
      </c>
      <c r="I592" t="e">
        <f>VLOOKUP(Tabela2[[#This Row],[Coluna7]],[1]!Tabela1[#All],2,0)</f>
        <v>#REF!</v>
      </c>
      <c r="J592" s="9" t="s">
        <v>684</v>
      </c>
      <c r="L592">
        <v>35.729999999999997</v>
      </c>
      <c r="Q592" s="10" t="str">
        <f>Tabela2[[#This Row],[Coluna5]]</f>
        <v>10/2025</v>
      </c>
      <c r="R592" s="10" t="str">
        <f>IF(Tabela2[[#This Row],[Coluna9]]&gt;0,"Entrada","Saída")</f>
        <v>Saída</v>
      </c>
      <c r="S592" s="10" t="str">
        <f>Tabela2[[#This Row],[Coluna8]]</f>
        <v>CARTÃO BRADESCO</v>
      </c>
      <c r="T592" s="10" t="e">
        <f>Tabela2[[#This Row],[Coluna72]]</f>
        <v>#REF!</v>
      </c>
      <c r="U592" s="10">
        <f>SUM(Tabela2[[#This Row],[Coluna9]],Tabela2[[#This Row],[Coluna10]])</f>
        <v>35.729999999999997</v>
      </c>
      <c r="V592" s="2">
        <f>Tabela2[[#This Row],[Coluna4]]</f>
        <v>45937</v>
      </c>
      <c r="W592" s="2">
        <f>Tabela2[[#This Row],[Coluna6]]</f>
        <v>45945</v>
      </c>
    </row>
    <row r="593" spans="2:23" x14ac:dyDescent="0.2">
      <c r="B593" s="3" t="s">
        <v>27</v>
      </c>
      <c r="C593" t="s">
        <v>95</v>
      </c>
      <c r="D593" t="s">
        <v>13</v>
      </c>
      <c r="E593" s="8">
        <v>45937</v>
      </c>
      <c r="F593" t="s">
        <v>15</v>
      </c>
      <c r="G593" s="8">
        <v>45945</v>
      </c>
      <c r="H593" t="s">
        <v>570</v>
      </c>
      <c r="I593" t="e">
        <f>VLOOKUP(Tabela2[[#This Row],[Coluna7]],[1]!Tabela1[#All],2,0)</f>
        <v>#REF!</v>
      </c>
      <c r="J593" s="9" t="s">
        <v>684</v>
      </c>
      <c r="L593">
        <v>52.42</v>
      </c>
      <c r="Q593" s="10" t="str">
        <f>Tabela2[[#This Row],[Coluna5]]</f>
        <v>10/2025</v>
      </c>
      <c r="R593" s="10" t="str">
        <f>IF(Tabela2[[#This Row],[Coluna9]]&gt;0,"Entrada","Saída")</f>
        <v>Saída</v>
      </c>
      <c r="S593" s="10" t="str">
        <f>Tabela2[[#This Row],[Coluna8]]</f>
        <v>CARTÃO BRADESCO</v>
      </c>
      <c r="T593" s="10" t="e">
        <f>Tabela2[[#This Row],[Coluna72]]</f>
        <v>#REF!</v>
      </c>
      <c r="U593" s="10">
        <f>SUM(Tabela2[[#This Row],[Coluna9]],Tabela2[[#This Row],[Coluna10]])</f>
        <v>52.42</v>
      </c>
      <c r="V593" s="2">
        <f>Tabela2[[#This Row],[Coluna4]]</f>
        <v>45937</v>
      </c>
      <c r="W593" s="2">
        <f>Tabela2[[#This Row],[Coluna6]]</f>
        <v>45945</v>
      </c>
    </row>
    <row r="594" spans="2:23" x14ac:dyDescent="0.2">
      <c r="B594" s="3" t="s">
        <v>27</v>
      </c>
      <c r="C594" t="s">
        <v>95</v>
      </c>
      <c r="D594" t="s">
        <v>13</v>
      </c>
      <c r="E594" s="8">
        <v>45937</v>
      </c>
      <c r="F594" t="s">
        <v>15</v>
      </c>
      <c r="G594" s="8">
        <v>45945</v>
      </c>
      <c r="H594" t="s">
        <v>538</v>
      </c>
      <c r="I594" t="e">
        <f>VLOOKUP(Tabela2[[#This Row],[Coluna7]],[1]!Tabela1[#All],2,0)</f>
        <v>#REF!</v>
      </c>
      <c r="J594" s="9" t="s">
        <v>684</v>
      </c>
      <c r="L594">
        <v>54.55</v>
      </c>
      <c r="Q594" s="10" t="str">
        <f>Tabela2[[#This Row],[Coluna5]]</f>
        <v>10/2025</v>
      </c>
      <c r="R594" s="10" t="str">
        <f>IF(Tabela2[[#This Row],[Coluna9]]&gt;0,"Entrada","Saída")</f>
        <v>Saída</v>
      </c>
      <c r="S594" s="10" t="str">
        <f>Tabela2[[#This Row],[Coluna8]]</f>
        <v>CARTÃO BRADESCO</v>
      </c>
      <c r="T594" s="10" t="e">
        <f>Tabela2[[#This Row],[Coluna72]]</f>
        <v>#REF!</v>
      </c>
      <c r="U594" s="10">
        <f>SUM(Tabela2[[#This Row],[Coluna9]],Tabela2[[#This Row],[Coluna10]])</f>
        <v>54.55</v>
      </c>
      <c r="V594" s="2">
        <f>Tabela2[[#This Row],[Coluna4]]</f>
        <v>45937</v>
      </c>
      <c r="W594" s="2">
        <f>Tabela2[[#This Row],[Coluna6]]</f>
        <v>45945</v>
      </c>
    </row>
    <row r="595" spans="2:23" x14ac:dyDescent="0.2">
      <c r="B595" s="3" t="s">
        <v>27</v>
      </c>
      <c r="C595" t="s">
        <v>95</v>
      </c>
      <c r="D595" t="s">
        <v>13</v>
      </c>
      <c r="E595" s="8">
        <v>45937</v>
      </c>
      <c r="F595" t="s">
        <v>15</v>
      </c>
      <c r="G595" s="8">
        <v>45945</v>
      </c>
      <c r="H595" t="s">
        <v>538</v>
      </c>
      <c r="I595" t="e">
        <f>VLOOKUP(Tabela2[[#This Row],[Coluna7]],[1]!Tabela1[#All],2,0)</f>
        <v>#REF!</v>
      </c>
      <c r="J595" s="9" t="s">
        <v>684</v>
      </c>
      <c r="L595">
        <v>272.8</v>
      </c>
      <c r="Q595" s="10" t="str">
        <f>Tabela2[[#This Row],[Coluna5]]</f>
        <v>10/2025</v>
      </c>
      <c r="R595" s="10" t="str">
        <f>IF(Tabela2[[#This Row],[Coluna9]]&gt;0,"Entrada","Saída")</f>
        <v>Saída</v>
      </c>
      <c r="S595" s="10" t="str">
        <f>Tabela2[[#This Row],[Coluna8]]</f>
        <v>CARTÃO BRADESCO</v>
      </c>
      <c r="T595" s="10" t="e">
        <f>Tabela2[[#This Row],[Coluna72]]</f>
        <v>#REF!</v>
      </c>
      <c r="U595" s="10">
        <f>SUM(Tabela2[[#This Row],[Coluna9]],Tabela2[[#This Row],[Coluna10]])</f>
        <v>272.8</v>
      </c>
      <c r="V595" s="2">
        <f>Tabela2[[#This Row],[Coluna4]]</f>
        <v>45937</v>
      </c>
      <c r="W595" s="2">
        <f>Tabela2[[#This Row],[Coluna6]]</f>
        <v>45945</v>
      </c>
    </row>
    <row r="596" spans="2:23" x14ac:dyDescent="0.2">
      <c r="B596" s="3" t="s">
        <v>27</v>
      </c>
      <c r="C596" t="s">
        <v>95</v>
      </c>
      <c r="D596" t="s">
        <v>13</v>
      </c>
      <c r="E596" s="8">
        <v>45940</v>
      </c>
      <c r="F596" t="s">
        <v>15</v>
      </c>
      <c r="G596" s="8">
        <v>45945</v>
      </c>
      <c r="H596" t="s">
        <v>435</v>
      </c>
      <c r="I596" t="e">
        <f>VLOOKUP(Tabela2[[#This Row],[Coluna7]],[1]!Tabela1[#All],2,0)</f>
        <v>#REF!</v>
      </c>
      <c r="J596" s="9" t="s">
        <v>684</v>
      </c>
      <c r="L596">
        <v>28.16</v>
      </c>
      <c r="Q596" s="10" t="str">
        <f>Tabela2[[#This Row],[Coluna5]]</f>
        <v>10/2025</v>
      </c>
      <c r="R596" s="10" t="str">
        <f>IF(Tabela2[[#This Row],[Coluna9]]&gt;0,"Entrada","Saída")</f>
        <v>Saída</v>
      </c>
      <c r="S596" s="10" t="str">
        <f>Tabela2[[#This Row],[Coluna8]]</f>
        <v>CARTÃO BRADESCO</v>
      </c>
      <c r="T596" s="10" t="e">
        <f>Tabela2[[#This Row],[Coluna72]]</f>
        <v>#REF!</v>
      </c>
      <c r="U596" s="10">
        <f>SUM(Tabela2[[#This Row],[Coluna9]],Tabela2[[#This Row],[Coluna10]])</f>
        <v>28.16</v>
      </c>
      <c r="V596" s="2">
        <f>Tabela2[[#This Row],[Coluna4]]</f>
        <v>45940</v>
      </c>
      <c r="W596" s="2">
        <f>Tabela2[[#This Row],[Coluna6]]</f>
        <v>45945</v>
      </c>
    </row>
    <row r="597" spans="2:23" x14ac:dyDescent="0.2">
      <c r="B597" s="3" t="s">
        <v>27</v>
      </c>
      <c r="C597" t="s">
        <v>95</v>
      </c>
      <c r="D597" t="s">
        <v>13</v>
      </c>
      <c r="E597" s="8">
        <v>45947</v>
      </c>
      <c r="F597" t="s">
        <v>15</v>
      </c>
      <c r="G597" s="8">
        <v>45945</v>
      </c>
      <c r="H597" t="s">
        <v>570</v>
      </c>
      <c r="I597" t="e">
        <f>VLOOKUP(Tabela2[[#This Row],[Coluna7]],[1]!Tabela1[#All],2,0)</f>
        <v>#REF!</v>
      </c>
      <c r="J597" s="9" t="s">
        <v>684</v>
      </c>
      <c r="L597">
        <v>50.85</v>
      </c>
      <c r="Q597" s="10" t="str">
        <f>Tabela2[[#This Row],[Coluna5]]</f>
        <v>10/2025</v>
      </c>
      <c r="R597" s="10" t="str">
        <f>IF(Tabela2[[#This Row],[Coluna9]]&gt;0,"Entrada","Saída")</f>
        <v>Saída</v>
      </c>
      <c r="S597" s="10" t="str">
        <f>Tabela2[[#This Row],[Coluna8]]</f>
        <v>CARTÃO BRADESCO</v>
      </c>
      <c r="T597" s="10" t="e">
        <f>Tabela2[[#This Row],[Coluna72]]</f>
        <v>#REF!</v>
      </c>
      <c r="U597" s="10">
        <f>SUM(Tabela2[[#This Row],[Coluna9]],Tabela2[[#This Row],[Coluna10]])</f>
        <v>50.85</v>
      </c>
      <c r="V597" s="2">
        <f>Tabela2[[#This Row],[Coluna4]]</f>
        <v>45947</v>
      </c>
      <c r="W597" s="2">
        <f>Tabela2[[#This Row],[Coluna6]]</f>
        <v>45945</v>
      </c>
    </row>
    <row r="598" spans="2:23" x14ac:dyDescent="0.2">
      <c r="B598" s="3" t="s">
        <v>27</v>
      </c>
      <c r="C598" t="s">
        <v>95</v>
      </c>
      <c r="D598" t="s">
        <v>13</v>
      </c>
      <c r="E598" s="8">
        <v>46080</v>
      </c>
      <c r="F598" t="s">
        <v>15</v>
      </c>
      <c r="G598" s="8">
        <v>45945</v>
      </c>
      <c r="H598" t="s">
        <v>693</v>
      </c>
      <c r="I598" t="e">
        <f>VLOOKUP(Tabela2[[#This Row],[Coluna7]],[1]!Tabela1[#All],2,0)</f>
        <v>#REF!</v>
      </c>
      <c r="J598" s="9" t="s">
        <v>684</v>
      </c>
      <c r="L598">
        <v>46</v>
      </c>
      <c r="Q598" s="10" t="str">
        <f>Tabela2[[#This Row],[Coluna5]]</f>
        <v>10/2025</v>
      </c>
      <c r="R598" s="10" t="str">
        <f>IF(Tabela2[[#This Row],[Coluna9]]&gt;0,"Entrada","Saída")</f>
        <v>Saída</v>
      </c>
      <c r="S598" s="10" t="str">
        <f>Tabela2[[#This Row],[Coluna8]]</f>
        <v>CARTÃO BRADESCO</v>
      </c>
      <c r="T598" s="10" t="e">
        <f>Tabela2[[#This Row],[Coluna72]]</f>
        <v>#REF!</v>
      </c>
      <c r="U598" s="10">
        <f>SUM(Tabela2[[#This Row],[Coluna9]],Tabela2[[#This Row],[Coluna10]])</f>
        <v>46</v>
      </c>
      <c r="V598" s="2">
        <f>Tabela2[[#This Row],[Coluna4]]</f>
        <v>46080</v>
      </c>
      <c r="W598" s="2">
        <f>Tabela2[[#This Row],[Coluna6]]</f>
        <v>45945</v>
      </c>
    </row>
    <row r="599" spans="2:23" x14ac:dyDescent="0.2">
      <c r="B599" s="3" t="s">
        <v>27</v>
      </c>
      <c r="C599" t="s">
        <v>95</v>
      </c>
      <c r="D599" t="s">
        <v>13</v>
      </c>
      <c r="E599" s="8">
        <v>45933</v>
      </c>
      <c r="F599" t="s">
        <v>42</v>
      </c>
      <c r="G599" s="8">
        <v>45978</v>
      </c>
      <c r="H599" t="s">
        <v>570</v>
      </c>
      <c r="I599" t="e">
        <f>VLOOKUP(Tabela2[[#This Row],[Coluna7]],[1]!Tabela1[#All],2,0)</f>
        <v>#REF!</v>
      </c>
      <c r="J599" s="9" t="s">
        <v>684</v>
      </c>
      <c r="Q599" s="10" t="str">
        <f>Tabela2[[#This Row],[Coluna5]]</f>
        <v>11/2025</v>
      </c>
      <c r="R599" s="10" t="str">
        <f>IF(Tabela2[[#This Row],[Coluna9]]&gt;0,"Entrada","Saída")</f>
        <v>Saída</v>
      </c>
      <c r="S599" s="10" t="str">
        <f>Tabela2[[#This Row],[Coluna8]]</f>
        <v>CARTÃO BRADESCO</v>
      </c>
      <c r="T599" s="10" t="e">
        <f>Tabela2[[#This Row],[Coluna72]]</f>
        <v>#REF!</v>
      </c>
      <c r="U599" s="10">
        <f>SUM(Tabela2[[#This Row],[Coluna9]],Tabela2[[#This Row],[Coluna10]])</f>
        <v>0</v>
      </c>
      <c r="V599" s="2">
        <f>Tabela2[[#This Row],[Coluna4]]</f>
        <v>45933</v>
      </c>
      <c r="W599" s="2">
        <f>Tabela2[[#This Row],[Coluna6]]</f>
        <v>45978</v>
      </c>
    </row>
    <row r="600" spans="2:23" x14ac:dyDescent="0.2">
      <c r="B600" s="3" t="s">
        <v>27</v>
      </c>
      <c r="C600" t="s">
        <v>95</v>
      </c>
      <c r="D600" t="s">
        <v>13</v>
      </c>
      <c r="E600" s="8">
        <v>45937</v>
      </c>
      <c r="F600" t="s">
        <v>42</v>
      </c>
      <c r="G600" s="8">
        <v>45978</v>
      </c>
      <c r="H600" t="s">
        <v>570</v>
      </c>
      <c r="I600" t="e">
        <f>VLOOKUP(Tabela2[[#This Row],[Coluna7]],[1]!Tabela1[#All],2,0)</f>
        <v>#REF!</v>
      </c>
      <c r="J600" s="9" t="s">
        <v>684</v>
      </c>
      <c r="Q600" s="10" t="str">
        <f>Tabela2[[#This Row],[Coluna5]]</f>
        <v>11/2025</v>
      </c>
      <c r="R600" s="10" t="str">
        <f>IF(Tabela2[[#This Row],[Coluna9]]&gt;0,"Entrada","Saída")</f>
        <v>Saída</v>
      </c>
      <c r="S600" s="10" t="str">
        <f>Tabela2[[#This Row],[Coluna8]]</f>
        <v>CARTÃO BRADESCO</v>
      </c>
      <c r="T600" s="10" t="e">
        <f>Tabela2[[#This Row],[Coluna72]]</f>
        <v>#REF!</v>
      </c>
      <c r="U600" s="10">
        <f>SUM(Tabela2[[#This Row],[Coluna9]],Tabela2[[#This Row],[Coluna10]])</f>
        <v>0</v>
      </c>
      <c r="V600" s="2">
        <f>Tabela2[[#This Row],[Coluna4]]</f>
        <v>45937</v>
      </c>
      <c r="W600" s="2">
        <f>Tabela2[[#This Row],[Coluna6]]</f>
        <v>45978</v>
      </c>
    </row>
    <row r="601" spans="2:23" x14ac:dyDescent="0.2">
      <c r="B601" s="3" t="s">
        <v>27</v>
      </c>
      <c r="C601" t="s">
        <v>95</v>
      </c>
      <c r="D601" t="s">
        <v>13</v>
      </c>
      <c r="E601" s="8">
        <v>45937</v>
      </c>
      <c r="F601" t="s">
        <v>42</v>
      </c>
      <c r="G601" s="8">
        <v>45978</v>
      </c>
      <c r="H601" t="s">
        <v>538</v>
      </c>
      <c r="I601" t="e">
        <f>VLOOKUP(Tabela2[[#This Row],[Coluna7]],[1]!Tabela1[#All],2,0)</f>
        <v>#REF!</v>
      </c>
      <c r="J601" s="9" t="s">
        <v>684</v>
      </c>
      <c r="Q601" s="10" t="str">
        <f>Tabela2[[#This Row],[Coluna5]]</f>
        <v>11/2025</v>
      </c>
      <c r="R601" s="10" t="str">
        <f>IF(Tabela2[[#This Row],[Coluna9]]&gt;0,"Entrada","Saída")</f>
        <v>Saída</v>
      </c>
      <c r="S601" s="10" t="str">
        <f>Tabela2[[#This Row],[Coluna8]]</f>
        <v>CARTÃO BRADESCO</v>
      </c>
      <c r="T601" s="10" t="e">
        <f>Tabela2[[#This Row],[Coluna72]]</f>
        <v>#REF!</v>
      </c>
      <c r="U601" s="10">
        <f>SUM(Tabela2[[#This Row],[Coluna9]],Tabela2[[#This Row],[Coluna10]])</f>
        <v>0</v>
      </c>
      <c r="V601" s="2">
        <f>Tabela2[[#This Row],[Coluna4]]</f>
        <v>45937</v>
      </c>
      <c r="W601" s="2">
        <f>Tabela2[[#This Row],[Coluna6]]</f>
        <v>45978</v>
      </c>
    </row>
    <row r="602" spans="2:23" x14ac:dyDescent="0.2">
      <c r="B602" s="3" t="s">
        <v>27</v>
      </c>
      <c r="C602" t="s">
        <v>95</v>
      </c>
      <c r="D602" t="s">
        <v>13</v>
      </c>
      <c r="E602" s="8">
        <v>45937</v>
      </c>
      <c r="F602" t="s">
        <v>42</v>
      </c>
      <c r="G602" s="8">
        <v>45978</v>
      </c>
      <c r="H602" t="s">
        <v>469</v>
      </c>
      <c r="I602" t="e">
        <f>VLOOKUP(Tabela2[[#This Row],[Coluna7]],[1]!Tabela1[#All],2,0)</f>
        <v>#REF!</v>
      </c>
      <c r="J602" s="9" t="s">
        <v>684</v>
      </c>
      <c r="Q602" s="10" t="str">
        <f>Tabela2[[#This Row],[Coluna5]]</f>
        <v>11/2025</v>
      </c>
      <c r="R602" s="10" t="str">
        <f>IF(Tabela2[[#This Row],[Coluna9]]&gt;0,"Entrada","Saída")</f>
        <v>Saída</v>
      </c>
      <c r="S602" s="10" t="str">
        <f>Tabela2[[#This Row],[Coluna8]]</f>
        <v>CARTÃO BRADESCO</v>
      </c>
      <c r="T602" s="10" t="e">
        <f>Tabela2[[#This Row],[Coluna72]]</f>
        <v>#REF!</v>
      </c>
      <c r="U602" s="10">
        <f>SUM(Tabela2[[#This Row],[Coluna9]],Tabela2[[#This Row],[Coluna10]])</f>
        <v>0</v>
      </c>
      <c r="V602" s="2">
        <f>Tabela2[[#This Row],[Coluna4]]</f>
        <v>45937</v>
      </c>
      <c r="W602" s="2">
        <f>Tabela2[[#This Row],[Coluna6]]</f>
        <v>45978</v>
      </c>
    </row>
    <row r="603" spans="2:23" x14ac:dyDescent="0.2">
      <c r="B603" s="3" t="s">
        <v>27</v>
      </c>
      <c r="C603" t="s">
        <v>95</v>
      </c>
      <c r="D603" t="s">
        <v>13</v>
      </c>
      <c r="E603" s="8">
        <v>45937</v>
      </c>
      <c r="F603" t="s">
        <v>42</v>
      </c>
      <c r="G603" s="8">
        <v>45978</v>
      </c>
      <c r="H603" t="s">
        <v>570</v>
      </c>
      <c r="I603" t="e">
        <f>VLOOKUP(Tabela2[[#This Row],[Coluna7]],[1]!Tabela1[#All],2,0)</f>
        <v>#REF!</v>
      </c>
      <c r="J603" s="9" t="s">
        <v>684</v>
      </c>
      <c r="Q603" s="10" t="str">
        <f>Tabela2[[#This Row],[Coluna5]]</f>
        <v>11/2025</v>
      </c>
      <c r="R603" s="10" t="str">
        <f>IF(Tabela2[[#This Row],[Coluna9]]&gt;0,"Entrada","Saída")</f>
        <v>Saída</v>
      </c>
      <c r="S603" s="10" t="str">
        <f>Tabela2[[#This Row],[Coluna8]]</f>
        <v>CARTÃO BRADESCO</v>
      </c>
      <c r="T603" s="10" t="e">
        <f>Tabela2[[#This Row],[Coluna72]]</f>
        <v>#REF!</v>
      </c>
      <c r="U603" s="10">
        <f>SUM(Tabela2[[#This Row],[Coluna9]],Tabela2[[#This Row],[Coluna10]])</f>
        <v>0</v>
      </c>
      <c r="V603" s="2">
        <f>Tabela2[[#This Row],[Coluna4]]</f>
        <v>45937</v>
      </c>
      <c r="W603" s="2">
        <f>Tabela2[[#This Row],[Coluna6]]</f>
        <v>45978</v>
      </c>
    </row>
    <row r="604" spans="2:23" x14ac:dyDescent="0.2">
      <c r="B604" s="3" t="s">
        <v>27</v>
      </c>
      <c r="C604" t="s">
        <v>95</v>
      </c>
      <c r="D604" t="s">
        <v>13</v>
      </c>
      <c r="E604" s="8">
        <v>45937</v>
      </c>
      <c r="F604" t="s">
        <v>42</v>
      </c>
      <c r="G604" s="8">
        <v>45978</v>
      </c>
      <c r="H604" t="s">
        <v>570</v>
      </c>
      <c r="I604" t="e">
        <f>VLOOKUP(Tabela2[[#This Row],[Coluna7]],[1]!Tabela1[#All],2,0)</f>
        <v>#REF!</v>
      </c>
      <c r="J604" s="9" t="s">
        <v>684</v>
      </c>
      <c r="Q604" s="10" t="str">
        <f>Tabela2[[#This Row],[Coluna5]]</f>
        <v>11/2025</v>
      </c>
      <c r="R604" s="10" t="str">
        <f>IF(Tabela2[[#This Row],[Coluna9]]&gt;0,"Entrada","Saída")</f>
        <v>Saída</v>
      </c>
      <c r="S604" s="10" t="str">
        <f>Tabela2[[#This Row],[Coluna8]]</f>
        <v>CARTÃO BRADESCO</v>
      </c>
      <c r="T604" s="10" t="e">
        <f>Tabela2[[#This Row],[Coluna72]]</f>
        <v>#REF!</v>
      </c>
      <c r="U604" s="10">
        <f>SUM(Tabela2[[#This Row],[Coluna9]],Tabela2[[#This Row],[Coluna10]])</f>
        <v>0</v>
      </c>
      <c r="V604" s="2">
        <f>Tabela2[[#This Row],[Coluna4]]</f>
        <v>45937</v>
      </c>
      <c r="W604" s="2">
        <f>Tabela2[[#This Row],[Coluna6]]</f>
        <v>45978</v>
      </c>
    </row>
    <row r="605" spans="2:23" x14ac:dyDescent="0.2">
      <c r="B605" s="3" t="s">
        <v>27</v>
      </c>
      <c r="C605" t="s">
        <v>95</v>
      </c>
      <c r="D605" t="s">
        <v>13</v>
      </c>
      <c r="E605" s="8">
        <v>45937</v>
      </c>
      <c r="F605" t="s">
        <v>42</v>
      </c>
      <c r="G605" s="8">
        <v>45978</v>
      </c>
      <c r="H605" t="s">
        <v>538</v>
      </c>
      <c r="I605" t="e">
        <f>VLOOKUP(Tabela2[[#This Row],[Coluna7]],[1]!Tabela1[#All],2,0)</f>
        <v>#REF!</v>
      </c>
      <c r="J605" s="9" t="s">
        <v>684</v>
      </c>
      <c r="Q605" s="10" t="str">
        <f>Tabela2[[#This Row],[Coluna5]]</f>
        <v>11/2025</v>
      </c>
      <c r="R605" s="10" t="str">
        <f>IF(Tabela2[[#This Row],[Coluna9]]&gt;0,"Entrada","Saída")</f>
        <v>Saída</v>
      </c>
      <c r="S605" s="10" t="str">
        <f>Tabela2[[#This Row],[Coluna8]]</f>
        <v>CARTÃO BRADESCO</v>
      </c>
      <c r="T605" s="10" t="e">
        <f>Tabela2[[#This Row],[Coluna72]]</f>
        <v>#REF!</v>
      </c>
      <c r="U605" s="10">
        <f>SUM(Tabela2[[#This Row],[Coluna9]],Tabela2[[#This Row],[Coluna10]])</f>
        <v>0</v>
      </c>
      <c r="V605" s="2">
        <f>Tabela2[[#This Row],[Coluna4]]</f>
        <v>45937</v>
      </c>
      <c r="W605" s="2">
        <f>Tabela2[[#This Row],[Coluna6]]</f>
        <v>45978</v>
      </c>
    </row>
    <row r="606" spans="2:23" x14ac:dyDescent="0.2">
      <c r="B606" s="3" t="s">
        <v>27</v>
      </c>
      <c r="C606" t="s">
        <v>95</v>
      </c>
      <c r="D606" t="s">
        <v>13</v>
      </c>
      <c r="E606" s="8">
        <v>45937</v>
      </c>
      <c r="F606" t="s">
        <v>42</v>
      </c>
      <c r="G606" s="8">
        <v>45978</v>
      </c>
      <c r="H606" t="s">
        <v>570</v>
      </c>
      <c r="I606" t="e">
        <f>VLOOKUP(Tabela2[[#This Row],[Coluna7]],[1]!Tabela1[#All],2,0)</f>
        <v>#REF!</v>
      </c>
      <c r="J606" s="9" t="s">
        <v>684</v>
      </c>
      <c r="Q606" s="10" t="str">
        <f>Tabela2[[#This Row],[Coluna5]]</f>
        <v>11/2025</v>
      </c>
      <c r="R606" s="10" t="str">
        <f>IF(Tabela2[[#This Row],[Coluna9]]&gt;0,"Entrada","Saída")</f>
        <v>Saída</v>
      </c>
      <c r="S606" s="10" t="str">
        <f>Tabela2[[#This Row],[Coluna8]]</f>
        <v>CARTÃO BRADESCO</v>
      </c>
      <c r="T606" s="10" t="e">
        <f>Tabela2[[#This Row],[Coluna72]]</f>
        <v>#REF!</v>
      </c>
      <c r="U606" s="10">
        <f>SUM(Tabela2[[#This Row],[Coluna9]],Tabela2[[#This Row],[Coluna10]])</f>
        <v>0</v>
      </c>
      <c r="V606" s="2">
        <f>Tabela2[[#This Row],[Coluna4]]</f>
        <v>45937</v>
      </c>
      <c r="W606" s="2">
        <f>Tabela2[[#This Row],[Coluna6]]</f>
        <v>45978</v>
      </c>
    </row>
    <row r="607" spans="2:23" x14ac:dyDescent="0.2">
      <c r="B607" s="3" t="s">
        <v>27</v>
      </c>
      <c r="C607" t="s">
        <v>95</v>
      </c>
      <c r="D607" t="s">
        <v>13</v>
      </c>
      <c r="E607" s="8">
        <v>45940</v>
      </c>
      <c r="F607" t="s">
        <v>42</v>
      </c>
      <c r="G607" s="8">
        <v>45978</v>
      </c>
      <c r="H607" t="s">
        <v>538</v>
      </c>
      <c r="I607" t="e">
        <f>VLOOKUP(Tabela2[[#This Row],[Coluna7]],[1]!Tabela1[#All],2,0)</f>
        <v>#REF!</v>
      </c>
      <c r="J607" s="9" t="s">
        <v>684</v>
      </c>
      <c r="Q607" s="10" t="str">
        <f>Tabela2[[#This Row],[Coluna5]]</f>
        <v>11/2025</v>
      </c>
      <c r="R607" s="10" t="str">
        <f>IF(Tabela2[[#This Row],[Coluna9]]&gt;0,"Entrada","Saída")</f>
        <v>Saída</v>
      </c>
      <c r="S607" s="10" t="str">
        <f>Tabela2[[#This Row],[Coluna8]]</f>
        <v>CARTÃO BRADESCO</v>
      </c>
      <c r="T607" s="10" t="e">
        <f>Tabela2[[#This Row],[Coluna72]]</f>
        <v>#REF!</v>
      </c>
      <c r="U607" s="10">
        <f>SUM(Tabela2[[#This Row],[Coluna9]],Tabela2[[#This Row],[Coluna10]])</f>
        <v>0</v>
      </c>
      <c r="V607" s="2">
        <f>Tabela2[[#This Row],[Coluna4]]</f>
        <v>45940</v>
      </c>
      <c r="W607" s="2">
        <f>Tabela2[[#This Row],[Coluna6]]</f>
        <v>45978</v>
      </c>
    </row>
    <row r="608" spans="2:23" x14ac:dyDescent="0.2">
      <c r="B608" s="3" t="s">
        <v>27</v>
      </c>
      <c r="C608" t="s">
        <v>95</v>
      </c>
      <c r="D608" t="s">
        <v>13</v>
      </c>
      <c r="E608" s="8">
        <v>45946</v>
      </c>
      <c r="F608" t="s">
        <v>42</v>
      </c>
      <c r="G608" s="8">
        <v>45978</v>
      </c>
      <c r="H608" t="s">
        <v>570</v>
      </c>
      <c r="I608" t="e">
        <f>VLOOKUP(Tabela2[[#This Row],[Coluna7]],[1]!Tabela1[#All],2,0)</f>
        <v>#REF!</v>
      </c>
      <c r="J608" s="9" t="s">
        <v>684</v>
      </c>
      <c r="Q608" s="10" t="str">
        <f>Tabela2[[#This Row],[Coluna5]]</f>
        <v>11/2025</v>
      </c>
      <c r="R608" s="10" t="str">
        <f>IF(Tabela2[[#This Row],[Coluna9]]&gt;0,"Entrada","Saída")</f>
        <v>Saída</v>
      </c>
      <c r="S608" s="10" t="str">
        <f>Tabela2[[#This Row],[Coluna8]]</f>
        <v>CARTÃO BRADESCO</v>
      </c>
      <c r="T608" s="10" t="e">
        <f>Tabela2[[#This Row],[Coluna72]]</f>
        <v>#REF!</v>
      </c>
      <c r="U608" s="10">
        <f>SUM(Tabela2[[#This Row],[Coluna9]],Tabela2[[#This Row],[Coluna10]])</f>
        <v>0</v>
      </c>
      <c r="V608" s="2">
        <f>Tabela2[[#This Row],[Coluna4]]</f>
        <v>45946</v>
      </c>
      <c r="W608" s="2">
        <f>Tabela2[[#This Row],[Coluna6]]</f>
        <v>45978</v>
      </c>
    </row>
    <row r="609" spans="2:23" x14ac:dyDescent="0.2">
      <c r="B609" s="3" t="s">
        <v>27</v>
      </c>
      <c r="C609" t="s">
        <v>95</v>
      </c>
      <c r="D609" t="s">
        <v>13</v>
      </c>
      <c r="E609" s="8">
        <v>45947</v>
      </c>
      <c r="F609" t="s">
        <v>42</v>
      </c>
      <c r="G609" s="8">
        <v>45978</v>
      </c>
      <c r="H609" t="s">
        <v>570</v>
      </c>
      <c r="I609" t="e">
        <f>VLOOKUP(Tabela2[[#This Row],[Coluna7]],[1]!Tabela1[#All],2,0)</f>
        <v>#REF!</v>
      </c>
      <c r="J609" s="9" t="s">
        <v>684</v>
      </c>
      <c r="Q609" s="10" t="str">
        <f>Tabela2[[#This Row],[Coluna5]]</f>
        <v>11/2025</v>
      </c>
      <c r="R609" s="10" t="str">
        <f>IF(Tabela2[[#This Row],[Coluna9]]&gt;0,"Entrada","Saída")</f>
        <v>Saída</v>
      </c>
      <c r="S609" s="10" t="str">
        <f>Tabela2[[#This Row],[Coluna8]]</f>
        <v>CARTÃO BRADESCO</v>
      </c>
      <c r="T609" s="10" t="e">
        <f>Tabela2[[#This Row],[Coluna72]]</f>
        <v>#REF!</v>
      </c>
      <c r="U609" s="10">
        <f>SUM(Tabela2[[#This Row],[Coluna9]],Tabela2[[#This Row],[Coluna10]])</f>
        <v>0</v>
      </c>
      <c r="V609" s="2">
        <f>Tabela2[[#This Row],[Coluna4]]</f>
        <v>45947</v>
      </c>
      <c r="W609" s="2">
        <f>Tabela2[[#This Row],[Coluna6]]</f>
        <v>45978</v>
      </c>
    </row>
    <row r="610" spans="2:23" x14ac:dyDescent="0.2">
      <c r="B610" s="3" t="s">
        <v>27</v>
      </c>
      <c r="C610" t="s">
        <v>95</v>
      </c>
      <c r="D610" t="s">
        <v>13</v>
      </c>
      <c r="E610" s="8">
        <v>45947</v>
      </c>
      <c r="F610" t="s">
        <v>42</v>
      </c>
      <c r="G610" s="8">
        <v>45978</v>
      </c>
      <c r="H610" t="s">
        <v>570</v>
      </c>
      <c r="I610" t="e">
        <f>VLOOKUP(Tabela2[[#This Row],[Coluna7]],[1]!Tabela1[#All],2,0)</f>
        <v>#REF!</v>
      </c>
      <c r="J610" s="9" t="s">
        <v>684</v>
      </c>
      <c r="Q610" s="10" t="str">
        <f>Tabela2[[#This Row],[Coluna5]]</f>
        <v>11/2025</v>
      </c>
      <c r="R610" s="10" t="str">
        <f>IF(Tabela2[[#This Row],[Coluna9]]&gt;0,"Entrada","Saída")</f>
        <v>Saída</v>
      </c>
      <c r="S610" s="10" t="str">
        <f>Tabela2[[#This Row],[Coluna8]]</f>
        <v>CARTÃO BRADESCO</v>
      </c>
      <c r="T610" s="10" t="e">
        <f>Tabela2[[#This Row],[Coluna72]]</f>
        <v>#REF!</v>
      </c>
      <c r="U610" s="10">
        <f>SUM(Tabela2[[#This Row],[Coluna9]],Tabela2[[#This Row],[Coluna10]])</f>
        <v>0</v>
      </c>
      <c r="V610" s="2">
        <f>Tabela2[[#This Row],[Coluna4]]</f>
        <v>45947</v>
      </c>
      <c r="W610" s="2">
        <f>Tabela2[[#This Row],[Coluna6]]</f>
        <v>45978</v>
      </c>
    </row>
    <row r="611" spans="2:23" x14ac:dyDescent="0.2">
      <c r="B611" s="3" t="s">
        <v>27</v>
      </c>
      <c r="C611" t="s">
        <v>95</v>
      </c>
      <c r="D611" t="s">
        <v>13</v>
      </c>
      <c r="E611" s="8">
        <v>45953</v>
      </c>
      <c r="F611" t="s">
        <v>42</v>
      </c>
      <c r="G611" s="8">
        <v>45978</v>
      </c>
      <c r="H611" t="s">
        <v>570</v>
      </c>
      <c r="I611" t="e">
        <f>VLOOKUP(Tabela2[[#This Row],[Coluna7]],[1]!Tabela1[#All],2,0)</f>
        <v>#REF!</v>
      </c>
      <c r="J611" s="9" t="s">
        <v>684</v>
      </c>
      <c r="Q611" s="10" t="str">
        <f>Tabela2[[#This Row],[Coluna5]]</f>
        <v>11/2025</v>
      </c>
      <c r="R611" s="10" t="str">
        <f>IF(Tabela2[[#This Row],[Coluna9]]&gt;0,"Entrada","Saída")</f>
        <v>Saída</v>
      </c>
      <c r="S611" s="10" t="str">
        <f>Tabela2[[#This Row],[Coluna8]]</f>
        <v>CARTÃO BRADESCO</v>
      </c>
      <c r="T611" s="10" t="e">
        <f>Tabela2[[#This Row],[Coluna72]]</f>
        <v>#REF!</v>
      </c>
      <c r="U611" s="10">
        <f>SUM(Tabela2[[#This Row],[Coluna9]],Tabela2[[#This Row],[Coluna10]])</f>
        <v>0</v>
      </c>
      <c r="V611" s="2">
        <f>Tabela2[[#This Row],[Coluna4]]</f>
        <v>45953</v>
      </c>
      <c r="W611" s="2">
        <f>Tabela2[[#This Row],[Coluna6]]</f>
        <v>45978</v>
      </c>
    </row>
    <row r="612" spans="2:23" x14ac:dyDescent="0.2">
      <c r="B612" s="3" t="s">
        <v>27</v>
      </c>
      <c r="C612" t="s">
        <v>95</v>
      </c>
      <c r="D612" t="s">
        <v>13</v>
      </c>
      <c r="E612" s="8">
        <v>45956</v>
      </c>
      <c r="F612" t="s">
        <v>42</v>
      </c>
      <c r="G612" s="8">
        <v>45978</v>
      </c>
      <c r="H612" t="s">
        <v>570</v>
      </c>
      <c r="I612" t="e">
        <f>VLOOKUP(Tabela2[[#This Row],[Coluna7]],[1]!Tabela1[#All],2,0)</f>
        <v>#REF!</v>
      </c>
      <c r="J612" s="9" t="s">
        <v>684</v>
      </c>
      <c r="Q612" s="10" t="str">
        <f>Tabela2[[#This Row],[Coluna5]]</f>
        <v>11/2025</v>
      </c>
      <c r="R612" s="10" t="str">
        <f>IF(Tabela2[[#This Row],[Coluna9]]&gt;0,"Entrada","Saída")</f>
        <v>Saída</v>
      </c>
      <c r="S612" s="10" t="str">
        <f>Tabela2[[#This Row],[Coluna8]]</f>
        <v>CARTÃO BRADESCO</v>
      </c>
      <c r="T612" s="10" t="e">
        <f>Tabela2[[#This Row],[Coluna72]]</f>
        <v>#REF!</v>
      </c>
      <c r="U612" s="10">
        <f>SUM(Tabela2[[#This Row],[Coluna9]],Tabela2[[#This Row],[Coluna10]])</f>
        <v>0</v>
      </c>
      <c r="V612" s="2">
        <f>Tabela2[[#This Row],[Coluna4]]</f>
        <v>45956</v>
      </c>
      <c r="W612" s="2">
        <f>Tabela2[[#This Row],[Coluna6]]</f>
        <v>45978</v>
      </c>
    </row>
    <row r="613" spans="2:23" x14ac:dyDescent="0.2">
      <c r="B613" s="3" t="s">
        <v>27</v>
      </c>
      <c r="C613" t="s">
        <v>95</v>
      </c>
      <c r="D613" t="s">
        <v>13</v>
      </c>
      <c r="E613" s="8">
        <v>45956</v>
      </c>
      <c r="F613" t="s">
        <v>42</v>
      </c>
      <c r="G613" s="8">
        <v>45978</v>
      </c>
      <c r="H613" t="s">
        <v>570</v>
      </c>
      <c r="I613" t="e">
        <f>VLOOKUP(Tabela2[[#This Row],[Coluna7]],[1]!Tabela1[#All],2,0)</f>
        <v>#REF!</v>
      </c>
      <c r="J613" s="9" t="s">
        <v>684</v>
      </c>
      <c r="Q613" s="10" t="str">
        <f>Tabela2[[#This Row],[Coluna5]]</f>
        <v>11/2025</v>
      </c>
      <c r="R613" s="10" t="str">
        <f>IF(Tabela2[[#This Row],[Coluna9]]&gt;0,"Entrada","Saída")</f>
        <v>Saída</v>
      </c>
      <c r="S613" s="10" t="str">
        <f>Tabela2[[#This Row],[Coluna8]]</f>
        <v>CARTÃO BRADESCO</v>
      </c>
      <c r="T613" s="10" t="e">
        <f>Tabela2[[#This Row],[Coluna72]]</f>
        <v>#REF!</v>
      </c>
      <c r="U613" s="10">
        <f>SUM(Tabela2[[#This Row],[Coluna9]],Tabela2[[#This Row],[Coluna10]])</f>
        <v>0</v>
      </c>
      <c r="V613" s="2">
        <f>Tabela2[[#This Row],[Coluna4]]</f>
        <v>45956</v>
      </c>
      <c r="W613" s="2">
        <f>Tabela2[[#This Row],[Coluna6]]</f>
        <v>45978</v>
      </c>
    </row>
    <row r="614" spans="2:23" x14ac:dyDescent="0.2">
      <c r="B614" s="3" t="s">
        <v>27</v>
      </c>
      <c r="C614" t="s">
        <v>95</v>
      </c>
      <c r="D614" t="s">
        <v>13</v>
      </c>
      <c r="E614" s="8">
        <v>45957</v>
      </c>
      <c r="F614" t="s">
        <v>42</v>
      </c>
      <c r="G614" s="8">
        <v>45978</v>
      </c>
      <c r="H614" t="s">
        <v>538</v>
      </c>
      <c r="I614" t="e">
        <f>VLOOKUP(Tabela2[[#This Row],[Coluna7]],[1]!Tabela1[#All],2,0)</f>
        <v>#REF!</v>
      </c>
      <c r="J614" s="9" t="s">
        <v>684</v>
      </c>
      <c r="Q614" s="10" t="str">
        <f>Tabela2[[#This Row],[Coluna5]]</f>
        <v>11/2025</v>
      </c>
      <c r="R614" s="10" t="str">
        <f>IF(Tabela2[[#This Row],[Coluna9]]&gt;0,"Entrada","Saída")</f>
        <v>Saída</v>
      </c>
      <c r="S614" s="10" t="str">
        <f>Tabela2[[#This Row],[Coluna8]]</f>
        <v>CARTÃO BRADESCO</v>
      </c>
      <c r="T614" s="10" t="e">
        <f>Tabela2[[#This Row],[Coluna72]]</f>
        <v>#REF!</v>
      </c>
      <c r="U614" s="10">
        <f>SUM(Tabela2[[#This Row],[Coluna9]],Tabela2[[#This Row],[Coluna10]])</f>
        <v>0</v>
      </c>
      <c r="V614" s="2">
        <f>Tabela2[[#This Row],[Coluna4]]</f>
        <v>45957</v>
      </c>
      <c r="W614" s="2">
        <f>Tabela2[[#This Row],[Coluna6]]</f>
        <v>45978</v>
      </c>
    </row>
    <row r="615" spans="2:23" x14ac:dyDescent="0.2">
      <c r="B615" s="3" t="s">
        <v>27</v>
      </c>
      <c r="C615" t="s">
        <v>95</v>
      </c>
      <c r="D615" t="s">
        <v>13</v>
      </c>
      <c r="E615" s="8">
        <v>45957</v>
      </c>
      <c r="F615" t="s">
        <v>42</v>
      </c>
      <c r="G615" s="8">
        <v>45978</v>
      </c>
      <c r="H615" t="s">
        <v>538</v>
      </c>
      <c r="I615" t="e">
        <f>VLOOKUP(Tabela2[[#This Row],[Coluna7]],[1]!Tabela1[#All],2,0)</f>
        <v>#REF!</v>
      </c>
      <c r="J615" s="9" t="s">
        <v>684</v>
      </c>
      <c r="Q615" s="10" t="str">
        <f>Tabela2[[#This Row],[Coluna5]]</f>
        <v>11/2025</v>
      </c>
      <c r="R615" s="10" t="str">
        <f>IF(Tabela2[[#This Row],[Coluna9]]&gt;0,"Entrada","Saída")</f>
        <v>Saída</v>
      </c>
      <c r="S615" s="10" t="str">
        <f>Tabela2[[#This Row],[Coluna8]]</f>
        <v>CARTÃO BRADESCO</v>
      </c>
      <c r="T615" s="10" t="e">
        <f>Tabela2[[#This Row],[Coluna72]]</f>
        <v>#REF!</v>
      </c>
      <c r="U615" s="10">
        <f>SUM(Tabela2[[#This Row],[Coluna9]],Tabela2[[#This Row],[Coluna10]])</f>
        <v>0</v>
      </c>
      <c r="V615" s="2">
        <f>Tabela2[[#This Row],[Coluna4]]</f>
        <v>45957</v>
      </c>
      <c r="W615" s="2">
        <f>Tabela2[[#This Row],[Coluna6]]</f>
        <v>45978</v>
      </c>
    </row>
    <row r="616" spans="2:23" x14ac:dyDescent="0.2">
      <c r="B616" s="3" t="s">
        <v>27</v>
      </c>
      <c r="C616" t="s">
        <v>95</v>
      </c>
      <c r="D616" t="s">
        <v>13</v>
      </c>
      <c r="E616" s="8">
        <v>45957</v>
      </c>
      <c r="F616" t="s">
        <v>42</v>
      </c>
      <c r="G616" s="8">
        <v>45978</v>
      </c>
      <c r="H616" t="s">
        <v>538</v>
      </c>
      <c r="I616" t="e">
        <f>VLOOKUP(Tabela2[[#This Row],[Coluna7]],[1]!Tabela1[#All],2,0)</f>
        <v>#REF!</v>
      </c>
      <c r="J616" s="9" t="s">
        <v>684</v>
      </c>
      <c r="Q616" s="10" t="str">
        <f>Tabela2[[#This Row],[Coluna5]]</f>
        <v>11/2025</v>
      </c>
      <c r="R616" s="10" t="str">
        <f>IF(Tabela2[[#This Row],[Coluna9]]&gt;0,"Entrada","Saída")</f>
        <v>Saída</v>
      </c>
      <c r="S616" s="10" t="str">
        <f>Tabela2[[#This Row],[Coluna8]]</f>
        <v>CARTÃO BRADESCO</v>
      </c>
      <c r="T616" s="10" t="e">
        <f>Tabela2[[#This Row],[Coluna72]]</f>
        <v>#REF!</v>
      </c>
      <c r="U616" s="10">
        <f>SUM(Tabela2[[#This Row],[Coluna9]],Tabela2[[#This Row],[Coluna10]])</f>
        <v>0</v>
      </c>
      <c r="V616" s="2">
        <f>Tabela2[[#This Row],[Coluna4]]</f>
        <v>45957</v>
      </c>
      <c r="W616" s="2">
        <f>Tabela2[[#This Row],[Coluna6]]</f>
        <v>45978</v>
      </c>
    </row>
    <row r="617" spans="2:23" x14ac:dyDescent="0.2">
      <c r="B617" s="3" t="s">
        <v>27</v>
      </c>
      <c r="C617" t="s">
        <v>95</v>
      </c>
      <c r="D617" t="s">
        <v>13</v>
      </c>
      <c r="E617" s="8">
        <v>45964</v>
      </c>
      <c r="F617" t="s">
        <v>42</v>
      </c>
      <c r="G617" s="8">
        <v>45978</v>
      </c>
      <c r="H617" t="s">
        <v>469</v>
      </c>
      <c r="I617" t="e">
        <f>VLOOKUP(Tabela2[[#This Row],[Coluna7]],[1]!Tabela1[#All],2,0)</f>
        <v>#REF!</v>
      </c>
      <c r="J617" s="9" t="s">
        <v>684</v>
      </c>
      <c r="Q617" s="10" t="str">
        <f>Tabela2[[#This Row],[Coluna5]]</f>
        <v>11/2025</v>
      </c>
      <c r="R617" s="10" t="str">
        <f>IF(Tabela2[[#This Row],[Coluna9]]&gt;0,"Entrada","Saída")</f>
        <v>Saída</v>
      </c>
      <c r="S617" s="10" t="str">
        <f>Tabela2[[#This Row],[Coluna8]]</f>
        <v>CARTÃO BRADESCO</v>
      </c>
      <c r="T617" s="10" t="e">
        <f>Tabela2[[#This Row],[Coluna72]]</f>
        <v>#REF!</v>
      </c>
      <c r="U617" s="10">
        <f>SUM(Tabela2[[#This Row],[Coluna9]],Tabela2[[#This Row],[Coluna10]])</f>
        <v>0</v>
      </c>
      <c r="V617" s="2">
        <f>Tabela2[[#This Row],[Coluna4]]</f>
        <v>45964</v>
      </c>
      <c r="W617" s="2">
        <f>Tabela2[[#This Row],[Coluna6]]</f>
        <v>45978</v>
      </c>
    </row>
    <row r="618" spans="2:23" x14ac:dyDescent="0.2">
      <c r="B618" s="3" t="s">
        <v>27</v>
      </c>
      <c r="C618" t="s">
        <v>95</v>
      </c>
      <c r="D618" t="s">
        <v>13</v>
      </c>
      <c r="E618" s="8">
        <v>45965</v>
      </c>
      <c r="F618" t="s">
        <v>42</v>
      </c>
      <c r="G618" s="8">
        <v>45978</v>
      </c>
      <c r="H618" t="s">
        <v>538</v>
      </c>
      <c r="I618" t="e">
        <f>VLOOKUP(Tabela2[[#This Row],[Coluna7]],[1]!Tabela1[#All],2,0)</f>
        <v>#REF!</v>
      </c>
      <c r="J618" s="9" t="s">
        <v>684</v>
      </c>
      <c r="Q618" s="10" t="str">
        <f>Tabela2[[#This Row],[Coluna5]]</f>
        <v>11/2025</v>
      </c>
      <c r="R618" s="10" t="str">
        <f>IF(Tabela2[[#This Row],[Coluna9]]&gt;0,"Entrada","Saída")</f>
        <v>Saída</v>
      </c>
      <c r="S618" s="10" t="str">
        <f>Tabela2[[#This Row],[Coluna8]]</f>
        <v>CARTÃO BRADESCO</v>
      </c>
      <c r="T618" s="10" t="e">
        <f>Tabela2[[#This Row],[Coluna72]]</f>
        <v>#REF!</v>
      </c>
      <c r="U618" s="10">
        <f>SUM(Tabela2[[#This Row],[Coluna9]],Tabela2[[#This Row],[Coluna10]])</f>
        <v>0</v>
      </c>
      <c r="V618" s="2">
        <f>Tabela2[[#This Row],[Coluna4]]</f>
        <v>45965</v>
      </c>
      <c r="W618" s="2">
        <f>Tabela2[[#This Row],[Coluna6]]</f>
        <v>45978</v>
      </c>
    </row>
    <row r="619" spans="2:23" x14ac:dyDescent="0.2">
      <c r="B619" s="3" t="s">
        <v>27</v>
      </c>
      <c r="C619" t="s">
        <v>95</v>
      </c>
      <c r="D619" t="s">
        <v>13</v>
      </c>
      <c r="E619" s="8">
        <v>45965</v>
      </c>
      <c r="F619" t="s">
        <v>42</v>
      </c>
      <c r="G619" s="8">
        <v>45978</v>
      </c>
      <c r="H619" t="s">
        <v>538</v>
      </c>
      <c r="I619" t="e">
        <f>VLOOKUP(Tabela2[[#This Row],[Coluna7]],[1]!Tabela1[#All],2,0)</f>
        <v>#REF!</v>
      </c>
      <c r="J619" s="9" t="s">
        <v>684</v>
      </c>
      <c r="Q619" s="10" t="str">
        <f>Tabela2[[#This Row],[Coluna5]]</f>
        <v>11/2025</v>
      </c>
      <c r="R619" s="10" t="str">
        <f>IF(Tabela2[[#This Row],[Coluna9]]&gt;0,"Entrada","Saída")</f>
        <v>Saída</v>
      </c>
      <c r="S619" s="10" t="str">
        <f>Tabela2[[#This Row],[Coluna8]]</f>
        <v>CARTÃO BRADESCO</v>
      </c>
      <c r="T619" s="10" t="e">
        <f>Tabela2[[#This Row],[Coluna72]]</f>
        <v>#REF!</v>
      </c>
      <c r="U619" s="10">
        <f>SUM(Tabela2[[#This Row],[Coluna9]],Tabela2[[#This Row],[Coluna10]])</f>
        <v>0</v>
      </c>
      <c r="V619" s="2">
        <f>Tabela2[[#This Row],[Coluna4]]</f>
        <v>45965</v>
      </c>
      <c r="W619" s="2">
        <f>Tabela2[[#This Row],[Coluna6]]</f>
        <v>45978</v>
      </c>
    </row>
    <row r="620" spans="2:23" x14ac:dyDescent="0.2">
      <c r="B620" s="3" t="s">
        <v>27</v>
      </c>
      <c r="C620" t="s">
        <v>95</v>
      </c>
      <c r="D620" t="s">
        <v>13</v>
      </c>
      <c r="E620" s="8">
        <v>45965</v>
      </c>
      <c r="F620" t="s">
        <v>42</v>
      </c>
      <c r="G620" s="8">
        <v>45978</v>
      </c>
      <c r="H620" t="s">
        <v>538</v>
      </c>
      <c r="I620" t="e">
        <f>VLOOKUP(Tabela2[[#This Row],[Coluna7]],[1]!Tabela1[#All],2,0)</f>
        <v>#REF!</v>
      </c>
      <c r="J620" s="9" t="s">
        <v>684</v>
      </c>
      <c r="Q620" s="10" t="str">
        <f>Tabela2[[#This Row],[Coluna5]]</f>
        <v>11/2025</v>
      </c>
      <c r="R620" s="10" t="str">
        <f>IF(Tabela2[[#This Row],[Coluna9]]&gt;0,"Entrada","Saída")</f>
        <v>Saída</v>
      </c>
      <c r="S620" s="10" t="str">
        <f>Tabela2[[#This Row],[Coluna8]]</f>
        <v>CARTÃO BRADESCO</v>
      </c>
      <c r="T620" s="10" t="e">
        <f>Tabela2[[#This Row],[Coluna72]]</f>
        <v>#REF!</v>
      </c>
      <c r="U620" s="10">
        <f>SUM(Tabela2[[#This Row],[Coluna9]],Tabela2[[#This Row],[Coluna10]])</f>
        <v>0</v>
      </c>
      <c r="V620" s="2">
        <f>Tabela2[[#This Row],[Coluna4]]</f>
        <v>45965</v>
      </c>
      <c r="W620" s="2">
        <f>Tabela2[[#This Row],[Coluna6]]</f>
        <v>45978</v>
      </c>
    </row>
    <row r="621" spans="2:23" x14ac:dyDescent="0.2">
      <c r="B621" s="3" t="s">
        <v>27</v>
      </c>
      <c r="C621" t="s">
        <v>95</v>
      </c>
      <c r="D621" t="s">
        <v>13</v>
      </c>
      <c r="E621" s="8">
        <v>45965</v>
      </c>
      <c r="F621" t="s">
        <v>42</v>
      </c>
      <c r="G621" s="8">
        <v>45978</v>
      </c>
      <c r="H621" t="s">
        <v>693</v>
      </c>
      <c r="I621" t="e">
        <f>VLOOKUP(Tabela2[[#This Row],[Coluna7]],[1]!Tabela1[#All],2,0)</f>
        <v>#REF!</v>
      </c>
      <c r="J621" s="9" t="s">
        <v>684</v>
      </c>
      <c r="Q621" s="10" t="str">
        <f>Tabela2[[#This Row],[Coluna5]]</f>
        <v>11/2025</v>
      </c>
      <c r="R621" s="10" t="str">
        <f>IF(Tabela2[[#This Row],[Coluna9]]&gt;0,"Entrada","Saída")</f>
        <v>Saída</v>
      </c>
      <c r="S621" s="10" t="str">
        <f>Tabela2[[#This Row],[Coluna8]]</f>
        <v>CARTÃO BRADESCO</v>
      </c>
      <c r="T621" s="10" t="e">
        <f>Tabela2[[#This Row],[Coluna72]]</f>
        <v>#REF!</v>
      </c>
      <c r="U621" s="10">
        <f>SUM(Tabela2[[#This Row],[Coluna9]],Tabela2[[#This Row],[Coluna10]])</f>
        <v>0</v>
      </c>
      <c r="V621" s="2">
        <f>Tabela2[[#This Row],[Coluna4]]</f>
        <v>45965</v>
      </c>
      <c r="W621" s="2">
        <f>Tabela2[[#This Row],[Coluna6]]</f>
        <v>45978</v>
      </c>
    </row>
    <row r="622" spans="2:23" x14ac:dyDescent="0.2">
      <c r="B622" s="3" t="s">
        <v>27</v>
      </c>
      <c r="C622" t="s">
        <v>95</v>
      </c>
      <c r="D622" t="s">
        <v>13</v>
      </c>
      <c r="E622" s="8">
        <v>46080</v>
      </c>
      <c r="F622" t="s">
        <v>42</v>
      </c>
      <c r="G622" s="8">
        <v>45978</v>
      </c>
      <c r="H622" t="s">
        <v>693</v>
      </c>
      <c r="I622" t="e">
        <f>VLOOKUP(Tabela2[[#This Row],[Coluna7]],[1]!Tabela1[#All],2,0)</f>
        <v>#REF!</v>
      </c>
      <c r="J622" s="9" t="s">
        <v>684</v>
      </c>
      <c r="Q622" s="10" t="str">
        <f>Tabela2[[#This Row],[Coluna5]]</f>
        <v>11/2025</v>
      </c>
      <c r="R622" s="10" t="str">
        <f>IF(Tabela2[[#This Row],[Coluna9]]&gt;0,"Entrada","Saída")</f>
        <v>Saída</v>
      </c>
      <c r="S622" s="10" t="str">
        <f>Tabela2[[#This Row],[Coluna8]]</f>
        <v>CARTÃO BRADESCO</v>
      </c>
      <c r="T622" s="10" t="e">
        <f>Tabela2[[#This Row],[Coluna72]]</f>
        <v>#REF!</v>
      </c>
      <c r="U622" s="10">
        <f>SUM(Tabela2[[#This Row],[Coluna9]],Tabela2[[#This Row],[Coluna10]])</f>
        <v>0</v>
      </c>
      <c r="V622" s="2">
        <f>Tabela2[[#This Row],[Coluna4]]</f>
        <v>46080</v>
      </c>
      <c r="W622" s="2">
        <f>Tabela2[[#This Row],[Coluna6]]</f>
        <v>45978</v>
      </c>
    </row>
    <row r="623" spans="2:23" x14ac:dyDescent="0.2">
      <c r="B623" s="3" t="s">
        <v>27</v>
      </c>
      <c r="C623" t="s">
        <v>95</v>
      </c>
      <c r="D623" t="s">
        <v>13</v>
      </c>
      <c r="E623" s="8">
        <v>45937</v>
      </c>
      <c r="F623" t="s">
        <v>64</v>
      </c>
      <c r="G623" s="8">
        <v>46006</v>
      </c>
      <c r="H623" t="s">
        <v>570</v>
      </c>
      <c r="I623" t="e">
        <f>VLOOKUP(Tabela2[[#This Row],[Coluna7]],[1]!Tabela1[#All],2,0)</f>
        <v>#REF!</v>
      </c>
      <c r="J623" s="9" t="s">
        <v>684</v>
      </c>
      <c r="L623">
        <v>69.98</v>
      </c>
      <c r="Q623" s="10" t="str">
        <f>Tabela2[[#This Row],[Coluna5]]</f>
        <v>12/2025</v>
      </c>
      <c r="R623" s="10" t="str">
        <f>IF(Tabela2[[#This Row],[Coluna9]]&gt;0,"Entrada","Saída")</f>
        <v>Saída</v>
      </c>
      <c r="S623" s="10" t="str">
        <f>Tabela2[[#This Row],[Coluna8]]</f>
        <v>CARTÃO BRADESCO</v>
      </c>
      <c r="T623" s="10" t="e">
        <f>Tabela2[[#This Row],[Coluna72]]</f>
        <v>#REF!</v>
      </c>
      <c r="U623" s="10">
        <f>SUM(Tabela2[[#This Row],[Coluna9]],Tabela2[[#This Row],[Coluna10]])</f>
        <v>69.98</v>
      </c>
      <c r="V623" s="2">
        <f>Tabela2[[#This Row],[Coluna4]]</f>
        <v>45937</v>
      </c>
      <c r="W623" s="2">
        <f>Tabela2[[#This Row],[Coluna6]]</f>
        <v>46006</v>
      </c>
    </row>
    <row r="624" spans="2:23" x14ac:dyDescent="0.2">
      <c r="B624" s="3" t="s">
        <v>27</v>
      </c>
      <c r="C624" t="s">
        <v>95</v>
      </c>
      <c r="D624" t="s">
        <v>13</v>
      </c>
      <c r="E624" s="8">
        <v>45937</v>
      </c>
      <c r="F624" t="s">
        <v>64</v>
      </c>
      <c r="G624" s="8">
        <v>46006</v>
      </c>
      <c r="H624" t="s">
        <v>570</v>
      </c>
      <c r="I624" t="e">
        <f>VLOOKUP(Tabela2[[#This Row],[Coluna7]],[1]!Tabela1[#All],2,0)</f>
        <v>#REF!</v>
      </c>
      <c r="J624" s="9" t="s">
        <v>684</v>
      </c>
      <c r="L624">
        <v>5.49</v>
      </c>
      <c r="Q624" s="10" t="str">
        <f>Tabela2[[#This Row],[Coluna5]]</f>
        <v>12/2025</v>
      </c>
      <c r="R624" s="10" t="str">
        <f>IF(Tabela2[[#This Row],[Coluna9]]&gt;0,"Entrada","Saída")</f>
        <v>Saída</v>
      </c>
      <c r="S624" s="10" t="str">
        <f>Tabela2[[#This Row],[Coluna8]]</f>
        <v>CARTÃO BRADESCO</v>
      </c>
      <c r="T624" s="10" t="e">
        <f>Tabela2[[#This Row],[Coluna72]]</f>
        <v>#REF!</v>
      </c>
      <c r="U624" s="10">
        <f>SUM(Tabela2[[#This Row],[Coluna9]],Tabela2[[#This Row],[Coluna10]])</f>
        <v>5.49</v>
      </c>
      <c r="V624" s="2">
        <f>Tabela2[[#This Row],[Coluna4]]</f>
        <v>45937</v>
      </c>
      <c r="W624" s="2">
        <f>Tabela2[[#This Row],[Coluna6]]</f>
        <v>46006</v>
      </c>
    </row>
    <row r="625" spans="2:23" x14ac:dyDescent="0.2">
      <c r="B625" s="3" t="s">
        <v>27</v>
      </c>
      <c r="C625" t="s">
        <v>95</v>
      </c>
      <c r="D625" t="s">
        <v>13</v>
      </c>
      <c r="E625" s="8">
        <v>45937</v>
      </c>
      <c r="F625" t="s">
        <v>64</v>
      </c>
      <c r="G625" s="8">
        <v>46006</v>
      </c>
      <c r="H625" t="s">
        <v>469</v>
      </c>
      <c r="I625" t="e">
        <f>VLOOKUP(Tabela2[[#This Row],[Coluna7]],[1]!Tabela1[#All],2,0)</f>
        <v>#REF!</v>
      </c>
      <c r="J625" s="9" t="s">
        <v>684</v>
      </c>
      <c r="L625">
        <v>26.88</v>
      </c>
      <c r="Q625" s="10" t="str">
        <f>Tabela2[[#This Row],[Coluna5]]</f>
        <v>12/2025</v>
      </c>
      <c r="R625" s="10" t="str">
        <f>IF(Tabela2[[#This Row],[Coluna9]]&gt;0,"Entrada","Saída")</f>
        <v>Saída</v>
      </c>
      <c r="S625" s="10" t="str">
        <f>Tabela2[[#This Row],[Coluna8]]</f>
        <v>CARTÃO BRADESCO</v>
      </c>
      <c r="T625" s="10" t="e">
        <f>Tabela2[[#This Row],[Coluna72]]</f>
        <v>#REF!</v>
      </c>
      <c r="U625" s="10">
        <f>SUM(Tabela2[[#This Row],[Coluna9]],Tabela2[[#This Row],[Coluna10]])</f>
        <v>26.88</v>
      </c>
      <c r="V625" s="2">
        <f>Tabela2[[#This Row],[Coluna4]]</f>
        <v>45937</v>
      </c>
      <c r="W625" s="2">
        <f>Tabela2[[#This Row],[Coluna6]]</f>
        <v>46006</v>
      </c>
    </row>
    <row r="626" spans="2:23" x14ac:dyDescent="0.2">
      <c r="B626" s="3" t="s">
        <v>27</v>
      </c>
      <c r="C626" t="s">
        <v>95</v>
      </c>
      <c r="D626" t="s">
        <v>13</v>
      </c>
      <c r="E626" s="8">
        <v>45937</v>
      </c>
      <c r="F626" t="s">
        <v>64</v>
      </c>
      <c r="G626" s="8">
        <v>46006</v>
      </c>
      <c r="H626" t="s">
        <v>570</v>
      </c>
      <c r="I626" t="e">
        <f>VLOOKUP(Tabela2[[#This Row],[Coluna7]],[1]!Tabela1[#All],2,0)</f>
        <v>#REF!</v>
      </c>
      <c r="J626" s="9" t="s">
        <v>684</v>
      </c>
      <c r="L626">
        <v>35.729999999999997</v>
      </c>
      <c r="Q626" s="10" t="str">
        <f>Tabela2[[#This Row],[Coluna5]]</f>
        <v>12/2025</v>
      </c>
      <c r="R626" s="10" t="str">
        <f>IF(Tabela2[[#This Row],[Coluna9]]&gt;0,"Entrada","Saída")</f>
        <v>Saída</v>
      </c>
      <c r="S626" s="10" t="str">
        <f>Tabela2[[#This Row],[Coluna8]]</f>
        <v>CARTÃO BRADESCO</v>
      </c>
      <c r="T626" s="10" t="e">
        <f>Tabela2[[#This Row],[Coluna72]]</f>
        <v>#REF!</v>
      </c>
      <c r="U626" s="10">
        <f>SUM(Tabela2[[#This Row],[Coluna9]],Tabela2[[#This Row],[Coluna10]])</f>
        <v>35.729999999999997</v>
      </c>
      <c r="V626" s="2">
        <f>Tabela2[[#This Row],[Coluna4]]</f>
        <v>45937</v>
      </c>
      <c r="W626" s="2">
        <f>Tabela2[[#This Row],[Coluna6]]</f>
        <v>46006</v>
      </c>
    </row>
    <row r="627" spans="2:23" x14ac:dyDescent="0.2">
      <c r="B627" s="3" t="s">
        <v>27</v>
      </c>
      <c r="C627" t="s">
        <v>95</v>
      </c>
      <c r="D627" t="s">
        <v>13</v>
      </c>
      <c r="E627" s="8">
        <v>45937</v>
      </c>
      <c r="F627" t="s">
        <v>64</v>
      </c>
      <c r="G627" s="8">
        <v>46006</v>
      </c>
      <c r="H627" t="s">
        <v>570</v>
      </c>
      <c r="I627" t="e">
        <f>VLOOKUP(Tabela2[[#This Row],[Coluna7]],[1]!Tabela1[#All],2,0)</f>
        <v>#REF!</v>
      </c>
      <c r="J627" s="9" t="s">
        <v>684</v>
      </c>
      <c r="L627">
        <v>128.79</v>
      </c>
      <c r="Q627" s="10" t="str">
        <f>Tabela2[[#This Row],[Coluna5]]</f>
        <v>12/2025</v>
      </c>
      <c r="R627" s="10" t="str">
        <f>IF(Tabela2[[#This Row],[Coluna9]]&gt;0,"Entrada","Saída")</f>
        <v>Saída</v>
      </c>
      <c r="S627" s="10" t="str">
        <f>Tabela2[[#This Row],[Coluna8]]</f>
        <v>CARTÃO BRADESCO</v>
      </c>
      <c r="T627" s="10" t="e">
        <f>Tabela2[[#This Row],[Coluna72]]</f>
        <v>#REF!</v>
      </c>
      <c r="U627" s="10">
        <f>SUM(Tabela2[[#This Row],[Coluna9]],Tabela2[[#This Row],[Coluna10]])</f>
        <v>128.79</v>
      </c>
      <c r="V627" s="2">
        <f>Tabela2[[#This Row],[Coluna4]]</f>
        <v>45937</v>
      </c>
      <c r="W627" s="2">
        <f>Tabela2[[#This Row],[Coluna6]]</f>
        <v>46006</v>
      </c>
    </row>
    <row r="628" spans="2:23" x14ac:dyDescent="0.2">
      <c r="B628" s="3" t="s">
        <v>27</v>
      </c>
      <c r="C628" t="s">
        <v>95</v>
      </c>
      <c r="D628" t="s">
        <v>13</v>
      </c>
      <c r="E628" s="8">
        <v>45937</v>
      </c>
      <c r="F628" t="s">
        <v>64</v>
      </c>
      <c r="G628" s="8">
        <v>46006</v>
      </c>
      <c r="H628" t="s">
        <v>538</v>
      </c>
      <c r="I628" t="e">
        <f>VLOOKUP(Tabela2[[#This Row],[Coluna7]],[1]!Tabela1[#All],2,0)</f>
        <v>#REF!</v>
      </c>
      <c r="J628" s="9" t="s">
        <v>684</v>
      </c>
      <c r="L628">
        <v>54.55</v>
      </c>
      <c r="Q628" s="10" t="str">
        <f>Tabela2[[#This Row],[Coluna5]]</f>
        <v>12/2025</v>
      </c>
      <c r="R628" s="10" t="str">
        <f>IF(Tabela2[[#This Row],[Coluna9]]&gt;0,"Entrada","Saída")</f>
        <v>Saída</v>
      </c>
      <c r="S628" s="10" t="str">
        <f>Tabela2[[#This Row],[Coluna8]]</f>
        <v>CARTÃO BRADESCO</v>
      </c>
      <c r="T628" s="10" t="e">
        <f>Tabela2[[#This Row],[Coluna72]]</f>
        <v>#REF!</v>
      </c>
      <c r="U628" s="10">
        <f>SUM(Tabela2[[#This Row],[Coluna9]],Tabela2[[#This Row],[Coluna10]])</f>
        <v>54.55</v>
      </c>
      <c r="V628" s="2">
        <f>Tabela2[[#This Row],[Coluna4]]</f>
        <v>45937</v>
      </c>
      <c r="W628" s="2">
        <f>Tabela2[[#This Row],[Coluna6]]</f>
        <v>46006</v>
      </c>
    </row>
    <row r="629" spans="2:23" x14ac:dyDescent="0.2">
      <c r="B629" s="3" t="s">
        <v>27</v>
      </c>
      <c r="C629" t="s">
        <v>95</v>
      </c>
      <c r="D629" t="s">
        <v>13</v>
      </c>
      <c r="E629" s="8">
        <v>45946</v>
      </c>
      <c r="F629" t="s">
        <v>64</v>
      </c>
      <c r="G629" s="8">
        <v>46006</v>
      </c>
      <c r="H629" t="s">
        <v>570</v>
      </c>
      <c r="I629" t="e">
        <f>VLOOKUP(Tabela2[[#This Row],[Coluna7]],[1]!Tabela1[#All],2,0)</f>
        <v>#REF!</v>
      </c>
      <c r="J629" s="9" t="s">
        <v>684</v>
      </c>
      <c r="L629">
        <v>36.97</v>
      </c>
      <c r="Q629" s="10" t="str">
        <f>Tabela2[[#This Row],[Coluna5]]</f>
        <v>12/2025</v>
      </c>
      <c r="R629" s="10" t="str">
        <f>IF(Tabela2[[#This Row],[Coluna9]]&gt;0,"Entrada","Saída")</f>
        <v>Saída</v>
      </c>
      <c r="S629" s="10" t="str">
        <f>Tabela2[[#This Row],[Coluna8]]</f>
        <v>CARTÃO BRADESCO</v>
      </c>
      <c r="T629" s="10" t="e">
        <f>Tabela2[[#This Row],[Coluna72]]</f>
        <v>#REF!</v>
      </c>
      <c r="U629" s="10">
        <f>SUM(Tabela2[[#This Row],[Coluna9]],Tabela2[[#This Row],[Coluna10]])</f>
        <v>36.97</v>
      </c>
      <c r="V629" s="2">
        <f>Tabela2[[#This Row],[Coluna4]]</f>
        <v>45946</v>
      </c>
      <c r="W629" s="2">
        <f>Tabela2[[#This Row],[Coluna6]]</f>
        <v>46006</v>
      </c>
    </row>
    <row r="630" spans="2:23" x14ac:dyDescent="0.2">
      <c r="B630" s="3" t="s">
        <v>27</v>
      </c>
      <c r="C630" t="s">
        <v>95</v>
      </c>
      <c r="D630" t="s">
        <v>13</v>
      </c>
      <c r="E630" s="8">
        <v>45947</v>
      </c>
      <c r="F630" t="s">
        <v>64</v>
      </c>
      <c r="G630" s="8">
        <v>46006</v>
      </c>
      <c r="H630" t="s">
        <v>570</v>
      </c>
      <c r="I630" t="e">
        <f>VLOOKUP(Tabela2[[#This Row],[Coluna7]],[1]!Tabela1[#All],2,0)</f>
        <v>#REF!</v>
      </c>
      <c r="J630" s="9" t="s">
        <v>684</v>
      </c>
      <c r="L630">
        <v>306.79000000000002</v>
      </c>
      <c r="Q630" s="10" t="str">
        <f>Tabela2[[#This Row],[Coluna5]]</f>
        <v>12/2025</v>
      </c>
      <c r="R630" s="10" t="str">
        <f>IF(Tabela2[[#This Row],[Coluna9]]&gt;0,"Entrada","Saída")</f>
        <v>Saída</v>
      </c>
      <c r="S630" s="10" t="str">
        <f>Tabela2[[#This Row],[Coluna8]]</f>
        <v>CARTÃO BRADESCO</v>
      </c>
      <c r="T630" s="10" t="e">
        <f>Tabela2[[#This Row],[Coluna72]]</f>
        <v>#REF!</v>
      </c>
      <c r="U630" s="10">
        <f>SUM(Tabela2[[#This Row],[Coluna9]],Tabela2[[#This Row],[Coluna10]])</f>
        <v>306.79000000000002</v>
      </c>
      <c r="V630" s="2">
        <f>Tabela2[[#This Row],[Coluna4]]</f>
        <v>45947</v>
      </c>
      <c r="W630" s="2">
        <f>Tabela2[[#This Row],[Coluna6]]</f>
        <v>46006</v>
      </c>
    </row>
    <row r="631" spans="2:23" x14ac:dyDescent="0.2">
      <c r="B631" s="3" t="s">
        <v>27</v>
      </c>
      <c r="C631" t="s">
        <v>95</v>
      </c>
      <c r="D631" t="s">
        <v>13</v>
      </c>
      <c r="E631" s="8">
        <v>45953</v>
      </c>
      <c r="F631" t="s">
        <v>64</v>
      </c>
      <c r="G631" s="8">
        <v>46006</v>
      </c>
      <c r="H631" t="s">
        <v>570</v>
      </c>
      <c r="I631" t="e">
        <f>VLOOKUP(Tabela2[[#This Row],[Coluna7]],[1]!Tabela1[#All],2,0)</f>
        <v>#REF!</v>
      </c>
      <c r="J631" s="9" t="s">
        <v>684</v>
      </c>
      <c r="L631">
        <v>76.709999999999994</v>
      </c>
      <c r="Q631" s="10" t="str">
        <f>Tabela2[[#This Row],[Coluna5]]</f>
        <v>12/2025</v>
      </c>
      <c r="R631" s="10" t="str">
        <f>IF(Tabela2[[#This Row],[Coluna9]]&gt;0,"Entrada","Saída")</f>
        <v>Saída</v>
      </c>
      <c r="S631" s="10" t="str">
        <f>Tabela2[[#This Row],[Coluna8]]</f>
        <v>CARTÃO BRADESCO</v>
      </c>
      <c r="T631" s="10" t="e">
        <f>Tabela2[[#This Row],[Coluna72]]</f>
        <v>#REF!</v>
      </c>
      <c r="U631" s="10">
        <f>SUM(Tabela2[[#This Row],[Coluna9]],Tabela2[[#This Row],[Coluna10]])</f>
        <v>76.709999999999994</v>
      </c>
      <c r="V631" s="2">
        <f>Tabela2[[#This Row],[Coluna4]]</f>
        <v>45953</v>
      </c>
      <c r="W631" s="2">
        <f>Tabela2[[#This Row],[Coluna6]]</f>
        <v>46006</v>
      </c>
    </row>
    <row r="632" spans="2:23" x14ac:dyDescent="0.2">
      <c r="B632" s="3" t="s">
        <v>27</v>
      </c>
      <c r="C632" t="s">
        <v>95</v>
      </c>
      <c r="D632" t="s">
        <v>13</v>
      </c>
      <c r="E632" s="8">
        <v>45956</v>
      </c>
      <c r="F632" t="s">
        <v>64</v>
      </c>
      <c r="G632" s="8">
        <v>46006</v>
      </c>
      <c r="H632" t="s">
        <v>570</v>
      </c>
      <c r="I632" t="e">
        <f>VLOOKUP(Tabela2[[#This Row],[Coluna7]],[1]!Tabela1[#All],2,0)</f>
        <v>#REF!</v>
      </c>
      <c r="J632" s="9" t="s">
        <v>684</v>
      </c>
      <c r="L632">
        <v>50</v>
      </c>
      <c r="Q632" s="10" t="str">
        <f>Tabela2[[#This Row],[Coluna5]]</f>
        <v>12/2025</v>
      </c>
      <c r="R632" s="10" t="str">
        <f>IF(Tabela2[[#This Row],[Coluna9]]&gt;0,"Entrada","Saída")</f>
        <v>Saída</v>
      </c>
      <c r="S632" s="10" t="str">
        <f>Tabela2[[#This Row],[Coluna8]]</f>
        <v>CARTÃO BRADESCO</v>
      </c>
      <c r="T632" s="10" t="e">
        <f>Tabela2[[#This Row],[Coluna72]]</f>
        <v>#REF!</v>
      </c>
      <c r="U632" s="10">
        <f>SUM(Tabela2[[#This Row],[Coluna9]],Tabela2[[#This Row],[Coluna10]])</f>
        <v>50</v>
      </c>
      <c r="V632" s="2">
        <f>Tabela2[[#This Row],[Coluna4]]</f>
        <v>45956</v>
      </c>
      <c r="W632" s="2">
        <f>Tabela2[[#This Row],[Coluna6]]</f>
        <v>46006</v>
      </c>
    </row>
    <row r="633" spans="2:23" x14ac:dyDescent="0.2">
      <c r="B633" s="3" t="s">
        <v>27</v>
      </c>
      <c r="C633" t="s">
        <v>95</v>
      </c>
      <c r="D633" t="s">
        <v>13</v>
      </c>
      <c r="E633" s="8">
        <v>45956</v>
      </c>
      <c r="F633" t="s">
        <v>64</v>
      </c>
      <c r="G633" s="8">
        <v>46006</v>
      </c>
      <c r="H633" t="s">
        <v>570</v>
      </c>
      <c r="I633" t="e">
        <f>VLOOKUP(Tabela2[[#This Row],[Coluna7]],[1]!Tabela1[#All],2,0)</f>
        <v>#REF!</v>
      </c>
      <c r="J633" s="9" t="s">
        <v>684</v>
      </c>
      <c r="L633">
        <v>61.64</v>
      </c>
      <c r="Q633" s="10" t="str">
        <f>Tabela2[[#This Row],[Coluna5]]</f>
        <v>12/2025</v>
      </c>
      <c r="R633" s="10" t="str">
        <f>IF(Tabela2[[#This Row],[Coluna9]]&gt;0,"Entrada","Saída")</f>
        <v>Saída</v>
      </c>
      <c r="S633" s="10" t="str">
        <f>Tabela2[[#This Row],[Coluna8]]</f>
        <v>CARTÃO BRADESCO</v>
      </c>
      <c r="T633" s="10" t="e">
        <f>Tabela2[[#This Row],[Coluna72]]</f>
        <v>#REF!</v>
      </c>
      <c r="U633" s="10">
        <f>SUM(Tabela2[[#This Row],[Coluna9]],Tabela2[[#This Row],[Coluna10]])</f>
        <v>61.64</v>
      </c>
      <c r="V633" s="2">
        <f>Tabela2[[#This Row],[Coluna4]]</f>
        <v>45956</v>
      </c>
      <c r="W633" s="2">
        <f>Tabela2[[#This Row],[Coluna6]]</f>
        <v>46006</v>
      </c>
    </row>
    <row r="634" spans="2:23" x14ac:dyDescent="0.2">
      <c r="B634" s="3" t="s">
        <v>27</v>
      </c>
      <c r="C634" t="s">
        <v>95</v>
      </c>
      <c r="D634" t="s">
        <v>13</v>
      </c>
      <c r="E634" s="8">
        <v>45957</v>
      </c>
      <c r="F634" t="s">
        <v>64</v>
      </c>
      <c r="G634" s="8">
        <v>46006</v>
      </c>
      <c r="H634" t="s">
        <v>538</v>
      </c>
      <c r="I634" t="e">
        <f>VLOOKUP(Tabela2[[#This Row],[Coluna7]],[1]!Tabela1[#All],2,0)</f>
        <v>#REF!</v>
      </c>
      <c r="J634" s="9" t="s">
        <v>684</v>
      </c>
      <c r="L634">
        <v>83.17</v>
      </c>
      <c r="Q634" s="10" t="str">
        <f>Tabela2[[#This Row],[Coluna5]]</f>
        <v>12/2025</v>
      </c>
      <c r="R634" s="10" t="str">
        <f>IF(Tabela2[[#This Row],[Coluna9]]&gt;0,"Entrada","Saída")</f>
        <v>Saída</v>
      </c>
      <c r="S634" s="10" t="str">
        <f>Tabela2[[#This Row],[Coluna8]]</f>
        <v>CARTÃO BRADESCO</v>
      </c>
      <c r="T634" s="10" t="e">
        <f>Tabela2[[#This Row],[Coluna72]]</f>
        <v>#REF!</v>
      </c>
      <c r="U634" s="10">
        <f>SUM(Tabela2[[#This Row],[Coluna9]],Tabela2[[#This Row],[Coluna10]])</f>
        <v>83.17</v>
      </c>
      <c r="V634" s="2">
        <f>Tabela2[[#This Row],[Coluna4]]</f>
        <v>45957</v>
      </c>
      <c r="W634" s="2">
        <f>Tabela2[[#This Row],[Coluna6]]</f>
        <v>46006</v>
      </c>
    </row>
    <row r="635" spans="2:23" x14ac:dyDescent="0.2">
      <c r="B635" s="3" t="s">
        <v>27</v>
      </c>
      <c r="C635" t="s">
        <v>95</v>
      </c>
      <c r="D635" t="s">
        <v>13</v>
      </c>
      <c r="E635" s="8">
        <v>45965</v>
      </c>
      <c r="F635" t="s">
        <v>64</v>
      </c>
      <c r="G635" s="8">
        <v>46006</v>
      </c>
      <c r="H635" t="s">
        <v>693</v>
      </c>
      <c r="I635" t="e">
        <f>VLOOKUP(Tabela2[[#This Row],[Coluna7]],[1]!Tabela1[#All],2,0)</f>
        <v>#REF!</v>
      </c>
      <c r="J635" s="9" t="s">
        <v>684</v>
      </c>
      <c r="L635">
        <v>46</v>
      </c>
      <c r="Q635" s="10" t="str">
        <f>Tabela2[[#This Row],[Coluna5]]</f>
        <v>12/2025</v>
      </c>
      <c r="R635" s="10" t="str">
        <f>IF(Tabela2[[#This Row],[Coluna9]]&gt;0,"Entrada","Saída")</f>
        <v>Saída</v>
      </c>
      <c r="S635" s="10" t="str">
        <f>Tabela2[[#This Row],[Coluna8]]</f>
        <v>CARTÃO BRADESCO</v>
      </c>
      <c r="T635" s="10" t="e">
        <f>Tabela2[[#This Row],[Coluna72]]</f>
        <v>#REF!</v>
      </c>
      <c r="U635" s="10">
        <f>SUM(Tabela2[[#This Row],[Coluna9]],Tabela2[[#This Row],[Coluna10]])</f>
        <v>46</v>
      </c>
      <c r="V635" s="2">
        <f>Tabela2[[#This Row],[Coluna4]]</f>
        <v>45965</v>
      </c>
      <c r="W635" s="2">
        <f>Tabela2[[#This Row],[Coluna6]]</f>
        <v>46006</v>
      </c>
    </row>
    <row r="636" spans="2:23" x14ac:dyDescent="0.2">
      <c r="B636" s="3" t="s">
        <v>27</v>
      </c>
      <c r="C636" t="s">
        <v>95</v>
      </c>
      <c r="D636" t="s">
        <v>13</v>
      </c>
      <c r="E636" s="8">
        <v>45965</v>
      </c>
      <c r="F636" t="s">
        <v>64</v>
      </c>
      <c r="G636" s="8">
        <v>46006</v>
      </c>
      <c r="H636" t="s">
        <v>538</v>
      </c>
      <c r="I636" t="e">
        <f>VLOOKUP(Tabela2[[#This Row],[Coluna7]],[1]!Tabela1[#All],2,0)</f>
        <v>#REF!</v>
      </c>
      <c r="J636" s="9" t="s">
        <v>684</v>
      </c>
      <c r="L636">
        <v>132.69999999999999</v>
      </c>
      <c r="Q636" s="10" t="str">
        <f>Tabela2[[#This Row],[Coluna5]]</f>
        <v>12/2025</v>
      </c>
      <c r="R636" s="10" t="str">
        <f>IF(Tabela2[[#This Row],[Coluna9]]&gt;0,"Entrada","Saída")</f>
        <v>Saída</v>
      </c>
      <c r="S636" s="10" t="str">
        <f>Tabela2[[#This Row],[Coluna8]]</f>
        <v>CARTÃO BRADESCO</v>
      </c>
      <c r="T636" s="10" t="e">
        <f>Tabela2[[#This Row],[Coluna72]]</f>
        <v>#REF!</v>
      </c>
      <c r="U636" s="10">
        <f>SUM(Tabela2[[#This Row],[Coluna9]],Tabela2[[#This Row],[Coluna10]])</f>
        <v>132.69999999999999</v>
      </c>
      <c r="V636" s="2">
        <f>Tabela2[[#This Row],[Coluna4]]</f>
        <v>45965</v>
      </c>
      <c r="W636" s="2">
        <f>Tabela2[[#This Row],[Coluna6]]</f>
        <v>46006</v>
      </c>
    </row>
    <row r="637" spans="2:23" x14ac:dyDescent="0.2">
      <c r="B637" s="3" t="s">
        <v>27</v>
      </c>
      <c r="C637" t="s">
        <v>95</v>
      </c>
      <c r="D637" t="s">
        <v>13</v>
      </c>
      <c r="E637" s="8">
        <v>45968</v>
      </c>
      <c r="F637" t="s">
        <v>64</v>
      </c>
      <c r="G637" s="8">
        <v>46006</v>
      </c>
      <c r="H637" t="s">
        <v>570</v>
      </c>
      <c r="I637" t="e">
        <f>VLOOKUP(Tabela2[[#This Row],[Coluna7]],[1]!Tabela1[#All],2,0)</f>
        <v>#REF!</v>
      </c>
      <c r="J637" s="9" t="s">
        <v>684</v>
      </c>
      <c r="L637">
        <v>319.79000000000002</v>
      </c>
      <c r="Q637" s="10" t="str">
        <f>Tabela2[[#This Row],[Coluna5]]</f>
        <v>12/2025</v>
      </c>
      <c r="R637" s="10" t="str">
        <f>IF(Tabela2[[#This Row],[Coluna9]]&gt;0,"Entrada","Saída")</f>
        <v>Saída</v>
      </c>
      <c r="S637" s="10" t="str">
        <f>Tabela2[[#This Row],[Coluna8]]</f>
        <v>CARTÃO BRADESCO</v>
      </c>
      <c r="T637" s="10" t="e">
        <f>Tabela2[[#This Row],[Coluna72]]</f>
        <v>#REF!</v>
      </c>
      <c r="U637" s="10">
        <f>SUM(Tabela2[[#This Row],[Coluna9]],Tabela2[[#This Row],[Coluna10]])</f>
        <v>319.79000000000002</v>
      </c>
      <c r="V637" s="2">
        <f>Tabela2[[#This Row],[Coluna4]]</f>
        <v>45968</v>
      </c>
      <c r="W637" s="2">
        <f>Tabela2[[#This Row],[Coluna6]]</f>
        <v>46006</v>
      </c>
    </row>
    <row r="638" spans="2:23" x14ac:dyDescent="0.2">
      <c r="B638" s="3" t="s">
        <v>27</v>
      </c>
      <c r="C638" t="s">
        <v>95</v>
      </c>
      <c r="D638" t="s">
        <v>13</v>
      </c>
      <c r="E638" s="8">
        <v>45971</v>
      </c>
      <c r="F638" t="s">
        <v>64</v>
      </c>
      <c r="G638" s="8">
        <v>46006</v>
      </c>
      <c r="H638" t="s">
        <v>570</v>
      </c>
      <c r="I638" t="e">
        <f>VLOOKUP(Tabela2[[#This Row],[Coluna7]],[1]!Tabela1[#All],2,0)</f>
        <v>#REF!</v>
      </c>
      <c r="J638" s="9" t="s">
        <v>684</v>
      </c>
      <c r="L638">
        <v>170.08</v>
      </c>
      <c r="Q638" s="10" t="str">
        <f>Tabela2[[#This Row],[Coluna5]]</f>
        <v>12/2025</v>
      </c>
      <c r="R638" s="10" t="str">
        <f>IF(Tabela2[[#This Row],[Coluna9]]&gt;0,"Entrada","Saída")</f>
        <v>Saída</v>
      </c>
      <c r="S638" s="10" t="str">
        <f>Tabela2[[#This Row],[Coluna8]]</f>
        <v>CARTÃO BRADESCO</v>
      </c>
      <c r="T638" s="10" t="e">
        <f>Tabela2[[#This Row],[Coluna72]]</f>
        <v>#REF!</v>
      </c>
      <c r="U638" s="10">
        <f>SUM(Tabela2[[#This Row],[Coluna9]],Tabela2[[#This Row],[Coluna10]])</f>
        <v>170.08</v>
      </c>
      <c r="V638" s="2">
        <f>Tabela2[[#This Row],[Coluna4]]</f>
        <v>45971</v>
      </c>
      <c r="W638" s="2">
        <f>Tabela2[[#This Row],[Coluna6]]</f>
        <v>46006</v>
      </c>
    </row>
    <row r="639" spans="2:23" x14ac:dyDescent="0.2">
      <c r="B639" s="3" t="s">
        <v>27</v>
      </c>
      <c r="C639" t="s">
        <v>95</v>
      </c>
      <c r="D639" t="s">
        <v>13</v>
      </c>
      <c r="E639" s="8">
        <v>45973</v>
      </c>
      <c r="F639" t="s">
        <v>64</v>
      </c>
      <c r="G639" s="8">
        <v>46006</v>
      </c>
      <c r="H639" t="s">
        <v>538</v>
      </c>
      <c r="I639" t="e">
        <f>VLOOKUP(Tabela2[[#This Row],[Coluna7]],[1]!Tabela1[#All],2,0)</f>
        <v>#REF!</v>
      </c>
      <c r="J639" s="9" t="s">
        <v>684</v>
      </c>
      <c r="L639">
        <v>69.900000000000006</v>
      </c>
      <c r="Q639" s="10" t="str">
        <f>Tabela2[[#This Row],[Coluna5]]</f>
        <v>12/2025</v>
      </c>
      <c r="R639" s="10" t="str">
        <f>IF(Tabela2[[#This Row],[Coluna9]]&gt;0,"Entrada","Saída")</f>
        <v>Saída</v>
      </c>
      <c r="S639" s="10" t="str">
        <f>Tabela2[[#This Row],[Coluna8]]</f>
        <v>CARTÃO BRADESCO</v>
      </c>
      <c r="T639" s="10" t="e">
        <f>Tabela2[[#This Row],[Coluna72]]</f>
        <v>#REF!</v>
      </c>
      <c r="U639" s="10">
        <f>SUM(Tabela2[[#This Row],[Coluna9]],Tabela2[[#This Row],[Coluna10]])</f>
        <v>69.900000000000006</v>
      </c>
      <c r="V639" s="2">
        <f>Tabela2[[#This Row],[Coluna4]]</f>
        <v>45973</v>
      </c>
      <c r="W639" s="2">
        <f>Tabela2[[#This Row],[Coluna6]]</f>
        <v>46006</v>
      </c>
    </row>
    <row r="640" spans="2:23" x14ac:dyDescent="0.2">
      <c r="B640" s="3" t="s">
        <v>27</v>
      </c>
      <c r="C640" t="s">
        <v>95</v>
      </c>
      <c r="D640" t="s">
        <v>13</v>
      </c>
      <c r="E640" s="8">
        <v>45973</v>
      </c>
      <c r="F640" t="s">
        <v>64</v>
      </c>
      <c r="G640" s="8">
        <v>46006</v>
      </c>
      <c r="H640" t="s">
        <v>156</v>
      </c>
      <c r="I640" t="e">
        <f>VLOOKUP(Tabela2[[#This Row],[Coluna7]],[1]!Tabela1[#All],2,0)</f>
        <v>#REF!</v>
      </c>
      <c r="J640" s="9" t="s">
        <v>684</v>
      </c>
      <c r="L640">
        <v>136.94999999999999</v>
      </c>
      <c r="Q640" s="10" t="str">
        <f>Tabela2[[#This Row],[Coluna5]]</f>
        <v>12/2025</v>
      </c>
      <c r="R640" s="10" t="str">
        <f>IF(Tabela2[[#This Row],[Coluna9]]&gt;0,"Entrada","Saída")</f>
        <v>Saída</v>
      </c>
      <c r="S640" s="10" t="str">
        <f>Tabela2[[#This Row],[Coluna8]]</f>
        <v>CARTÃO BRADESCO</v>
      </c>
      <c r="T640" s="10" t="e">
        <f>Tabela2[[#This Row],[Coluna72]]</f>
        <v>#REF!</v>
      </c>
      <c r="U640" s="10">
        <f>SUM(Tabela2[[#This Row],[Coluna9]],Tabela2[[#This Row],[Coluna10]])</f>
        <v>136.94999999999999</v>
      </c>
      <c r="V640" s="2">
        <f>Tabela2[[#This Row],[Coluna4]]</f>
        <v>45973</v>
      </c>
      <c r="W640" s="2">
        <f>Tabela2[[#This Row],[Coluna6]]</f>
        <v>46006</v>
      </c>
    </row>
    <row r="641" spans="2:23" x14ac:dyDescent="0.2">
      <c r="B641" s="3" t="s">
        <v>27</v>
      </c>
      <c r="C641" t="s">
        <v>95</v>
      </c>
      <c r="D641" t="s">
        <v>13</v>
      </c>
      <c r="E641" s="8">
        <v>45992</v>
      </c>
      <c r="F641" t="s">
        <v>64</v>
      </c>
      <c r="G641" s="8">
        <v>46006</v>
      </c>
      <c r="H641" t="s">
        <v>156</v>
      </c>
      <c r="I641" t="e">
        <f>VLOOKUP(Tabela2[[#This Row],[Coluna7]],[1]!Tabela1[#All],2,0)</f>
        <v>#REF!</v>
      </c>
      <c r="J641" s="9" t="s">
        <v>684</v>
      </c>
      <c r="L641">
        <v>38.020000000000003</v>
      </c>
      <c r="Q641" s="10" t="str">
        <f>Tabela2[[#This Row],[Coluna5]]</f>
        <v>12/2025</v>
      </c>
      <c r="R641" s="10" t="str">
        <f>IF(Tabela2[[#This Row],[Coluna9]]&gt;0,"Entrada","Saída")</f>
        <v>Saída</v>
      </c>
      <c r="S641" s="10" t="str">
        <f>Tabela2[[#This Row],[Coluna8]]</f>
        <v>CARTÃO BRADESCO</v>
      </c>
      <c r="T641" s="10" t="e">
        <f>Tabela2[[#This Row],[Coluna72]]</f>
        <v>#REF!</v>
      </c>
      <c r="U641" s="10">
        <f>SUM(Tabela2[[#This Row],[Coluna9]],Tabela2[[#This Row],[Coluna10]])</f>
        <v>38.020000000000003</v>
      </c>
      <c r="V641" s="2">
        <f>Tabela2[[#This Row],[Coluna4]]</f>
        <v>45992</v>
      </c>
      <c r="W641" s="2">
        <f>Tabela2[[#This Row],[Coluna6]]</f>
        <v>46006</v>
      </c>
    </row>
    <row r="642" spans="2:23" x14ac:dyDescent="0.2">
      <c r="B642" s="3" t="s">
        <v>27</v>
      </c>
      <c r="C642" t="s">
        <v>95</v>
      </c>
      <c r="D642" t="s">
        <v>13</v>
      </c>
      <c r="E642" s="8">
        <v>46080</v>
      </c>
      <c r="F642" t="s">
        <v>64</v>
      </c>
      <c r="G642" s="8">
        <v>46006</v>
      </c>
      <c r="H642" t="s">
        <v>693</v>
      </c>
      <c r="I642" t="e">
        <f>VLOOKUP(Tabela2[[#This Row],[Coluna7]],[1]!Tabela1[#All],2,0)</f>
        <v>#REF!</v>
      </c>
      <c r="J642" s="9" t="s">
        <v>684</v>
      </c>
      <c r="L642">
        <v>46</v>
      </c>
      <c r="Q642" s="10" t="str">
        <f>Tabela2[[#This Row],[Coluna5]]</f>
        <v>12/2025</v>
      </c>
      <c r="R642" s="10" t="str">
        <f>IF(Tabela2[[#This Row],[Coluna9]]&gt;0,"Entrada","Saída")</f>
        <v>Saída</v>
      </c>
      <c r="S642" s="10" t="str">
        <f>Tabela2[[#This Row],[Coluna8]]</f>
        <v>CARTÃO BRADESCO</v>
      </c>
      <c r="T642" s="10" t="e">
        <f>Tabela2[[#This Row],[Coluna72]]</f>
        <v>#REF!</v>
      </c>
      <c r="U642" s="10">
        <f>SUM(Tabela2[[#This Row],[Coluna9]],Tabela2[[#This Row],[Coluna10]])</f>
        <v>46</v>
      </c>
      <c r="V642" s="2">
        <f>Tabela2[[#This Row],[Coluna4]]</f>
        <v>46080</v>
      </c>
      <c r="W642" s="2">
        <f>Tabela2[[#This Row],[Coluna6]]</f>
        <v>46006</v>
      </c>
    </row>
    <row r="643" spans="2:23" hidden="1" x14ac:dyDescent="0.2">
      <c r="B643" t="s">
        <v>12</v>
      </c>
      <c r="D643" t="s">
        <v>13</v>
      </c>
      <c r="E643" s="8">
        <v>46014</v>
      </c>
      <c r="F643" t="s">
        <v>15</v>
      </c>
      <c r="G643" s="8" t="s">
        <v>14</v>
      </c>
      <c r="H643" t="s">
        <v>16</v>
      </c>
      <c r="I643" t="e">
        <f>VLOOKUP(Tabela2[[#This Row],[Coluna7]],[1]!Tabela1[#All],2,0)</f>
        <v>#REF!</v>
      </c>
      <c r="J643" t="s">
        <v>17</v>
      </c>
      <c r="L643">
        <v>18000</v>
      </c>
      <c r="Q643" s="10" t="str">
        <f>Tabela2[[#This Row],[Coluna5]]</f>
        <v>10/2025</v>
      </c>
      <c r="R643" s="10" t="str">
        <f>IF(Tabela2[[#This Row],[Coluna9]]&gt;0,"Entrada","Saída")</f>
        <v>Saída</v>
      </c>
      <c r="S643" s="10" t="str">
        <f>Tabela2[[#This Row],[Coluna8]]</f>
        <v>TRANSFERÊNCIA PARA EFÍ - THIAGO URQUIZA ADVOGADOS</v>
      </c>
      <c r="T643" s="10" t="e">
        <f>Tabela2[[#This Row],[Coluna72]]</f>
        <v>#REF!</v>
      </c>
      <c r="U643" s="10">
        <f>SUM(Tabela2[[#This Row],[Coluna9]],Tabela2[[#This Row],[Coluna10]])</f>
        <v>18000</v>
      </c>
      <c r="V643" s="2">
        <f>Tabela2[[#This Row],[Coluna4]]</f>
        <v>46014</v>
      </c>
      <c r="W643" s="2" t="str">
        <f>Tabela2[[#This Row],[Coluna6]]</f>
        <v>01/10/2025</v>
      </c>
    </row>
    <row r="644" spans="2:23" hidden="1" x14ac:dyDescent="0.2">
      <c r="B644" t="s">
        <v>18</v>
      </c>
      <c r="D644" t="s">
        <v>19</v>
      </c>
      <c r="E644" s="8">
        <v>46014</v>
      </c>
      <c r="F644" t="s">
        <v>15</v>
      </c>
      <c r="G644" s="8" t="s">
        <v>14</v>
      </c>
      <c r="H644" t="s">
        <v>16</v>
      </c>
      <c r="I644" t="e">
        <f>VLOOKUP(Tabela2[[#This Row],[Coluna7]],[1]!Tabela1[#All],2,0)</f>
        <v>#REF!</v>
      </c>
      <c r="J644" t="s">
        <v>20</v>
      </c>
      <c r="K644">
        <v>18000</v>
      </c>
      <c r="Q644" s="10" t="str">
        <f>Tabela2[[#This Row],[Coluna5]]</f>
        <v>10/2025</v>
      </c>
      <c r="R644" s="10" t="str">
        <f>IF(Tabela2[[#This Row],[Coluna9]]&gt;0,"Entrada","Saída")</f>
        <v>Entrada</v>
      </c>
      <c r="S644" s="10" t="str">
        <f>Tabela2[[#This Row],[Coluna8]]</f>
        <v>TRANSFERÊNCIA DE CAIXA</v>
      </c>
      <c r="T644" s="10" t="e">
        <f>Tabela2[[#This Row],[Coluna72]]</f>
        <v>#REF!</v>
      </c>
      <c r="U644" s="10">
        <f>SUM(Tabela2[[#This Row],[Coluna9]],Tabela2[[#This Row],[Coluna10]])</f>
        <v>18000</v>
      </c>
      <c r="V644" s="2">
        <f>Tabela2[[#This Row],[Coluna4]]</f>
        <v>46014</v>
      </c>
      <c r="W644" s="2" t="str">
        <f>Tabela2[[#This Row],[Coluna6]]</f>
        <v>01/10/2025</v>
      </c>
    </row>
    <row r="645" spans="2:23" hidden="1" x14ac:dyDescent="0.2">
      <c r="B645" t="s">
        <v>18</v>
      </c>
      <c r="D645" t="s">
        <v>13</v>
      </c>
      <c r="E645" s="8">
        <v>46014</v>
      </c>
      <c r="F645" t="s">
        <v>15</v>
      </c>
      <c r="G645" s="8" t="s">
        <v>21</v>
      </c>
      <c r="H645" t="s">
        <v>22</v>
      </c>
      <c r="I645" t="e">
        <f>VLOOKUP(Tabela2[[#This Row],[Coluna7]],[1]!Tabela1[#All],2,0)</f>
        <v>#REF!</v>
      </c>
      <c r="J645" t="s">
        <v>23</v>
      </c>
      <c r="L645">
        <v>340.88</v>
      </c>
      <c r="Q645" s="10" t="str">
        <f>Tabela2[[#This Row],[Coluna5]]</f>
        <v>10/2025</v>
      </c>
      <c r="R645" s="10" t="str">
        <f>IF(Tabela2[[#This Row],[Coluna9]]&gt;0,"Entrada","Saída")</f>
        <v>Saída</v>
      </c>
      <c r="S645" s="10" t="str">
        <f>Tabela2[[#This Row],[Coluna8]]</f>
        <v>PAGAMENTO DE FATURA - INTER</v>
      </c>
      <c r="T645" s="10" t="e">
        <f>Tabela2[[#This Row],[Coluna72]]</f>
        <v>#REF!</v>
      </c>
      <c r="U645" s="10">
        <f>SUM(Tabela2[[#This Row],[Coluna9]],Tabela2[[#This Row],[Coluna10]])</f>
        <v>340.88</v>
      </c>
      <c r="V645" s="2">
        <f>Tabela2[[#This Row],[Coluna4]]</f>
        <v>46014</v>
      </c>
      <c r="W645" s="2" t="str">
        <f>Tabela2[[#This Row],[Coluna6]]</f>
        <v>06/10/2025</v>
      </c>
    </row>
    <row r="646" spans="2:23" hidden="1" x14ac:dyDescent="0.2">
      <c r="B646" t="s">
        <v>18</v>
      </c>
      <c r="D646" t="s">
        <v>13</v>
      </c>
      <c r="E646" s="8">
        <v>46014</v>
      </c>
      <c r="F646" t="s">
        <v>15</v>
      </c>
      <c r="G646" s="8" t="s">
        <v>24</v>
      </c>
      <c r="H646" t="s">
        <v>22</v>
      </c>
      <c r="I646" t="e">
        <f>VLOOKUP(Tabela2[[#This Row],[Coluna7]],[1]!Tabela1[#All],2,0)</f>
        <v>#REF!</v>
      </c>
      <c r="J646" t="s">
        <v>25</v>
      </c>
      <c r="L646">
        <v>1510</v>
      </c>
      <c r="Q646" s="10" t="str">
        <f>Tabela2[[#This Row],[Coluna5]]</f>
        <v>10/2025</v>
      </c>
      <c r="R646" s="10" t="str">
        <f>IF(Tabela2[[#This Row],[Coluna9]]&gt;0,"Entrada","Saída")</f>
        <v>Saída</v>
      </c>
      <c r="S646" s="10" t="str">
        <f>Tabela2[[#This Row],[Coluna8]]</f>
        <v>PAGAMENTO DE FATURA - NUBANK PK</v>
      </c>
      <c r="T646" s="10" t="e">
        <f>Tabela2[[#This Row],[Coluna72]]</f>
        <v>#REF!</v>
      </c>
      <c r="U646" s="10">
        <f>SUM(Tabela2[[#This Row],[Coluna9]],Tabela2[[#This Row],[Coluna10]])</f>
        <v>1510</v>
      </c>
      <c r="V646" s="2">
        <f>Tabela2[[#This Row],[Coluna4]]</f>
        <v>46014</v>
      </c>
      <c r="W646" s="2" t="str">
        <f>Tabela2[[#This Row],[Coluna6]]</f>
        <v>08/10/2025</v>
      </c>
    </row>
    <row r="647" spans="2:23" hidden="1" x14ac:dyDescent="0.2">
      <c r="B647" t="s">
        <v>18</v>
      </c>
      <c r="D647" t="s">
        <v>13</v>
      </c>
      <c r="E647" s="8">
        <v>46014</v>
      </c>
      <c r="F647" t="s">
        <v>15</v>
      </c>
      <c r="G647" s="8" t="s">
        <v>24</v>
      </c>
      <c r="H647" t="s">
        <v>22</v>
      </c>
      <c r="I647" t="e">
        <f>VLOOKUP(Tabela2[[#This Row],[Coluna7]],[1]!Tabela1[#All],2,0)</f>
        <v>#REF!</v>
      </c>
      <c r="J647" t="s">
        <v>26</v>
      </c>
      <c r="L647">
        <v>3445.07</v>
      </c>
      <c r="Q647" s="10" t="str">
        <f>Tabela2[[#This Row],[Coluna5]]</f>
        <v>10/2025</v>
      </c>
      <c r="R647" s="10" t="str">
        <f>IF(Tabela2[[#This Row],[Coluna9]]&gt;0,"Entrada","Saída")</f>
        <v>Saída</v>
      </c>
      <c r="S647" s="10" t="str">
        <f>Tabela2[[#This Row],[Coluna8]]</f>
        <v>PAGAMENTO DE FATURA - SANTANDER</v>
      </c>
      <c r="T647" s="10" t="e">
        <f>Tabela2[[#This Row],[Coluna72]]</f>
        <v>#REF!</v>
      </c>
      <c r="U647" s="10">
        <f>SUM(Tabela2[[#This Row],[Coluna9]],Tabela2[[#This Row],[Coluna10]])</f>
        <v>3445.07</v>
      </c>
      <c r="V647" s="2">
        <f>Tabela2[[#This Row],[Coluna4]]</f>
        <v>46014</v>
      </c>
      <c r="W647" s="2" t="str">
        <f>Tabela2[[#This Row],[Coluna6]]</f>
        <v>08/10/2025</v>
      </c>
    </row>
    <row r="648" spans="2:23" hidden="1" x14ac:dyDescent="0.2">
      <c r="B648" t="s">
        <v>27</v>
      </c>
      <c r="D648" t="s">
        <v>13</v>
      </c>
      <c r="E648" s="8">
        <v>46014</v>
      </c>
      <c r="F648" t="s">
        <v>15</v>
      </c>
      <c r="G648" s="8" t="s">
        <v>29</v>
      </c>
      <c r="H648" t="s">
        <v>22</v>
      </c>
      <c r="I648" t="e">
        <f>VLOOKUP(Tabela2[[#This Row],[Coluna7]],[1]!Tabela1[#All],2,0)</f>
        <v>#REF!</v>
      </c>
      <c r="J648" t="s">
        <v>30</v>
      </c>
      <c r="L648">
        <v>15.86</v>
      </c>
      <c r="Q648" s="10" t="str">
        <f>Tabela2[[#This Row],[Coluna5]]</f>
        <v>10/2025</v>
      </c>
      <c r="R648" s="10" t="str">
        <f>IF(Tabela2[[#This Row],[Coluna9]]&gt;0,"Entrada","Saída")</f>
        <v>Saída</v>
      </c>
      <c r="S648" s="10" t="str">
        <f>Tabela2[[#This Row],[Coluna8]]</f>
        <v>PAGAMENTO DE FATURA - HIPERCARD</v>
      </c>
      <c r="T648" s="10" t="e">
        <f>Tabela2[[#This Row],[Coluna72]]</f>
        <v>#REF!</v>
      </c>
      <c r="U648" s="10">
        <f>SUM(Tabela2[[#This Row],[Coluna9]],Tabela2[[#This Row],[Coluna10]])</f>
        <v>15.86</v>
      </c>
      <c r="V648" s="2">
        <f>Tabela2[[#This Row],[Coluna4]]</f>
        <v>46014</v>
      </c>
      <c r="W648" s="2" t="str">
        <f>Tabela2[[#This Row],[Coluna6]]</f>
        <v>16/10/2025</v>
      </c>
    </row>
    <row r="649" spans="2:23" hidden="1" x14ac:dyDescent="0.2">
      <c r="B649" t="s">
        <v>27</v>
      </c>
      <c r="D649" t="s">
        <v>13</v>
      </c>
      <c r="E649" s="8" t="s">
        <v>31</v>
      </c>
      <c r="F649" t="s">
        <v>15</v>
      </c>
      <c r="G649" s="8" t="s">
        <v>31</v>
      </c>
      <c r="H649" t="s">
        <v>16</v>
      </c>
      <c r="I649" t="e">
        <f>VLOOKUP(Tabela2[[#This Row],[Coluna7]],[1]!Tabela1[#All],2,0)</f>
        <v>#REF!</v>
      </c>
      <c r="J649" t="s">
        <v>17</v>
      </c>
      <c r="L649">
        <v>26000</v>
      </c>
      <c r="Q649" s="10" t="str">
        <f>Tabela2[[#This Row],[Coluna5]]</f>
        <v>10/2025</v>
      </c>
      <c r="R649" s="10" t="str">
        <f>IF(Tabela2[[#This Row],[Coluna9]]&gt;0,"Entrada","Saída")</f>
        <v>Saída</v>
      </c>
      <c r="S649" s="10" t="str">
        <f>Tabela2[[#This Row],[Coluna8]]</f>
        <v>TRANSFERÊNCIA PARA EFÍ - THIAGO URQUIZA ADVOGADOS</v>
      </c>
      <c r="T649" s="10" t="e">
        <f>Tabela2[[#This Row],[Coluna72]]</f>
        <v>#REF!</v>
      </c>
      <c r="U649" s="10">
        <f>SUM(Tabela2[[#This Row],[Coluna9]],Tabela2[[#This Row],[Coluna10]])</f>
        <v>26000</v>
      </c>
      <c r="V649" s="2" t="str">
        <f>Tabela2[[#This Row],[Coluna4]]</f>
        <v>17/10/2025</v>
      </c>
      <c r="W649" s="2" t="str">
        <f>Tabela2[[#This Row],[Coluna6]]</f>
        <v>17/10/2025</v>
      </c>
    </row>
    <row r="650" spans="2:23" hidden="1" x14ac:dyDescent="0.2">
      <c r="B650" t="s">
        <v>18</v>
      </c>
      <c r="D650" t="s">
        <v>19</v>
      </c>
      <c r="E650" s="8" t="s">
        <v>31</v>
      </c>
      <c r="F650" t="s">
        <v>15</v>
      </c>
      <c r="G650" s="8" t="s">
        <v>31</v>
      </c>
      <c r="H650" t="s">
        <v>16</v>
      </c>
      <c r="I650" t="e">
        <f>VLOOKUP(Tabela2[[#This Row],[Coluna7]],[1]!Tabela1[#All],2,0)</f>
        <v>#REF!</v>
      </c>
      <c r="J650" t="s">
        <v>32</v>
      </c>
      <c r="K650">
        <v>26000</v>
      </c>
      <c r="Q650" s="10" t="str">
        <f>Tabela2[[#This Row],[Coluna5]]</f>
        <v>10/2025</v>
      </c>
      <c r="R650" s="10" t="str">
        <f>IF(Tabela2[[#This Row],[Coluna9]]&gt;0,"Entrada","Saída")</f>
        <v>Entrada</v>
      </c>
      <c r="S650" s="10" t="str">
        <f>Tabela2[[#This Row],[Coluna8]]</f>
        <v>TRANSFERÊNCIA DE BRADESCO</v>
      </c>
      <c r="T650" s="10" t="e">
        <f>Tabela2[[#This Row],[Coluna72]]</f>
        <v>#REF!</v>
      </c>
      <c r="U650" s="10">
        <f>SUM(Tabela2[[#This Row],[Coluna9]],Tabela2[[#This Row],[Coluna10]])</f>
        <v>26000</v>
      </c>
      <c r="V650" s="2" t="str">
        <f>Tabela2[[#This Row],[Coluna4]]</f>
        <v>17/10/2025</v>
      </c>
      <c r="W650" s="2" t="str">
        <f>Tabela2[[#This Row],[Coluna6]]</f>
        <v>17/10/2025</v>
      </c>
    </row>
    <row r="651" spans="2:23" hidden="1" x14ac:dyDescent="0.2">
      <c r="B651" t="s">
        <v>27</v>
      </c>
      <c r="D651" t="s">
        <v>13</v>
      </c>
      <c r="E651" s="8" t="s">
        <v>31</v>
      </c>
      <c r="F651" t="s">
        <v>15</v>
      </c>
      <c r="G651" s="8" t="s">
        <v>31</v>
      </c>
      <c r="H651" t="s">
        <v>16</v>
      </c>
      <c r="I651" t="e">
        <f>VLOOKUP(Tabela2[[#This Row],[Coluna7]],[1]!Tabela1[#All],2,0)</f>
        <v>#REF!</v>
      </c>
      <c r="J651" t="s">
        <v>33</v>
      </c>
      <c r="L651">
        <v>25845.96</v>
      </c>
      <c r="Q651" s="10" t="str">
        <f>Tabela2[[#This Row],[Coluna5]]</f>
        <v>10/2025</v>
      </c>
      <c r="R651" s="10" t="str">
        <f>IF(Tabela2[[#This Row],[Coluna9]]&gt;0,"Entrada","Saída")</f>
        <v>Saída</v>
      </c>
      <c r="S651" s="10" t="str">
        <f>Tabela2[[#This Row],[Coluna8]]</f>
        <v>TRANSFERÊNCIA PARA C6 BANK</v>
      </c>
      <c r="T651" s="10" t="e">
        <f>Tabela2[[#This Row],[Coluna72]]</f>
        <v>#REF!</v>
      </c>
      <c r="U651" s="10">
        <f>SUM(Tabela2[[#This Row],[Coluna9]],Tabela2[[#This Row],[Coluna10]])</f>
        <v>25845.96</v>
      </c>
      <c r="V651" s="2" t="str">
        <f>Tabela2[[#This Row],[Coluna4]]</f>
        <v>17/10/2025</v>
      </c>
      <c r="W651" s="2" t="str">
        <f>Tabela2[[#This Row],[Coluna6]]</f>
        <v>17/10/2025</v>
      </c>
    </row>
    <row r="652" spans="2:23" hidden="1" x14ac:dyDescent="0.2">
      <c r="B652" t="s">
        <v>34</v>
      </c>
      <c r="D652" t="s">
        <v>19</v>
      </c>
      <c r="E652" s="8" t="s">
        <v>31</v>
      </c>
      <c r="F652" t="s">
        <v>15</v>
      </c>
      <c r="G652" s="8" t="s">
        <v>31</v>
      </c>
      <c r="H652" t="s">
        <v>16</v>
      </c>
      <c r="I652" t="e">
        <f>VLOOKUP(Tabela2[[#This Row],[Coluna7]],[1]!Tabela1[#All],2,0)</f>
        <v>#REF!</v>
      </c>
      <c r="J652" t="s">
        <v>32</v>
      </c>
      <c r="K652">
        <v>25845.96</v>
      </c>
      <c r="Q652" s="10" t="str">
        <f>Tabela2[[#This Row],[Coluna5]]</f>
        <v>10/2025</v>
      </c>
      <c r="R652" s="10" t="str">
        <f>IF(Tabela2[[#This Row],[Coluna9]]&gt;0,"Entrada","Saída")</f>
        <v>Entrada</v>
      </c>
      <c r="S652" s="10" t="str">
        <f>Tabela2[[#This Row],[Coluna8]]</f>
        <v>TRANSFERÊNCIA DE BRADESCO</v>
      </c>
      <c r="T652" s="10" t="e">
        <f>Tabela2[[#This Row],[Coluna72]]</f>
        <v>#REF!</v>
      </c>
      <c r="U652" s="10">
        <f>SUM(Tabela2[[#This Row],[Coluna9]],Tabela2[[#This Row],[Coluna10]])</f>
        <v>25845.96</v>
      </c>
      <c r="V652" s="2" t="str">
        <f>Tabela2[[#This Row],[Coluna4]]</f>
        <v>17/10/2025</v>
      </c>
      <c r="W652" s="2" t="str">
        <f>Tabela2[[#This Row],[Coluna6]]</f>
        <v>17/10/2025</v>
      </c>
    </row>
    <row r="653" spans="2:23" hidden="1" x14ac:dyDescent="0.2">
      <c r="B653" t="s">
        <v>27</v>
      </c>
      <c r="D653" t="s">
        <v>13</v>
      </c>
      <c r="E653" s="8" t="s">
        <v>35</v>
      </c>
      <c r="F653" t="s">
        <v>15</v>
      </c>
      <c r="G653" s="8" t="s">
        <v>35</v>
      </c>
      <c r="H653" t="s">
        <v>22</v>
      </c>
      <c r="I653" t="e">
        <f>VLOOKUP(Tabela2[[#This Row],[Coluna7]],[1]!Tabela1[#All],2,0)</f>
        <v>#REF!</v>
      </c>
      <c r="J653" t="s">
        <v>36</v>
      </c>
      <c r="L653">
        <v>697.75</v>
      </c>
      <c r="Q653" s="10" t="str">
        <f>Tabela2[[#This Row],[Coluna5]]</f>
        <v>10/2025</v>
      </c>
      <c r="R653" s="10" t="str">
        <f>IF(Tabela2[[#This Row],[Coluna9]]&gt;0,"Entrada","Saída")</f>
        <v>Saída</v>
      </c>
      <c r="S653" s="10" t="str">
        <f>Tabela2[[#This Row],[Coluna8]]</f>
        <v>PAGAMENTO DE FATURA - CARREFOUR</v>
      </c>
      <c r="T653" s="10" t="e">
        <f>Tabela2[[#This Row],[Coluna72]]</f>
        <v>#REF!</v>
      </c>
      <c r="U653" s="10">
        <f>SUM(Tabela2[[#This Row],[Coluna9]],Tabela2[[#This Row],[Coluna10]])</f>
        <v>697.75</v>
      </c>
      <c r="V653" s="2" t="str">
        <f>Tabela2[[#This Row],[Coluna4]]</f>
        <v>20/10/2025</v>
      </c>
      <c r="W653" s="2" t="str">
        <f>Tabela2[[#This Row],[Coluna6]]</f>
        <v>20/10/2025</v>
      </c>
    </row>
    <row r="654" spans="2:23" hidden="1" x14ac:dyDescent="0.2">
      <c r="B654" t="s">
        <v>27</v>
      </c>
      <c r="D654" t="s">
        <v>13</v>
      </c>
      <c r="E654" s="8" t="s">
        <v>35</v>
      </c>
      <c r="F654" t="s">
        <v>15</v>
      </c>
      <c r="G654" s="8" t="s">
        <v>35</v>
      </c>
      <c r="H654" t="s">
        <v>16</v>
      </c>
      <c r="I654" t="e">
        <f>VLOOKUP(Tabela2[[#This Row],[Coluna7]],[1]!Tabela1[#All],2,0)</f>
        <v>#REF!</v>
      </c>
      <c r="J654" t="s">
        <v>37</v>
      </c>
      <c r="L654">
        <v>2685</v>
      </c>
      <c r="Q654" s="10" t="str">
        <f>Tabela2[[#This Row],[Coluna5]]</f>
        <v>10/2025</v>
      </c>
      <c r="R654" s="10" t="str">
        <f>IF(Tabela2[[#This Row],[Coluna9]]&gt;0,"Entrada","Saída")</f>
        <v>Saída</v>
      </c>
      <c r="S654" s="10" t="str">
        <f>Tabela2[[#This Row],[Coluna8]]</f>
        <v>TRANSFERÊNCIA PARA CAIXA</v>
      </c>
      <c r="T654" s="10" t="e">
        <f>Tabela2[[#This Row],[Coluna72]]</f>
        <v>#REF!</v>
      </c>
      <c r="U654" s="10">
        <f>SUM(Tabela2[[#This Row],[Coluna9]],Tabela2[[#This Row],[Coluna10]])</f>
        <v>2685</v>
      </c>
      <c r="V654" s="2" t="str">
        <f>Tabela2[[#This Row],[Coluna4]]</f>
        <v>20/10/2025</v>
      </c>
      <c r="W654" s="2" t="str">
        <f>Tabela2[[#This Row],[Coluna6]]</f>
        <v>20/10/2025</v>
      </c>
    </row>
    <row r="655" spans="2:23" hidden="1" x14ac:dyDescent="0.2">
      <c r="B655" t="s">
        <v>12</v>
      </c>
      <c r="D655" t="s">
        <v>19</v>
      </c>
      <c r="E655" s="8" t="s">
        <v>35</v>
      </c>
      <c r="F655" t="s">
        <v>15</v>
      </c>
      <c r="G655" s="8" t="s">
        <v>35</v>
      </c>
      <c r="H655" t="s">
        <v>16</v>
      </c>
      <c r="I655" t="e">
        <f>VLOOKUP(Tabela2[[#This Row],[Coluna7]],[1]!Tabela1[#All],2,0)</f>
        <v>#REF!</v>
      </c>
      <c r="J655" t="s">
        <v>32</v>
      </c>
      <c r="K655">
        <v>2685</v>
      </c>
      <c r="Q655" s="10" t="str">
        <f>Tabela2[[#This Row],[Coluna5]]</f>
        <v>10/2025</v>
      </c>
      <c r="R655" s="10" t="str">
        <f>IF(Tabela2[[#This Row],[Coluna9]]&gt;0,"Entrada","Saída")</f>
        <v>Entrada</v>
      </c>
      <c r="S655" s="10" t="str">
        <f>Tabela2[[#This Row],[Coluna8]]</f>
        <v>TRANSFERÊNCIA DE BRADESCO</v>
      </c>
      <c r="T655" s="10" t="e">
        <f>Tabela2[[#This Row],[Coluna72]]</f>
        <v>#REF!</v>
      </c>
      <c r="U655" s="10">
        <f>SUM(Tabela2[[#This Row],[Coluna9]],Tabela2[[#This Row],[Coluna10]])</f>
        <v>2685</v>
      </c>
      <c r="V655" s="2" t="str">
        <f>Tabela2[[#This Row],[Coluna4]]</f>
        <v>20/10/2025</v>
      </c>
      <c r="W655" s="2" t="str">
        <f>Tabela2[[#This Row],[Coluna6]]</f>
        <v>20/10/2025</v>
      </c>
    </row>
    <row r="656" spans="2:23" hidden="1" x14ac:dyDescent="0.2">
      <c r="B656" t="s">
        <v>18</v>
      </c>
      <c r="D656" t="s">
        <v>13</v>
      </c>
      <c r="E656" s="8" t="s">
        <v>38</v>
      </c>
      <c r="F656" t="s">
        <v>15</v>
      </c>
      <c r="G656" s="8" t="s">
        <v>38</v>
      </c>
      <c r="H656" t="s">
        <v>16</v>
      </c>
      <c r="I656" t="e">
        <f>VLOOKUP(Tabela2[[#This Row],[Coluna7]],[1]!Tabela1[#All],2,0)</f>
        <v>#REF!</v>
      </c>
      <c r="J656" t="s">
        <v>39</v>
      </c>
      <c r="L656">
        <v>2000</v>
      </c>
      <c r="Q656" s="10" t="str">
        <f>Tabela2[[#This Row],[Coluna5]]</f>
        <v>10/2025</v>
      </c>
      <c r="R656" s="10" t="str">
        <f>IF(Tabela2[[#This Row],[Coluna9]]&gt;0,"Entrada","Saída")</f>
        <v>Saída</v>
      </c>
      <c r="S656" s="10" t="str">
        <f>Tabela2[[#This Row],[Coluna8]]</f>
        <v>TRANSFERÊNCIA PARA BRADESCO</v>
      </c>
      <c r="T656" s="10" t="e">
        <f>Tabela2[[#This Row],[Coluna72]]</f>
        <v>#REF!</v>
      </c>
      <c r="U656" s="10">
        <f>SUM(Tabela2[[#This Row],[Coluna9]],Tabela2[[#This Row],[Coluna10]])</f>
        <v>2000</v>
      </c>
      <c r="V656" s="2" t="str">
        <f>Tabela2[[#This Row],[Coluna4]]</f>
        <v>27/10/2025</v>
      </c>
      <c r="W656" s="2" t="str">
        <f>Tabela2[[#This Row],[Coluna6]]</f>
        <v>27/10/2025</v>
      </c>
    </row>
    <row r="657" spans="2:23" hidden="1" x14ac:dyDescent="0.2">
      <c r="B657" t="s">
        <v>27</v>
      </c>
      <c r="D657" t="s">
        <v>19</v>
      </c>
      <c r="E657" s="8" t="s">
        <v>38</v>
      </c>
      <c r="F657" t="s">
        <v>15</v>
      </c>
      <c r="G657" s="8" t="s">
        <v>38</v>
      </c>
      <c r="H657" t="s">
        <v>16</v>
      </c>
      <c r="I657" t="e">
        <f>VLOOKUP(Tabela2[[#This Row],[Coluna7]],[1]!Tabela1[#All],2,0)</f>
        <v>#REF!</v>
      </c>
      <c r="J657" t="s">
        <v>40</v>
      </c>
      <c r="K657">
        <v>2000</v>
      </c>
      <c r="Q657" s="10" t="str">
        <f>Tabela2[[#This Row],[Coluna5]]</f>
        <v>10/2025</v>
      </c>
      <c r="R657" s="10" t="str">
        <f>IF(Tabela2[[#This Row],[Coluna9]]&gt;0,"Entrada","Saída")</f>
        <v>Entrada</v>
      </c>
      <c r="S657" s="10" t="str">
        <f>Tabela2[[#This Row],[Coluna8]]</f>
        <v>TRANSFERÊNCIA DE EFÍ - THIAGO URQUIZA ADVOGADOS</v>
      </c>
      <c r="T657" s="10" t="e">
        <f>Tabela2[[#This Row],[Coluna72]]</f>
        <v>#REF!</v>
      </c>
      <c r="U657" s="10">
        <f>SUM(Tabela2[[#This Row],[Coluna9]],Tabela2[[#This Row],[Coluna10]])</f>
        <v>2000</v>
      </c>
      <c r="V657" s="2" t="str">
        <f>Tabela2[[#This Row],[Coluna4]]</f>
        <v>27/10/2025</v>
      </c>
      <c r="W657" s="2" t="str">
        <f>Tabela2[[#This Row],[Coluna6]]</f>
        <v>27/10/2025</v>
      </c>
    </row>
    <row r="658" spans="2:23" hidden="1" x14ac:dyDescent="0.2">
      <c r="B658" t="s">
        <v>27</v>
      </c>
      <c r="D658" t="s">
        <v>13</v>
      </c>
      <c r="E658" s="8" t="s">
        <v>41</v>
      </c>
      <c r="F658" t="s">
        <v>42</v>
      </c>
      <c r="G658" s="8" t="s">
        <v>41</v>
      </c>
      <c r="H658" t="s">
        <v>16</v>
      </c>
      <c r="I658" t="e">
        <f>VLOOKUP(Tabela2[[#This Row],[Coluna7]],[1]!Tabela1[#All],2,0)</f>
        <v>#REF!</v>
      </c>
      <c r="J658" t="s">
        <v>17</v>
      </c>
      <c r="L658">
        <v>600</v>
      </c>
      <c r="Q658" s="10" t="str">
        <f>Tabela2[[#This Row],[Coluna5]]</f>
        <v>11/2025</v>
      </c>
      <c r="R658" s="10" t="str">
        <f>IF(Tabela2[[#This Row],[Coluna9]]&gt;0,"Entrada","Saída")</f>
        <v>Saída</v>
      </c>
      <c r="S658" s="10" t="str">
        <f>Tabela2[[#This Row],[Coluna8]]</f>
        <v>TRANSFERÊNCIA PARA EFÍ - THIAGO URQUIZA ADVOGADOS</v>
      </c>
      <c r="T658" s="10" t="e">
        <f>Tabela2[[#This Row],[Coluna72]]</f>
        <v>#REF!</v>
      </c>
      <c r="U658" s="10">
        <f>SUM(Tabela2[[#This Row],[Coluna9]],Tabela2[[#This Row],[Coluna10]])</f>
        <v>600</v>
      </c>
      <c r="V658" s="2" t="str">
        <f>Tabela2[[#This Row],[Coluna4]]</f>
        <v>04/11/2025</v>
      </c>
      <c r="W658" s="2" t="str">
        <f>Tabela2[[#This Row],[Coluna6]]</f>
        <v>04/11/2025</v>
      </c>
    </row>
    <row r="659" spans="2:23" hidden="1" x14ac:dyDescent="0.2">
      <c r="B659" t="s">
        <v>18</v>
      </c>
      <c r="D659" t="s">
        <v>19</v>
      </c>
      <c r="E659" s="8" t="s">
        <v>41</v>
      </c>
      <c r="F659" t="s">
        <v>42</v>
      </c>
      <c r="G659" s="8" t="s">
        <v>41</v>
      </c>
      <c r="H659" t="s">
        <v>16</v>
      </c>
      <c r="I659" t="e">
        <f>VLOOKUP(Tabela2[[#This Row],[Coluna7]],[1]!Tabela1[#All],2,0)</f>
        <v>#REF!</v>
      </c>
      <c r="J659" t="s">
        <v>32</v>
      </c>
      <c r="K659">
        <v>600</v>
      </c>
      <c r="Q659" s="10" t="str">
        <f>Tabela2[[#This Row],[Coluna5]]</f>
        <v>11/2025</v>
      </c>
      <c r="R659" s="10" t="str">
        <f>IF(Tabela2[[#This Row],[Coluna9]]&gt;0,"Entrada","Saída")</f>
        <v>Entrada</v>
      </c>
      <c r="S659" s="10" t="str">
        <f>Tabela2[[#This Row],[Coluna8]]</f>
        <v>TRANSFERÊNCIA DE BRADESCO</v>
      </c>
      <c r="T659" s="10" t="e">
        <f>Tabela2[[#This Row],[Coluna72]]</f>
        <v>#REF!</v>
      </c>
      <c r="U659" s="10">
        <f>SUM(Tabela2[[#This Row],[Coluna9]],Tabela2[[#This Row],[Coluna10]])</f>
        <v>600</v>
      </c>
      <c r="V659" s="2" t="str">
        <f>Tabela2[[#This Row],[Coluna4]]</f>
        <v>04/11/2025</v>
      </c>
      <c r="W659" s="2" t="str">
        <f>Tabela2[[#This Row],[Coluna6]]</f>
        <v>04/11/2025</v>
      </c>
    </row>
    <row r="660" spans="2:23" hidden="1" x14ac:dyDescent="0.2">
      <c r="B660" t="s">
        <v>27</v>
      </c>
      <c r="D660" t="s">
        <v>13</v>
      </c>
      <c r="E660" s="8" t="s">
        <v>43</v>
      </c>
      <c r="F660" t="s">
        <v>42</v>
      </c>
      <c r="G660" s="8" t="s">
        <v>43</v>
      </c>
      <c r="H660" t="s">
        <v>16</v>
      </c>
      <c r="I660" t="e">
        <f>VLOOKUP(Tabela2[[#This Row],[Coluna7]],[1]!Tabela1[#All],2,0)</f>
        <v>#REF!</v>
      </c>
      <c r="J660" t="s">
        <v>17</v>
      </c>
      <c r="L660">
        <v>2015</v>
      </c>
      <c r="Q660" s="10" t="str">
        <f>Tabela2[[#This Row],[Coluna5]]</f>
        <v>11/2025</v>
      </c>
      <c r="R660" s="10" t="str">
        <f>IF(Tabela2[[#This Row],[Coluna9]]&gt;0,"Entrada","Saída")</f>
        <v>Saída</v>
      </c>
      <c r="S660" s="10" t="str">
        <f>Tabela2[[#This Row],[Coluna8]]</f>
        <v>TRANSFERÊNCIA PARA EFÍ - THIAGO URQUIZA ADVOGADOS</v>
      </c>
      <c r="T660" s="10" t="e">
        <f>Tabela2[[#This Row],[Coluna72]]</f>
        <v>#REF!</v>
      </c>
      <c r="U660" s="10">
        <f>SUM(Tabela2[[#This Row],[Coluna9]],Tabela2[[#This Row],[Coluna10]])</f>
        <v>2015</v>
      </c>
      <c r="V660" s="2" t="str">
        <f>Tabela2[[#This Row],[Coluna4]]</f>
        <v>05/11/2025</v>
      </c>
      <c r="W660" s="2" t="str">
        <f>Tabela2[[#This Row],[Coluna6]]</f>
        <v>05/11/2025</v>
      </c>
    </row>
    <row r="661" spans="2:23" hidden="1" x14ac:dyDescent="0.2">
      <c r="B661" t="s">
        <v>18</v>
      </c>
      <c r="D661" t="s">
        <v>19</v>
      </c>
      <c r="E661" s="8" t="s">
        <v>43</v>
      </c>
      <c r="F661" t="s">
        <v>42</v>
      </c>
      <c r="G661" s="8" t="s">
        <v>43</v>
      </c>
      <c r="H661" t="s">
        <v>16</v>
      </c>
      <c r="I661" t="e">
        <f>VLOOKUP(Tabela2[[#This Row],[Coluna7]],[1]!Tabela1[#All],2,0)</f>
        <v>#REF!</v>
      </c>
      <c r="J661" t="s">
        <v>32</v>
      </c>
      <c r="K661">
        <v>2015</v>
      </c>
      <c r="Q661" s="10" t="str">
        <f>Tabela2[[#This Row],[Coluna5]]</f>
        <v>11/2025</v>
      </c>
      <c r="R661" s="10" t="str">
        <f>IF(Tabela2[[#This Row],[Coluna9]]&gt;0,"Entrada","Saída")</f>
        <v>Entrada</v>
      </c>
      <c r="S661" s="10" t="str">
        <f>Tabela2[[#This Row],[Coluna8]]</f>
        <v>TRANSFERÊNCIA DE BRADESCO</v>
      </c>
      <c r="T661" s="10" t="e">
        <f>Tabela2[[#This Row],[Coluna72]]</f>
        <v>#REF!</v>
      </c>
      <c r="U661" s="10">
        <f>SUM(Tabela2[[#This Row],[Coluna9]],Tabela2[[#This Row],[Coluna10]])</f>
        <v>2015</v>
      </c>
      <c r="V661" s="2" t="str">
        <f>Tabela2[[#This Row],[Coluna4]]</f>
        <v>05/11/2025</v>
      </c>
      <c r="W661" s="2" t="str">
        <f>Tabela2[[#This Row],[Coluna6]]</f>
        <v>05/11/2025</v>
      </c>
    </row>
    <row r="662" spans="2:23" hidden="1" x14ac:dyDescent="0.2">
      <c r="B662" t="s">
        <v>12</v>
      </c>
      <c r="D662" t="s">
        <v>13</v>
      </c>
      <c r="E662" s="8" t="s">
        <v>43</v>
      </c>
      <c r="F662" t="s">
        <v>42</v>
      </c>
      <c r="G662" s="8" t="s">
        <v>43</v>
      </c>
      <c r="H662" t="s">
        <v>16</v>
      </c>
      <c r="I662" t="e">
        <f>VLOOKUP(Tabela2[[#This Row],[Coluna7]],[1]!Tabela1[#All],2,0)</f>
        <v>#REF!</v>
      </c>
      <c r="J662" t="s">
        <v>17</v>
      </c>
      <c r="L662">
        <v>3000</v>
      </c>
      <c r="Q662" s="10" t="str">
        <f>Tabela2[[#This Row],[Coluna5]]</f>
        <v>11/2025</v>
      </c>
      <c r="R662" s="10" t="str">
        <f>IF(Tabela2[[#This Row],[Coluna9]]&gt;0,"Entrada","Saída")</f>
        <v>Saída</v>
      </c>
      <c r="S662" s="10" t="str">
        <f>Tabela2[[#This Row],[Coluna8]]</f>
        <v>TRANSFERÊNCIA PARA EFÍ - THIAGO URQUIZA ADVOGADOS</v>
      </c>
      <c r="T662" s="10" t="e">
        <f>Tabela2[[#This Row],[Coluna72]]</f>
        <v>#REF!</v>
      </c>
      <c r="U662" s="10">
        <f>SUM(Tabela2[[#This Row],[Coluna9]],Tabela2[[#This Row],[Coluna10]])</f>
        <v>3000</v>
      </c>
      <c r="V662" s="2" t="str">
        <f>Tabela2[[#This Row],[Coluna4]]</f>
        <v>05/11/2025</v>
      </c>
      <c r="W662" s="2" t="str">
        <f>Tabela2[[#This Row],[Coluna6]]</f>
        <v>05/11/2025</v>
      </c>
    </row>
    <row r="663" spans="2:23" hidden="1" x14ac:dyDescent="0.2">
      <c r="B663" t="s">
        <v>18</v>
      </c>
      <c r="D663" t="s">
        <v>19</v>
      </c>
      <c r="E663" s="8" t="s">
        <v>43</v>
      </c>
      <c r="F663" t="s">
        <v>42</v>
      </c>
      <c r="G663" s="8" t="s">
        <v>43</v>
      </c>
      <c r="H663" t="s">
        <v>16</v>
      </c>
      <c r="I663" t="e">
        <f>VLOOKUP(Tabela2[[#This Row],[Coluna7]],[1]!Tabela1[#All],2,0)</f>
        <v>#REF!</v>
      </c>
      <c r="J663" t="s">
        <v>20</v>
      </c>
      <c r="K663">
        <v>3000</v>
      </c>
      <c r="Q663" s="10" t="str">
        <f>Tabela2[[#This Row],[Coluna5]]</f>
        <v>11/2025</v>
      </c>
      <c r="R663" s="10" t="str">
        <f>IF(Tabela2[[#This Row],[Coluna9]]&gt;0,"Entrada","Saída")</f>
        <v>Entrada</v>
      </c>
      <c r="S663" s="10" t="str">
        <f>Tabela2[[#This Row],[Coluna8]]</f>
        <v>TRANSFERÊNCIA DE CAIXA</v>
      </c>
      <c r="T663" s="10" t="e">
        <f>Tabela2[[#This Row],[Coluna72]]</f>
        <v>#REF!</v>
      </c>
      <c r="U663" s="10">
        <f>SUM(Tabela2[[#This Row],[Coluna9]],Tabela2[[#This Row],[Coluna10]])</f>
        <v>3000</v>
      </c>
      <c r="V663" s="2" t="str">
        <f>Tabela2[[#This Row],[Coluna4]]</f>
        <v>05/11/2025</v>
      </c>
      <c r="W663" s="2" t="str">
        <f>Tabela2[[#This Row],[Coluna6]]</f>
        <v>05/11/2025</v>
      </c>
    </row>
    <row r="664" spans="2:23" hidden="1" x14ac:dyDescent="0.2">
      <c r="B664" t="s">
        <v>18</v>
      </c>
      <c r="D664" t="s">
        <v>13</v>
      </c>
      <c r="E664" s="8" t="s">
        <v>44</v>
      </c>
      <c r="F664" t="s">
        <v>42</v>
      </c>
      <c r="G664" s="8" t="s">
        <v>44</v>
      </c>
      <c r="H664" t="s">
        <v>22</v>
      </c>
      <c r="I664" t="e">
        <f>VLOOKUP(Tabela2[[#This Row],[Coluna7]],[1]!Tabela1[#All],2,0)</f>
        <v>#REF!</v>
      </c>
      <c r="J664" t="s">
        <v>23</v>
      </c>
      <c r="L664">
        <v>341</v>
      </c>
      <c r="Q664" s="10" t="str">
        <f>Tabela2[[#This Row],[Coluna5]]</f>
        <v>11/2025</v>
      </c>
      <c r="R664" s="10" t="str">
        <f>IF(Tabela2[[#This Row],[Coluna9]]&gt;0,"Entrada","Saída")</f>
        <v>Saída</v>
      </c>
      <c r="S664" s="10" t="str">
        <f>Tabela2[[#This Row],[Coluna8]]</f>
        <v>PAGAMENTO DE FATURA - INTER</v>
      </c>
      <c r="T664" s="10" t="e">
        <f>Tabela2[[#This Row],[Coluna72]]</f>
        <v>#REF!</v>
      </c>
      <c r="U664" s="10">
        <f>SUM(Tabela2[[#This Row],[Coluna9]],Tabela2[[#This Row],[Coluna10]])</f>
        <v>341</v>
      </c>
      <c r="V664" s="2" t="str">
        <f>Tabela2[[#This Row],[Coluna4]]</f>
        <v>06/11/2025</v>
      </c>
      <c r="W664" s="2" t="str">
        <f>Tabela2[[#This Row],[Coluna6]]</f>
        <v>06/11/2025</v>
      </c>
    </row>
    <row r="665" spans="2:23" hidden="1" x14ac:dyDescent="0.2">
      <c r="B665" t="s">
        <v>18</v>
      </c>
      <c r="D665" t="s">
        <v>13</v>
      </c>
      <c r="E665" s="8" t="s">
        <v>45</v>
      </c>
      <c r="F665" t="s">
        <v>42</v>
      </c>
      <c r="G665" s="8" t="s">
        <v>46</v>
      </c>
      <c r="H665" t="s">
        <v>22</v>
      </c>
      <c r="I665" t="e">
        <f>VLOOKUP(Tabela2[[#This Row],[Coluna7]],[1]!Tabela1[#All],2,0)</f>
        <v>#REF!</v>
      </c>
      <c r="J665" t="s">
        <v>25</v>
      </c>
      <c r="L665">
        <v>3706.53</v>
      </c>
      <c r="Q665" s="10" t="str">
        <f>Tabela2[[#This Row],[Coluna5]]</f>
        <v>11/2025</v>
      </c>
      <c r="R665" s="10" t="str">
        <f>IF(Tabela2[[#This Row],[Coluna9]]&gt;0,"Entrada","Saída")</f>
        <v>Saída</v>
      </c>
      <c r="S665" s="10" t="str">
        <f>Tabela2[[#This Row],[Coluna8]]</f>
        <v>PAGAMENTO DE FATURA - NUBANK PK</v>
      </c>
      <c r="T665" s="10" t="e">
        <f>Tabela2[[#This Row],[Coluna72]]</f>
        <v>#REF!</v>
      </c>
      <c r="U665" s="10">
        <f>SUM(Tabela2[[#This Row],[Coluna9]],Tabela2[[#This Row],[Coluna10]])</f>
        <v>3706.53</v>
      </c>
      <c r="V665" s="2" t="str">
        <f>Tabela2[[#This Row],[Coluna4]]</f>
        <v>08/11/2025</v>
      </c>
      <c r="W665" s="2" t="str">
        <f>Tabela2[[#This Row],[Coluna6]]</f>
        <v>11/11/2025</v>
      </c>
    </row>
    <row r="666" spans="2:23" hidden="1" x14ac:dyDescent="0.2">
      <c r="B666" t="s">
        <v>12</v>
      </c>
      <c r="D666" t="s">
        <v>13</v>
      </c>
      <c r="E666" s="8" t="s">
        <v>45</v>
      </c>
      <c r="F666" t="s">
        <v>42</v>
      </c>
      <c r="G666" s="8" t="s">
        <v>47</v>
      </c>
      <c r="H666" t="s">
        <v>22</v>
      </c>
      <c r="I666" t="e">
        <f>VLOOKUP(Tabela2[[#This Row],[Coluna7]],[1]!Tabela1[#All],2,0)</f>
        <v>#REF!</v>
      </c>
      <c r="J666" t="s">
        <v>26</v>
      </c>
      <c r="L666">
        <v>4487.88</v>
      </c>
      <c r="Q666" s="10" t="str">
        <f>Tabela2[[#This Row],[Coluna5]]</f>
        <v>11/2025</v>
      </c>
      <c r="R666" s="10" t="str">
        <f>IF(Tabela2[[#This Row],[Coluna9]]&gt;0,"Entrada","Saída")</f>
        <v>Saída</v>
      </c>
      <c r="S666" s="10" t="str">
        <f>Tabela2[[#This Row],[Coluna8]]</f>
        <v>PAGAMENTO DE FATURA - SANTANDER</v>
      </c>
      <c r="T666" s="10" t="e">
        <f>Tabela2[[#This Row],[Coluna72]]</f>
        <v>#REF!</v>
      </c>
      <c r="U666" s="10">
        <f>SUM(Tabela2[[#This Row],[Coluna9]],Tabela2[[#This Row],[Coluna10]])</f>
        <v>4487.88</v>
      </c>
      <c r="V666" s="2" t="str">
        <f>Tabela2[[#This Row],[Coluna4]]</f>
        <v>08/11/2025</v>
      </c>
      <c r="W666" s="2" t="str">
        <f>Tabela2[[#This Row],[Coluna6]]</f>
        <v>10/11/2025</v>
      </c>
    </row>
    <row r="667" spans="2:23" hidden="1" x14ac:dyDescent="0.2">
      <c r="B667" t="s">
        <v>12</v>
      </c>
      <c r="D667" t="s">
        <v>13</v>
      </c>
      <c r="E667" s="8" t="s">
        <v>46</v>
      </c>
      <c r="F667" t="s">
        <v>42</v>
      </c>
      <c r="G667" s="8" t="s">
        <v>46</v>
      </c>
      <c r="H667" t="s">
        <v>16</v>
      </c>
      <c r="I667" t="e">
        <f>VLOOKUP(Tabela2[[#This Row],[Coluna7]],[1]!Tabela1[#All],2,0)</f>
        <v>#REF!</v>
      </c>
      <c r="J667" t="s">
        <v>17</v>
      </c>
      <c r="L667">
        <v>900</v>
      </c>
      <c r="Q667" s="10" t="str">
        <f>Tabela2[[#This Row],[Coluna5]]</f>
        <v>11/2025</v>
      </c>
      <c r="R667" s="10" t="str">
        <f>IF(Tabela2[[#This Row],[Coluna9]]&gt;0,"Entrada","Saída")</f>
        <v>Saída</v>
      </c>
      <c r="S667" s="10" t="str">
        <f>Tabela2[[#This Row],[Coluna8]]</f>
        <v>TRANSFERÊNCIA PARA EFÍ - THIAGO URQUIZA ADVOGADOS</v>
      </c>
      <c r="T667" s="10" t="e">
        <f>Tabela2[[#This Row],[Coluna72]]</f>
        <v>#REF!</v>
      </c>
      <c r="U667" s="10">
        <f>SUM(Tabela2[[#This Row],[Coluna9]],Tabela2[[#This Row],[Coluna10]])</f>
        <v>900</v>
      </c>
      <c r="V667" s="2" t="str">
        <f>Tabela2[[#This Row],[Coluna4]]</f>
        <v>11/11/2025</v>
      </c>
      <c r="W667" s="2" t="str">
        <f>Tabela2[[#This Row],[Coluna6]]</f>
        <v>11/11/2025</v>
      </c>
    </row>
    <row r="668" spans="2:23" hidden="1" x14ac:dyDescent="0.2">
      <c r="B668" t="s">
        <v>18</v>
      </c>
      <c r="D668" t="s">
        <v>19</v>
      </c>
      <c r="E668" s="8" t="s">
        <v>46</v>
      </c>
      <c r="F668" t="s">
        <v>42</v>
      </c>
      <c r="G668" s="8" t="s">
        <v>46</v>
      </c>
      <c r="H668" t="s">
        <v>16</v>
      </c>
      <c r="I668" t="e">
        <f>VLOOKUP(Tabela2[[#This Row],[Coluna7]],[1]!Tabela1[#All],2,0)</f>
        <v>#REF!</v>
      </c>
      <c r="J668" t="s">
        <v>20</v>
      </c>
      <c r="K668">
        <v>900</v>
      </c>
      <c r="Q668" s="10" t="str">
        <f>Tabela2[[#This Row],[Coluna5]]</f>
        <v>11/2025</v>
      </c>
      <c r="R668" s="10" t="str">
        <f>IF(Tabela2[[#This Row],[Coluna9]]&gt;0,"Entrada","Saída")</f>
        <v>Entrada</v>
      </c>
      <c r="S668" s="10" t="str">
        <f>Tabela2[[#This Row],[Coluna8]]</f>
        <v>TRANSFERÊNCIA DE CAIXA</v>
      </c>
      <c r="T668" s="10" t="e">
        <f>Tabela2[[#This Row],[Coluna72]]</f>
        <v>#REF!</v>
      </c>
      <c r="U668" s="10">
        <f>SUM(Tabela2[[#This Row],[Coluna9]],Tabela2[[#This Row],[Coluna10]])</f>
        <v>900</v>
      </c>
      <c r="V668" s="2" t="str">
        <f>Tabela2[[#This Row],[Coluna4]]</f>
        <v>11/11/2025</v>
      </c>
      <c r="W668" s="2" t="str">
        <f>Tabela2[[#This Row],[Coluna6]]</f>
        <v>11/11/2025</v>
      </c>
    </row>
    <row r="669" spans="2:23" hidden="1" x14ac:dyDescent="0.2">
      <c r="B669" t="s">
        <v>27</v>
      </c>
      <c r="D669" t="s">
        <v>13</v>
      </c>
      <c r="E669" s="8" t="s">
        <v>46</v>
      </c>
      <c r="F669" t="s">
        <v>42</v>
      </c>
      <c r="G669" s="8" t="s">
        <v>46</v>
      </c>
      <c r="H669" t="s">
        <v>16</v>
      </c>
      <c r="I669" t="e">
        <f>VLOOKUP(Tabela2[[#This Row],[Coluna7]],[1]!Tabela1[#All],2,0)</f>
        <v>#REF!</v>
      </c>
      <c r="J669" t="s">
        <v>17</v>
      </c>
      <c r="L669">
        <v>3643.24</v>
      </c>
      <c r="Q669" s="10" t="str">
        <f>Tabela2[[#This Row],[Coluna5]]</f>
        <v>11/2025</v>
      </c>
      <c r="R669" s="10" t="str">
        <f>IF(Tabela2[[#This Row],[Coluna9]]&gt;0,"Entrada","Saída")</f>
        <v>Saída</v>
      </c>
      <c r="S669" s="10" t="str">
        <f>Tabela2[[#This Row],[Coluna8]]</f>
        <v>TRANSFERÊNCIA PARA EFÍ - THIAGO URQUIZA ADVOGADOS</v>
      </c>
      <c r="T669" s="10" t="e">
        <f>Tabela2[[#This Row],[Coluna72]]</f>
        <v>#REF!</v>
      </c>
      <c r="U669" s="10">
        <f>SUM(Tabela2[[#This Row],[Coluna9]],Tabela2[[#This Row],[Coluna10]])</f>
        <v>3643.24</v>
      </c>
      <c r="V669" s="2" t="str">
        <f>Tabela2[[#This Row],[Coluna4]]</f>
        <v>11/11/2025</v>
      </c>
      <c r="W669" s="2" t="str">
        <f>Tabela2[[#This Row],[Coluna6]]</f>
        <v>11/11/2025</v>
      </c>
    </row>
    <row r="670" spans="2:23" hidden="1" x14ac:dyDescent="0.2">
      <c r="B670" t="s">
        <v>18</v>
      </c>
      <c r="D670" t="s">
        <v>19</v>
      </c>
      <c r="E670" s="8" t="s">
        <v>46</v>
      </c>
      <c r="F670" t="s">
        <v>42</v>
      </c>
      <c r="G670" s="8" t="s">
        <v>46</v>
      </c>
      <c r="H670" t="s">
        <v>16</v>
      </c>
      <c r="I670" t="e">
        <f>VLOOKUP(Tabela2[[#This Row],[Coluna7]],[1]!Tabela1[#All],2,0)</f>
        <v>#REF!</v>
      </c>
      <c r="J670" t="s">
        <v>32</v>
      </c>
      <c r="K670">
        <v>3643.24</v>
      </c>
      <c r="Q670" s="10" t="str">
        <f>Tabela2[[#This Row],[Coluna5]]</f>
        <v>11/2025</v>
      </c>
      <c r="R670" s="10" t="str">
        <f>IF(Tabela2[[#This Row],[Coluna9]]&gt;0,"Entrada","Saída")</f>
        <v>Entrada</v>
      </c>
      <c r="S670" s="10" t="str">
        <f>Tabela2[[#This Row],[Coluna8]]</f>
        <v>TRANSFERÊNCIA DE BRADESCO</v>
      </c>
      <c r="T670" s="10" t="e">
        <f>Tabela2[[#This Row],[Coluna72]]</f>
        <v>#REF!</v>
      </c>
      <c r="U670" s="10">
        <f>SUM(Tabela2[[#This Row],[Coluna9]],Tabela2[[#This Row],[Coluna10]])</f>
        <v>3643.24</v>
      </c>
      <c r="V670" s="2" t="str">
        <f>Tabela2[[#This Row],[Coluna4]]</f>
        <v>11/11/2025</v>
      </c>
      <c r="W670" s="2" t="str">
        <f>Tabela2[[#This Row],[Coluna6]]</f>
        <v>11/11/2025</v>
      </c>
    </row>
    <row r="671" spans="2:23" hidden="1" x14ac:dyDescent="0.2">
      <c r="B671" t="s">
        <v>18</v>
      </c>
      <c r="D671" t="s">
        <v>13</v>
      </c>
      <c r="E671" s="8" t="s">
        <v>48</v>
      </c>
      <c r="F671" t="s">
        <v>42</v>
      </c>
      <c r="G671" s="8" t="s">
        <v>49</v>
      </c>
      <c r="H671" t="s">
        <v>22</v>
      </c>
      <c r="I671" t="e">
        <f>VLOOKUP(Tabela2[[#This Row],[Coluna7]],[1]!Tabela1[#All],2,0)</f>
        <v>#REF!</v>
      </c>
      <c r="J671" t="s">
        <v>50</v>
      </c>
      <c r="L671">
        <v>500</v>
      </c>
      <c r="Q671" s="10" t="str">
        <f>Tabela2[[#This Row],[Coluna5]]</f>
        <v>11/2025</v>
      </c>
      <c r="R671" s="10" t="str">
        <f>IF(Tabela2[[#This Row],[Coluna9]]&gt;0,"Entrada","Saída")</f>
        <v>Saída</v>
      </c>
      <c r="S671" s="10" t="str">
        <f>Tabela2[[#This Row],[Coluna8]]</f>
        <v>PAGAMENTO DE FATURA - EFÍ CNPJ - TU ADVOGADOS</v>
      </c>
      <c r="T671" s="10" t="e">
        <f>Tabela2[[#This Row],[Coluna72]]</f>
        <v>#REF!</v>
      </c>
      <c r="U671" s="10">
        <f>SUM(Tabela2[[#This Row],[Coluna9]],Tabela2[[#This Row],[Coluna10]])</f>
        <v>500</v>
      </c>
      <c r="V671" s="2" t="str">
        <f>Tabela2[[#This Row],[Coluna4]]</f>
        <v>12/11/2025</v>
      </c>
      <c r="W671" s="2" t="str">
        <f>Tabela2[[#This Row],[Coluna6]]</f>
        <v>18/11/2025</v>
      </c>
    </row>
    <row r="672" spans="2:23" hidden="1" x14ac:dyDescent="0.2">
      <c r="B672" t="s">
        <v>18</v>
      </c>
      <c r="D672" t="s">
        <v>13</v>
      </c>
      <c r="E672" s="8" t="s">
        <v>51</v>
      </c>
      <c r="F672" t="s">
        <v>42</v>
      </c>
      <c r="G672" s="8" t="s">
        <v>52</v>
      </c>
      <c r="H672" t="s">
        <v>22</v>
      </c>
      <c r="I672" t="e">
        <f>VLOOKUP(Tabela2[[#This Row],[Coluna7]],[1]!Tabela1[#All],2,0)</f>
        <v>#REF!</v>
      </c>
      <c r="J672" t="s">
        <v>53</v>
      </c>
      <c r="L672">
        <v>1473.39</v>
      </c>
      <c r="Q672" s="10" t="str">
        <f>Tabela2[[#This Row],[Coluna5]]</f>
        <v>11/2025</v>
      </c>
      <c r="R672" s="10" t="str">
        <f>IF(Tabela2[[#This Row],[Coluna9]]&gt;0,"Entrada","Saída")</f>
        <v>Saída</v>
      </c>
      <c r="S672" s="10" t="str">
        <f>Tabela2[[#This Row],[Coluna8]]</f>
        <v>PAGAMENTO DE FATURA - CARTÃO EFÍ</v>
      </c>
      <c r="T672" s="10" t="e">
        <f>Tabela2[[#This Row],[Coluna72]]</f>
        <v>#REF!</v>
      </c>
      <c r="U672" s="10">
        <f>SUM(Tabela2[[#This Row],[Coluna9]],Tabela2[[#This Row],[Coluna10]])</f>
        <v>1473.39</v>
      </c>
      <c r="V672" s="2" t="str">
        <f>Tabela2[[#This Row],[Coluna4]]</f>
        <v>13/11/2025</v>
      </c>
      <c r="W672" s="2" t="str">
        <f>Tabela2[[#This Row],[Coluna6]]</f>
        <v>03/11/2025</v>
      </c>
    </row>
    <row r="673" spans="2:23" hidden="1" x14ac:dyDescent="0.2">
      <c r="B673" t="s">
        <v>12</v>
      </c>
      <c r="D673" t="s">
        <v>13</v>
      </c>
      <c r="E673" s="8" t="s">
        <v>54</v>
      </c>
      <c r="F673" t="s">
        <v>42</v>
      </c>
      <c r="G673" s="8" t="s">
        <v>54</v>
      </c>
      <c r="H673" t="s">
        <v>16</v>
      </c>
      <c r="I673" t="e">
        <f>VLOOKUP(Tabela2[[#This Row],[Coluna7]],[1]!Tabela1[#All],2,0)</f>
        <v>#REF!</v>
      </c>
      <c r="J673" t="s">
        <v>17</v>
      </c>
      <c r="L673">
        <v>21000</v>
      </c>
      <c r="Q673" s="10" t="str">
        <f>Tabela2[[#This Row],[Coluna5]]</f>
        <v>11/2025</v>
      </c>
      <c r="R673" s="10" t="str">
        <f>IF(Tabela2[[#This Row],[Coluna9]]&gt;0,"Entrada","Saída")</f>
        <v>Saída</v>
      </c>
      <c r="S673" s="10" t="str">
        <f>Tabela2[[#This Row],[Coluna8]]</f>
        <v>TRANSFERÊNCIA PARA EFÍ - THIAGO URQUIZA ADVOGADOS</v>
      </c>
      <c r="T673" s="10" t="e">
        <f>Tabela2[[#This Row],[Coluna72]]</f>
        <v>#REF!</v>
      </c>
      <c r="U673" s="10">
        <f>SUM(Tabela2[[#This Row],[Coluna9]],Tabela2[[#This Row],[Coluna10]])</f>
        <v>21000</v>
      </c>
      <c r="V673" s="2" t="str">
        <f>Tabela2[[#This Row],[Coluna4]]</f>
        <v>14/11/2025</v>
      </c>
      <c r="W673" s="2" t="str">
        <f>Tabela2[[#This Row],[Coluna6]]</f>
        <v>14/11/2025</v>
      </c>
    </row>
    <row r="674" spans="2:23" hidden="1" x14ac:dyDescent="0.2">
      <c r="B674" t="s">
        <v>18</v>
      </c>
      <c r="D674" t="s">
        <v>19</v>
      </c>
      <c r="E674" s="8" t="s">
        <v>54</v>
      </c>
      <c r="F674" t="s">
        <v>42</v>
      </c>
      <c r="G674" s="8" t="s">
        <v>54</v>
      </c>
      <c r="H674" t="s">
        <v>16</v>
      </c>
      <c r="I674" t="e">
        <f>VLOOKUP(Tabela2[[#This Row],[Coluna7]],[1]!Tabela1[#All],2,0)</f>
        <v>#REF!</v>
      </c>
      <c r="J674" t="s">
        <v>20</v>
      </c>
      <c r="K674">
        <v>21000</v>
      </c>
      <c r="Q674" s="10" t="str">
        <f>Tabela2[[#This Row],[Coluna5]]</f>
        <v>11/2025</v>
      </c>
      <c r="R674" s="10" t="str">
        <f>IF(Tabela2[[#This Row],[Coluna9]]&gt;0,"Entrada","Saída")</f>
        <v>Entrada</v>
      </c>
      <c r="S674" s="10" t="str">
        <f>Tabela2[[#This Row],[Coluna8]]</f>
        <v>TRANSFERÊNCIA DE CAIXA</v>
      </c>
      <c r="T674" s="10" t="e">
        <f>Tabela2[[#This Row],[Coluna72]]</f>
        <v>#REF!</v>
      </c>
      <c r="U674" s="10">
        <f>SUM(Tabela2[[#This Row],[Coluna9]],Tabela2[[#This Row],[Coluna10]])</f>
        <v>21000</v>
      </c>
      <c r="V674" s="2" t="str">
        <f>Tabela2[[#This Row],[Coluna4]]</f>
        <v>14/11/2025</v>
      </c>
      <c r="W674" s="2" t="str">
        <f>Tabela2[[#This Row],[Coluna6]]</f>
        <v>14/11/2025</v>
      </c>
    </row>
    <row r="675" spans="2:23" hidden="1" x14ac:dyDescent="0.2">
      <c r="B675" t="s">
        <v>18</v>
      </c>
      <c r="D675" t="s">
        <v>13</v>
      </c>
      <c r="E675" s="8" t="s">
        <v>54</v>
      </c>
      <c r="F675" t="s">
        <v>42</v>
      </c>
      <c r="G675" s="8" t="s">
        <v>54</v>
      </c>
      <c r="H675" t="s">
        <v>16</v>
      </c>
      <c r="I675" t="e">
        <f>VLOOKUP(Tabela2[[#This Row],[Coluna7]],[1]!Tabela1[#All],2,0)</f>
        <v>#REF!</v>
      </c>
      <c r="J675" t="s">
        <v>39</v>
      </c>
      <c r="L675">
        <v>2000</v>
      </c>
      <c r="Q675" s="10" t="str">
        <f>Tabela2[[#This Row],[Coluna5]]</f>
        <v>11/2025</v>
      </c>
      <c r="R675" s="10" t="str">
        <f>IF(Tabela2[[#This Row],[Coluna9]]&gt;0,"Entrada","Saída")</f>
        <v>Saída</v>
      </c>
      <c r="S675" s="10" t="str">
        <f>Tabela2[[#This Row],[Coluna8]]</f>
        <v>TRANSFERÊNCIA PARA BRADESCO</v>
      </c>
      <c r="T675" s="10" t="e">
        <f>Tabela2[[#This Row],[Coluna72]]</f>
        <v>#REF!</v>
      </c>
      <c r="U675" s="10">
        <f>SUM(Tabela2[[#This Row],[Coluna9]],Tabela2[[#This Row],[Coluna10]])</f>
        <v>2000</v>
      </c>
      <c r="V675" s="2" t="str">
        <f>Tabela2[[#This Row],[Coluna4]]</f>
        <v>14/11/2025</v>
      </c>
      <c r="W675" s="2" t="str">
        <f>Tabela2[[#This Row],[Coluna6]]</f>
        <v>14/11/2025</v>
      </c>
    </row>
    <row r="676" spans="2:23" hidden="1" x14ac:dyDescent="0.2">
      <c r="B676" t="s">
        <v>27</v>
      </c>
      <c r="D676" t="s">
        <v>19</v>
      </c>
      <c r="E676" s="8" t="s">
        <v>54</v>
      </c>
      <c r="F676" t="s">
        <v>42</v>
      </c>
      <c r="G676" s="8" t="s">
        <v>54</v>
      </c>
      <c r="H676" t="s">
        <v>16</v>
      </c>
      <c r="I676" t="e">
        <f>VLOOKUP(Tabela2[[#This Row],[Coluna7]],[1]!Tabela1[#All],2,0)</f>
        <v>#REF!</v>
      </c>
      <c r="J676" t="s">
        <v>40</v>
      </c>
      <c r="K676">
        <v>2000</v>
      </c>
      <c r="Q676" s="10" t="str">
        <f>Tabela2[[#This Row],[Coluna5]]</f>
        <v>11/2025</v>
      </c>
      <c r="R676" s="10" t="str">
        <f>IF(Tabela2[[#This Row],[Coluna9]]&gt;0,"Entrada","Saída")</f>
        <v>Entrada</v>
      </c>
      <c r="S676" s="10" t="str">
        <f>Tabela2[[#This Row],[Coluna8]]</f>
        <v>TRANSFERÊNCIA DE EFÍ - THIAGO URQUIZA ADVOGADOS</v>
      </c>
      <c r="T676" s="10" t="e">
        <f>Tabela2[[#This Row],[Coluna72]]</f>
        <v>#REF!</v>
      </c>
      <c r="U676" s="10">
        <f>SUM(Tabela2[[#This Row],[Coluna9]],Tabela2[[#This Row],[Coluna10]])</f>
        <v>2000</v>
      </c>
      <c r="V676" s="2" t="str">
        <f>Tabela2[[#This Row],[Coluna4]]</f>
        <v>14/11/2025</v>
      </c>
      <c r="W676" s="2" t="str">
        <f>Tabela2[[#This Row],[Coluna6]]</f>
        <v>14/11/2025</v>
      </c>
    </row>
    <row r="677" spans="2:23" hidden="1" x14ac:dyDescent="0.2">
      <c r="B677" t="s">
        <v>18</v>
      </c>
      <c r="D677" t="s">
        <v>13</v>
      </c>
      <c r="E677" s="8" t="s">
        <v>55</v>
      </c>
      <c r="F677" t="s">
        <v>42</v>
      </c>
      <c r="G677" s="8" t="s">
        <v>54</v>
      </c>
      <c r="H677" t="s">
        <v>22</v>
      </c>
      <c r="I677" t="e">
        <f>VLOOKUP(Tabela2[[#This Row],[Coluna7]],[1]!Tabela1[#All],2,0)</f>
        <v>#REF!</v>
      </c>
      <c r="J677" t="s">
        <v>30</v>
      </c>
      <c r="L677">
        <v>426.08</v>
      </c>
      <c r="Q677" s="10" t="str">
        <f>Tabela2[[#This Row],[Coluna5]]</f>
        <v>11/2025</v>
      </c>
      <c r="R677" s="10" t="str">
        <f>IF(Tabela2[[#This Row],[Coluna9]]&gt;0,"Entrada","Saída")</f>
        <v>Saída</v>
      </c>
      <c r="S677" s="10" t="str">
        <f>Tabela2[[#This Row],[Coluna8]]</f>
        <v>PAGAMENTO DE FATURA - HIPERCARD</v>
      </c>
      <c r="T677" s="10" t="e">
        <f>Tabela2[[#This Row],[Coluna72]]</f>
        <v>#REF!</v>
      </c>
      <c r="U677" s="10">
        <f>SUM(Tabela2[[#This Row],[Coluna9]],Tabela2[[#This Row],[Coluna10]])</f>
        <v>426.08</v>
      </c>
      <c r="V677" s="2" t="str">
        <f>Tabela2[[#This Row],[Coluna4]]</f>
        <v>15/11/2025</v>
      </c>
      <c r="W677" s="2" t="str">
        <f>Tabela2[[#This Row],[Coluna6]]</f>
        <v>14/11/2025</v>
      </c>
    </row>
    <row r="678" spans="2:23" hidden="1" x14ac:dyDescent="0.2">
      <c r="B678" t="s">
        <v>18</v>
      </c>
      <c r="D678" t="s">
        <v>13</v>
      </c>
      <c r="E678" s="8" t="s">
        <v>56</v>
      </c>
      <c r="F678" t="s">
        <v>42</v>
      </c>
      <c r="G678" s="8" t="s">
        <v>56</v>
      </c>
      <c r="H678" t="s">
        <v>16</v>
      </c>
      <c r="I678" t="e">
        <f>VLOOKUP(Tabela2[[#This Row],[Coluna7]],[1]!Tabela1[#All],2,0)</f>
        <v>#REF!</v>
      </c>
      <c r="J678" t="s">
        <v>39</v>
      </c>
      <c r="L678">
        <v>1500</v>
      </c>
      <c r="Q678" s="10" t="str">
        <f>Tabela2[[#This Row],[Coluna5]]</f>
        <v>11/2025</v>
      </c>
      <c r="R678" s="10" t="str">
        <f>IF(Tabela2[[#This Row],[Coluna9]]&gt;0,"Entrada","Saída")</f>
        <v>Saída</v>
      </c>
      <c r="S678" s="10" t="str">
        <f>Tabela2[[#This Row],[Coluna8]]</f>
        <v>TRANSFERÊNCIA PARA BRADESCO</v>
      </c>
      <c r="T678" s="10" t="e">
        <f>Tabela2[[#This Row],[Coluna72]]</f>
        <v>#REF!</v>
      </c>
      <c r="U678" s="10">
        <f>SUM(Tabela2[[#This Row],[Coluna9]],Tabela2[[#This Row],[Coluna10]])</f>
        <v>1500</v>
      </c>
      <c r="V678" s="2" t="str">
        <f>Tabela2[[#This Row],[Coluna4]]</f>
        <v>17/11/2025</v>
      </c>
      <c r="W678" s="2" t="str">
        <f>Tabela2[[#This Row],[Coluna6]]</f>
        <v>17/11/2025</v>
      </c>
    </row>
    <row r="679" spans="2:23" hidden="1" x14ac:dyDescent="0.2">
      <c r="B679" t="s">
        <v>27</v>
      </c>
      <c r="D679" t="s">
        <v>19</v>
      </c>
      <c r="E679" s="8" t="s">
        <v>56</v>
      </c>
      <c r="F679" t="s">
        <v>42</v>
      </c>
      <c r="G679" s="8" t="s">
        <v>56</v>
      </c>
      <c r="H679" t="s">
        <v>16</v>
      </c>
      <c r="I679" t="e">
        <f>VLOOKUP(Tabela2[[#This Row],[Coluna7]],[1]!Tabela1[#All],2,0)</f>
        <v>#REF!</v>
      </c>
      <c r="J679" t="s">
        <v>40</v>
      </c>
      <c r="K679">
        <v>1500</v>
      </c>
      <c r="Q679" s="10" t="str">
        <f>Tabela2[[#This Row],[Coluna5]]</f>
        <v>11/2025</v>
      </c>
      <c r="R679" s="10" t="str">
        <f>IF(Tabela2[[#This Row],[Coluna9]]&gt;0,"Entrada","Saída")</f>
        <v>Entrada</v>
      </c>
      <c r="S679" s="10" t="str">
        <f>Tabela2[[#This Row],[Coluna8]]</f>
        <v>TRANSFERÊNCIA DE EFÍ - THIAGO URQUIZA ADVOGADOS</v>
      </c>
      <c r="T679" s="10" t="e">
        <f>Tabela2[[#This Row],[Coluna72]]</f>
        <v>#REF!</v>
      </c>
      <c r="U679" s="10">
        <f>SUM(Tabela2[[#This Row],[Coluna9]],Tabela2[[#This Row],[Coluna10]])</f>
        <v>1500</v>
      </c>
      <c r="V679" s="2" t="str">
        <f>Tabela2[[#This Row],[Coluna4]]</f>
        <v>17/11/2025</v>
      </c>
      <c r="W679" s="2" t="str">
        <f>Tabela2[[#This Row],[Coluna6]]</f>
        <v>17/11/2025</v>
      </c>
    </row>
    <row r="680" spans="2:23" hidden="1" x14ac:dyDescent="0.2">
      <c r="B680" t="s">
        <v>12</v>
      </c>
      <c r="D680" t="s">
        <v>13</v>
      </c>
      <c r="E680" s="8" t="s">
        <v>56</v>
      </c>
      <c r="F680" t="s">
        <v>42</v>
      </c>
      <c r="G680" s="8" t="s">
        <v>56</v>
      </c>
      <c r="H680" t="s">
        <v>16</v>
      </c>
      <c r="I680" t="e">
        <f>VLOOKUP(Tabela2[[#This Row],[Coluna7]],[1]!Tabela1[#All],2,0)</f>
        <v>#REF!</v>
      </c>
      <c r="J680" t="s">
        <v>57</v>
      </c>
      <c r="L680">
        <v>2650</v>
      </c>
      <c r="Q680" s="10" t="str">
        <f>Tabela2[[#This Row],[Coluna5]]</f>
        <v>11/2025</v>
      </c>
      <c r="R680" s="10" t="str">
        <f>IF(Tabela2[[#This Row],[Coluna9]]&gt;0,"Entrada","Saída")</f>
        <v>Saída</v>
      </c>
      <c r="S680" s="10" t="str">
        <f>Tabela2[[#This Row],[Coluna8]]</f>
        <v>TRANSFERÊNCIA PARA COFRE</v>
      </c>
      <c r="T680" s="10" t="e">
        <f>Tabela2[[#This Row],[Coluna72]]</f>
        <v>#REF!</v>
      </c>
      <c r="U680" s="10">
        <f>SUM(Tabela2[[#This Row],[Coluna9]],Tabela2[[#This Row],[Coluna10]])</f>
        <v>2650</v>
      </c>
      <c r="V680" s="2" t="str">
        <f>Tabela2[[#This Row],[Coluna4]]</f>
        <v>17/11/2025</v>
      </c>
      <c r="W680" s="2" t="str">
        <f>Tabela2[[#This Row],[Coluna6]]</f>
        <v>17/11/2025</v>
      </c>
    </row>
    <row r="681" spans="2:23" hidden="1" x14ac:dyDescent="0.2">
      <c r="B681" t="s">
        <v>58</v>
      </c>
      <c r="D681" t="s">
        <v>19</v>
      </c>
      <c r="E681" s="8" t="s">
        <v>56</v>
      </c>
      <c r="F681" t="s">
        <v>42</v>
      </c>
      <c r="G681" s="8" t="s">
        <v>56</v>
      </c>
      <c r="H681" t="s">
        <v>16</v>
      </c>
      <c r="I681" t="e">
        <f>VLOOKUP(Tabela2[[#This Row],[Coluna7]],[1]!Tabela1[#All],2,0)</f>
        <v>#REF!</v>
      </c>
      <c r="J681" t="s">
        <v>20</v>
      </c>
      <c r="K681">
        <v>2650</v>
      </c>
      <c r="Q681" s="10" t="str">
        <f>Tabela2[[#This Row],[Coluna5]]</f>
        <v>11/2025</v>
      </c>
      <c r="R681" s="10" t="str">
        <f>IF(Tabela2[[#This Row],[Coluna9]]&gt;0,"Entrada","Saída")</f>
        <v>Entrada</v>
      </c>
      <c r="S681" s="10" t="str">
        <f>Tabela2[[#This Row],[Coluna8]]</f>
        <v>TRANSFERÊNCIA DE CAIXA</v>
      </c>
      <c r="T681" s="10" t="e">
        <f>Tabela2[[#This Row],[Coluna72]]</f>
        <v>#REF!</v>
      </c>
      <c r="U681" s="10">
        <f>SUM(Tabela2[[#This Row],[Coluna9]],Tabela2[[#This Row],[Coluna10]])</f>
        <v>2650</v>
      </c>
      <c r="V681" s="2" t="str">
        <f>Tabela2[[#This Row],[Coluna4]]</f>
        <v>17/11/2025</v>
      </c>
      <c r="W681" s="2" t="str">
        <f>Tabela2[[#This Row],[Coluna6]]</f>
        <v>17/11/2025</v>
      </c>
    </row>
    <row r="682" spans="2:23" hidden="1" x14ac:dyDescent="0.2">
      <c r="B682" t="s">
        <v>12</v>
      </c>
      <c r="D682" t="s">
        <v>13</v>
      </c>
      <c r="E682" s="8" t="s">
        <v>56</v>
      </c>
      <c r="F682" t="s">
        <v>42</v>
      </c>
      <c r="G682" s="8" t="s">
        <v>56</v>
      </c>
      <c r="H682" t="s">
        <v>16</v>
      </c>
      <c r="I682" t="e">
        <f>VLOOKUP(Tabela2[[#This Row],[Coluna7]],[1]!Tabela1[#All],2,0)</f>
        <v>#REF!</v>
      </c>
      <c r="J682" t="s">
        <v>57</v>
      </c>
      <c r="L682">
        <v>100</v>
      </c>
      <c r="Q682" s="10" t="str">
        <f>Tabela2[[#This Row],[Coluna5]]</f>
        <v>11/2025</v>
      </c>
      <c r="R682" s="10" t="str">
        <f>IF(Tabela2[[#This Row],[Coluna9]]&gt;0,"Entrada","Saída")</f>
        <v>Saída</v>
      </c>
      <c r="S682" s="10" t="str">
        <f>Tabela2[[#This Row],[Coluna8]]</f>
        <v>TRANSFERÊNCIA PARA COFRE</v>
      </c>
      <c r="T682" s="10" t="e">
        <f>Tabela2[[#This Row],[Coluna72]]</f>
        <v>#REF!</v>
      </c>
      <c r="U682" s="10">
        <f>SUM(Tabela2[[#This Row],[Coluna9]],Tabela2[[#This Row],[Coluna10]])</f>
        <v>100</v>
      </c>
      <c r="V682" s="2" t="str">
        <f>Tabela2[[#This Row],[Coluna4]]</f>
        <v>17/11/2025</v>
      </c>
      <c r="W682" s="2" t="str">
        <f>Tabela2[[#This Row],[Coluna6]]</f>
        <v>17/11/2025</v>
      </c>
    </row>
    <row r="683" spans="2:23" hidden="1" x14ac:dyDescent="0.2">
      <c r="B683" t="s">
        <v>58</v>
      </c>
      <c r="D683" t="s">
        <v>19</v>
      </c>
      <c r="E683" s="8" t="s">
        <v>56</v>
      </c>
      <c r="F683" t="s">
        <v>42</v>
      </c>
      <c r="G683" s="8" t="s">
        <v>56</v>
      </c>
      <c r="H683" t="s">
        <v>16</v>
      </c>
      <c r="I683" t="e">
        <f>VLOOKUP(Tabela2[[#This Row],[Coluna7]],[1]!Tabela1[#All],2,0)</f>
        <v>#REF!</v>
      </c>
      <c r="J683" t="s">
        <v>20</v>
      </c>
      <c r="K683">
        <v>100</v>
      </c>
      <c r="Q683" s="10" t="str">
        <f>Tabela2[[#This Row],[Coluna5]]</f>
        <v>11/2025</v>
      </c>
      <c r="R683" s="10" t="str">
        <f>IF(Tabela2[[#This Row],[Coluna9]]&gt;0,"Entrada","Saída")</f>
        <v>Entrada</v>
      </c>
      <c r="S683" s="10" t="str">
        <f>Tabela2[[#This Row],[Coluna8]]</f>
        <v>TRANSFERÊNCIA DE CAIXA</v>
      </c>
      <c r="T683" s="10" t="e">
        <f>Tabela2[[#This Row],[Coluna72]]</f>
        <v>#REF!</v>
      </c>
      <c r="U683" s="10">
        <f>SUM(Tabela2[[#This Row],[Coluna9]],Tabela2[[#This Row],[Coluna10]])</f>
        <v>100</v>
      </c>
      <c r="V683" s="2" t="str">
        <f>Tabela2[[#This Row],[Coluna4]]</f>
        <v>17/11/2025</v>
      </c>
      <c r="W683" s="2" t="str">
        <f>Tabela2[[#This Row],[Coluna6]]</f>
        <v>17/11/2025</v>
      </c>
    </row>
    <row r="684" spans="2:23" hidden="1" x14ac:dyDescent="0.2">
      <c r="B684" t="s">
        <v>12</v>
      </c>
      <c r="D684" t="s">
        <v>13</v>
      </c>
      <c r="E684" s="8" t="s">
        <v>59</v>
      </c>
      <c r="F684" t="s">
        <v>42</v>
      </c>
      <c r="G684" s="8" t="s">
        <v>59</v>
      </c>
      <c r="H684" t="s">
        <v>16</v>
      </c>
      <c r="I684" t="e">
        <f>VLOOKUP(Tabela2[[#This Row],[Coluna7]],[1]!Tabela1[#All],2,0)</f>
        <v>#REF!</v>
      </c>
      <c r="J684" t="s">
        <v>17</v>
      </c>
      <c r="L684">
        <v>1500</v>
      </c>
      <c r="Q684" s="10" t="str">
        <f>Tabela2[[#This Row],[Coluna5]]</f>
        <v>11/2025</v>
      </c>
      <c r="R684" s="10" t="str">
        <f>IF(Tabela2[[#This Row],[Coluna9]]&gt;0,"Entrada","Saída")</f>
        <v>Saída</v>
      </c>
      <c r="S684" s="10" t="str">
        <f>Tabela2[[#This Row],[Coluna8]]</f>
        <v>TRANSFERÊNCIA PARA EFÍ - THIAGO URQUIZA ADVOGADOS</v>
      </c>
      <c r="T684" s="10" t="e">
        <f>Tabela2[[#This Row],[Coluna72]]</f>
        <v>#REF!</v>
      </c>
      <c r="U684" s="10">
        <f>SUM(Tabela2[[#This Row],[Coluna9]],Tabela2[[#This Row],[Coluna10]])</f>
        <v>1500</v>
      </c>
      <c r="V684" s="2" t="str">
        <f>Tabela2[[#This Row],[Coluna4]]</f>
        <v>19/11/2025</v>
      </c>
      <c r="W684" s="2" t="str">
        <f>Tabela2[[#This Row],[Coluna6]]</f>
        <v>19/11/2025</v>
      </c>
    </row>
    <row r="685" spans="2:23" hidden="1" x14ac:dyDescent="0.2">
      <c r="B685" t="s">
        <v>18</v>
      </c>
      <c r="D685" t="s">
        <v>19</v>
      </c>
      <c r="E685" s="8" t="s">
        <v>59</v>
      </c>
      <c r="F685" t="s">
        <v>42</v>
      </c>
      <c r="G685" s="8" t="s">
        <v>59</v>
      </c>
      <c r="H685" t="s">
        <v>16</v>
      </c>
      <c r="I685" t="e">
        <f>VLOOKUP(Tabela2[[#This Row],[Coluna7]],[1]!Tabela1[#All],2,0)</f>
        <v>#REF!</v>
      </c>
      <c r="J685" t="s">
        <v>20</v>
      </c>
      <c r="K685">
        <v>1500</v>
      </c>
      <c r="Q685" s="10" t="str">
        <f>Tabela2[[#This Row],[Coluna5]]</f>
        <v>11/2025</v>
      </c>
      <c r="R685" s="10" t="str">
        <f>IF(Tabela2[[#This Row],[Coluna9]]&gt;0,"Entrada","Saída")</f>
        <v>Entrada</v>
      </c>
      <c r="S685" s="10" t="str">
        <f>Tabela2[[#This Row],[Coluna8]]</f>
        <v>TRANSFERÊNCIA DE CAIXA</v>
      </c>
      <c r="T685" s="10" t="e">
        <f>Tabela2[[#This Row],[Coluna72]]</f>
        <v>#REF!</v>
      </c>
      <c r="U685" s="10">
        <f>SUM(Tabela2[[#This Row],[Coluna9]],Tabela2[[#This Row],[Coluna10]])</f>
        <v>1500</v>
      </c>
      <c r="V685" s="2" t="str">
        <f>Tabela2[[#This Row],[Coluna4]]</f>
        <v>19/11/2025</v>
      </c>
      <c r="W685" s="2" t="str">
        <f>Tabela2[[#This Row],[Coluna6]]</f>
        <v>19/11/2025</v>
      </c>
    </row>
    <row r="686" spans="2:23" hidden="1" x14ac:dyDescent="0.2">
      <c r="B686" t="s">
        <v>18</v>
      </c>
      <c r="D686" t="s">
        <v>13</v>
      </c>
      <c r="E686" s="8" t="s">
        <v>60</v>
      </c>
      <c r="F686" t="s">
        <v>42</v>
      </c>
      <c r="G686" s="8" t="s">
        <v>56</v>
      </c>
      <c r="H686" t="s">
        <v>22</v>
      </c>
      <c r="I686" t="e">
        <f>VLOOKUP(Tabela2[[#This Row],[Coluna7]],[1]!Tabela1[#All],2,0)</f>
        <v>#REF!</v>
      </c>
      <c r="J686" t="s">
        <v>36</v>
      </c>
      <c r="L686">
        <v>544.66999999999996</v>
      </c>
      <c r="Q686" s="10" t="str">
        <f>Tabela2[[#This Row],[Coluna5]]</f>
        <v>11/2025</v>
      </c>
      <c r="R686" s="10" t="str">
        <f>IF(Tabela2[[#This Row],[Coluna9]]&gt;0,"Entrada","Saída")</f>
        <v>Saída</v>
      </c>
      <c r="S686" s="10" t="str">
        <f>Tabela2[[#This Row],[Coluna8]]</f>
        <v>PAGAMENTO DE FATURA - CARREFOUR</v>
      </c>
      <c r="T686" s="10" t="e">
        <f>Tabela2[[#This Row],[Coluna72]]</f>
        <v>#REF!</v>
      </c>
      <c r="U686" s="10">
        <f>SUM(Tabela2[[#This Row],[Coluna9]],Tabela2[[#This Row],[Coluna10]])</f>
        <v>544.66999999999996</v>
      </c>
      <c r="V686" s="2" t="str">
        <f>Tabela2[[#This Row],[Coluna4]]</f>
        <v>20/11/2025</v>
      </c>
      <c r="W686" s="2" t="str">
        <f>Tabela2[[#This Row],[Coluna6]]</f>
        <v>17/11/2025</v>
      </c>
    </row>
    <row r="687" spans="2:23" hidden="1" x14ac:dyDescent="0.2">
      <c r="B687" t="s">
        <v>12</v>
      </c>
      <c r="D687" t="s">
        <v>13</v>
      </c>
      <c r="E687" s="8" t="s">
        <v>61</v>
      </c>
      <c r="F687" t="s">
        <v>42</v>
      </c>
      <c r="G687" s="8" t="s">
        <v>61</v>
      </c>
      <c r="H687" t="s">
        <v>16</v>
      </c>
      <c r="I687" t="e">
        <f>VLOOKUP(Tabela2[[#This Row],[Coluna7]],[1]!Tabela1[#All],2,0)</f>
        <v>#REF!</v>
      </c>
      <c r="J687" t="s">
        <v>17</v>
      </c>
      <c r="L687">
        <v>240</v>
      </c>
      <c r="Q687" s="10" t="str">
        <f>Tabela2[[#This Row],[Coluna5]]</f>
        <v>11/2025</v>
      </c>
      <c r="R687" s="10" t="str">
        <f>IF(Tabela2[[#This Row],[Coluna9]]&gt;0,"Entrada","Saída")</f>
        <v>Saída</v>
      </c>
      <c r="S687" s="10" t="str">
        <f>Tabela2[[#This Row],[Coluna8]]</f>
        <v>TRANSFERÊNCIA PARA EFÍ - THIAGO URQUIZA ADVOGADOS</v>
      </c>
      <c r="T687" s="10" t="e">
        <f>Tabela2[[#This Row],[Coluna72]]</f>
        <v>#REF!</v>
      </c>
      <c r="U687" s="10">
        <f>SUM(Tabela2[[#This Row],[Coluna9]],Tabela2[[#This Row],[Coluna10]])</f>
        <v>240</v>
      </c>
      <c r="V687" s="2" t="str">
        <f>Tabela2[[#This Row],[Coluna4]]</f>
        <v>22/11/2025</v>
      </c>
      <c r="W687" s="2" t="str">
        <f>Tabela2[[#This Row],[Coluna6]]</f>
        <v>22/11/2025</v>
      </c>
    </row>
    <row r="688" spans="2:23" hidden="1" x14ac:dyDescent="0.2">
      <c r="B688" t="s">
        <v>18</v>
      </c>
      <c r="D688" t="s">
        <v>19</v>
      </c>
      <c r="E688" s="8" t="s">
        <v>61</v>
      </c>
      <c r="F688" t="s">
        <v>42</v>
      </c>
      <c r="G688" s="8" t="s">
        <v>61</v>
      </c>
      <c r="H688" t="s">
        <v>16</v>
      </c>
      <c r="I688" t="e">
        <f>VLOOKUP(Tabela2[[#This Row],[Coluna7]],[1]!Tabela1[#All],2,0)</f>
        <v>#REF!</v>
      </c>
      <c r="J688" t="s">
        <v>20</v>
      </c>
      <c r="K688">
        <v>240</v>
      </c>
      <c r="Q688" s="10" t="str">
        <f>Tabela2[[#This Row],[Coluna5]]</f>
        <v>11/2025</v>
      </c>
      <c r="R688" s="10" t="str">
        <f>IF(Tabela2[[#This Row],[Coluna9]]&gt;0,"Entrada","Saída")</f>
        <v>Entrada</v>
      </c>
      <c r="S688" s="10" t="str">
        <f>Tabela2[[#This Row],[Coluna8]]</f>
        <v>TRANSFERÊNCIA DE CAIXA</v>
      </c>
      <c r="T688" s="10" t="e">
        <f>Tabela2[[#This Row],[Coluna72]]</f>
        <v>#REF!</v>
      </c>
      <c r="U688" s="10">
        <f>SUM(Tabela2[[#This Row],[Coluna9]],Tabela2[[#This Row],[Coluna10]])</f>
        <v>240</v>
      </c>
      <c r="V688" s="2" t="str">
        <f>Tabela2[[#This Row],[Coluna4]]</f>
        <v>22/11/2025</v>
      </c>
      <c r="W688" s="2" t="str">
        <f>Tabela2[[#This Row],[Coluna6]]</f>
        <v>22/11/2025</v>
      </c>
    </row>
    <row r="689" spans="2:23" hidden="1" x14ac:dyDescent="0.2">
      <c r="B689" t="s">
        <v>27</v>
      </c>
      <c r="D689" t="s">
        <v>13</v>
      </c>
      <c r="E689" s="8" t="s">
        <v>62</v>
      </c>
      <c r="F689" t="s">
        <v>42</v>
      </c>
      <c r="G689" s="8" t="s">
        <v>62</v>
      </c>
      <c r="H689" t="s">
        <v>16</v>
      </c>
      <c r="I689" t="e">
        <f>VLOOKUP(Tabela2[[#This Row],[Coluna7]],[1]!Tabela1[#All],2,0)</f>
        <v>#REF!</v>
      </c>
      <c r="J689" t="s">
        <v>17</v>
      </c>
      <c r="L689">
        <v>4800</v>
      </c>
      <c r="Q689" s="10" t="str">
        <f>Tabela2[[#This Row],[Coluna5]]</f>
        <v>11/2025</v>
      </c>
      <c r="R689" s="10" t="str">
        <f>IF(Tabela2[[#This Row],[Coluna9]]&gt;0,"Entrada","Saída")</f>
        <v>Saída</v>
      </c>
      <c r="S689" s="10" t="str">
        <f>Tabela2[[#This Row],[Coluna8]]</f>
        <v>TRANSFERÊNCIA PARA EFÍ - THIAGO URQUIZA ADVOGADOS</v>
      </c>
      <c r="T689" s="10" t="e">
        <f>Tabela2[[#This Row],[Coluna72]]</f>
        <v>#REF!</v>
      </c>
      <c r="U689" s="10">
        <f>SUM(Tabela2[[#This Row],[Coluna9]],Tabela2[[#This Row],[Coluna10]])</f>
        <v>4800</v>
      </c>
      <c r="V689" s="2" t="str">
        <f>Tabela2[[#This Row],[Coluna4]]</f>
        <v>24/11/2025</v>
      </c>
      <c r="W689" s="2" t="str">
        <f>Tabela2[[#This Row],[Coluna6]]</f>
        <v>24/11/2025</v>
      </c>
    </row>
    <row r="690" spans="2:23" hidden="1" x14ac:dyDescent="0.2">
      <c r="B690" t="s">
        <v>18</v>
      </c>
      <c r="D690" t="s">
        <v>19</v>
      </c>
      <c r="E690" s="8" t="s">
        <v>62</v>
      </c>
      <c r="F690" t="s">
        <v>42</v>
      </c>
      <c r="G690" s="8" t="s">
        <v>62</v>
      </c>
      <c r="H690" t="s">
        <v>16</v>
      </c>
      <c r="I690" t="e">
        <f>VLOOKUP(Tabela2[[#This Row],[Coluna7]],[1]!Tabela1[#All],2,0)</f>
        <v>#REF!</v>
      </c>
      <c r="J690" t="s">
        <v>32</v>
      </c>
      <c r="K690">
        <v>4800</v>
      </c>
      <c r="Q690" s="10" t="str">
        <f>Tabela2[[#This Row],[Coluna5]]</f>
        <v>11/2025</v>
      </c>
      <c r="R690" s="10" t="str">
        <f>IF(Tabela2[[#This Row],[Coluna9]]&gt;0,"Entrada","Saída")</f>
        <v>Entrada</v>
      </c>
      <c r="S690" s="10" t="str">
        <f>Tabela2[[#This Row],[Coluna8]]</f>
        <v>TRANSFERÊNCIA DE BRADESCO</v>
      </c>
      <c r="T690" s="10" t="e">
        <f>Tabela2[[#This Row],[Coluna72]]</f>
        <v>#REF!</v>
      </c>
      <c r="U690" s="10">
        <f>SUM(Tabela2[[#This Row],[Coluna9]],Tabela2[[#This Row],[Coluna10]])</f>
        <v>4800</v>
      </c>
      <c r="V690" s="2" t="str">
        <f>Tabela2[[#This Row],[Coluna4]]</f>
        <v>24/11/2025</v>
      </c>
      <c r="W690" s="2" t="str">
        <f>Tabela2[[#This Row],[Coluna6]]</f>
        <v>24/11/2025</v>
      </c>
    </row>
    <row r="691" spans="2:23" hidden="1" x14ac:dyDescent="0.2">
      <c r="B691" t="s">
        <v>27</v>
      </c>
      <c r="D691" t="s">
        <v>13</v>
      </c>
      <c r="E691" s="8" t="s">
        <v>63</v>
      </c>
      <c r="F691" t="s">
        <v>64</v>
      </c>
      <c r="G691" s="8" t="s">
        <v>63</v>
      </c>
      <c r="H691" t="s">
        <v>16</v>
      </c>
      <c r="I691" t="e">
        <f>VLOOKUP(Tabela2[[#This Row],[Coluna7]],[1]!Tabela1[#All],2,0)</f>
        <v>#REF!</v>
      </c>
      <c r="J691" t="s">
        <v>17</v>
      </c>
      <c r="L691">
        <v>6000</v>
      </c>
      <c r="Q691" s="10" t="str">
        <f>Tabela2[[#This Row],[Coluna5]]</f>
        <v>12/2025</v>
      </c>
      <c r="R691" s="10" t="str">
        <f>IF(Tabela2[[#This Row],[Coluna9]]&gt;0,"Entrada","Saída")</f>
        <v>Saída</v>
      </c>
      <c r="S691" s="10" t="str">
        <f>Tabela2[[#This Row],[Coluna8]]</f>
        <v>TRANSFERÊNCIA PARA EFÍ - THIAGO URQUIZA ADVOGADOS</v>
      </c>
      <c r="T691" s="10" t="e">
        <f>Tabela2[[#This Row],[Coluna72]]</f>
        <v>#REF!</v>
      </c>
      <c r="U691" s="10">
        <f>SUM(Tabela2[[#This Row],[Coluna9]],Tabela2[[#This Row],[Coluna10]])</f>
        <v>6000</v>
      </c>
      <c r="V691" s="2" t="str">
        <f>Tabela2[[#This Row],[Coluna4]]</f>
        <v>01/12/2025</v>
      </c>
      <c r="W691" s="2" t="str">
        <f>Tabela2[[#This Row],[Coluna6]]</f>
        <v>01/12/2025</v>
      </c>
    </row>
    <row r="692" spans="2:23" hidden="1" x14ac:dyDescent="0.2">
      <c r="B692" t="s">
        <v>18</v>
      </c>
      <c r="D692" t="s">
        <v>19</v>
      </c>
      <c r="E692" s="8" t="s">
        <v>63</v>
      </c>
      <c r="F692" t="s">
        <v>64</v>
      </c>
      <c r="G692" s="8" t="s">
        <v>63</v>
      </c>
      <c r="H692" t="s">
        <v>16</v>
      </c>
      <c r="I692" t="e">
        <f>VLOOKUP(Tabela2[[#This Row],[Coluna7]],[1]!Tabela1[#All],2,0)</f>
        <v>#REF!</v>
      </c>
      <c r="J692" t="s">
        <v>32</v>
      </c>
      <c r="K692">
        <v>6000</v>
      </c>
      <c r="Q692" s="10" t="str">
        <f>Tabela2[[#This Row],[Coluna5]]</f>
        <v>12/2025</v>
      </c>
      <c r="R692" s="10" t="str">
        <f>IF(Tabela2[[#This Row],[Coluna9]]&gt;0,"Entrada","Saída")</f>
        <v>Entrada</v>
      </c>
      <c r="S692" s="10" t="str">
        <f>Tabela2[[#This Row],[Coluna8]]</f>
        <v>TRANSFERÊNCIA DE BRADESCO</v>
      </c>
      <c r="T692" s="10" t="e">
        <f>Tabela2[[#This Row],[Coluna72]]</f>
        <v>#REF!</v>
      </c>
      <c r="U692" s="10">
        <f>SUM(Tabela2[[#This Row],[Coluna9]],Tabela2[[#This Row],[Coluna10]])</f>
        <v>6000</v>
      </c>
      <c r="V692" s="2" t="str">
        <f>Tabela2[[#This Row],[Coluna4]]</f>
        <v>01/12/2025</v>
      </c>
      <c r="W692" s="2" t="str">
        <f>Tabela2[[#This Row],[Coluna6]]</f>
        <v>01/12/2025</v>
      </c>
    </row>
    <row r="693" spans="2:23" hidden="1" x14ac:dyDescent="0.2">
      <c r="B693" t="s">
        <v>27</v>
      </c>
      <c r="D693" t="s">
        <v>13</v>
      </c>
      <c r="E693" s="8" t="s">
        <v>65</v>
      </c>
      <c r="F693" t="s">
        <v>64</v>
      </c>
      <c r="G693" s="8" t="s">
        <v>65</v>
      </c>
      <c r="H693" t="s">
        <v>16</v>
      </c>
      <c r="I693" t="e">
        <f>VLOOKUP(Tabela2[[#This Row],[Coluna7]],[1]!Tabela1[#All],2,0)</f>
        <v>#REF!</v>
      </c>
      <c r="J693" t="s">
        <v>17</v>
      </c>
      <c r="L693">
        <v>10000</v>
      </c>
      <c r="Q693" s="10" t="str">
        <f>Tabela2[[#This Row],[Coluna5]]</f>
        <v>12/2025</v>
      </c>
      <c r="R693" s="10" t="str">
        <f>IF(Tabela2[[#This Row],[Coluna9]]&gt;0,"Entrada","Saída")</f>
        <v>Saída</v>
      </c>
      <c r="S693" s="10" t="str">
        <f>Tabela2[[#This Row],[Coluna8]]</f>
        <v>TRANSFERÊNCIA PARA EFÍ - THIAGO URQUIZA ADVOGADOS</v>
      </c>
      <c r="T693" s="10" t="e">
        <f>Tabela2[[#This Row],[Coluna72]]</f>
        <v>#REF!</v>
      </c>
      <c r="U693" s="10">
        <f>SUM(Tabela2[[#This Row],[Coluna9]],Tabela2[[#This Row],[Coluna10]])</f>
        <v>10000</v>
      </c>
      <c r="V693" s="2" t="str">
        <f>Tabela2[[#This Row],[Coluna4]]</f>
        <v>03/12/2025</v>
      </c>
      <c r="W693" s="2" t="str">
        <f>Tabela2[[#This Row],[Coluna6]]</f>
        <v>03/12/2025</v>
      </c>
    </row>
    <row r="694" spans="2:23" hidden="1" x14ac:dyDescent="0.2">
      <c r="B694" t="s">
        <v>18</v>
      </c>
      <c r="D694" t="s">
        <v>19</v>
      </c>
      <c r="E694" s="8" t="s">
        <v>65</v>
      </c>
      <c r="F694" t="s">
        <v>64</v>
      </c>
      <c r="G694" s="8" t="s">
        <v>65</v>
      </c>
      <c r="H694" t="s">
        <v>16</v>
      </c>
      <c r="I694" t="e">
        <f>VLOOKUP(Tabela2[[#This Row],[Coluna7]],[1]!Tabela1[#All],2,0)</f>
        <v>#REF!</v>
      </c>
      <c r="J694" t="s">
        <v>32</v>
      </c>
      <c r="K694">
        <v>10000</v>
      </c>
      <c r="Q694" s="10" t="str">
        <f>Tabela2[[#This Row],[Coluna5]]</f>
        <v>12/2025</v>
      </c>
      <c r="R694" s="10" t="str">
        <f>IF(Tabela2[[#This Row],[Coluna9]]&gt;0,"Entrada","Saída")</f>
        <v>Entrada</v>
      </c>
      <c r="S694" s="10" t="str">
        <f>Tabela2[[#This Row],[Coluna8]]</f>
        <v>TRANSFERÊNCIA DE BRADESCO</v>
      </c>
      <c r="T694" s="10" t="e">
        <f>Tabela2[[#This Row],[Coluna72]]</f>
        <v>#REF!</v>
      </c>
      <c r="U694" s="10">
        <f>SUM(Tabela2[[#This Row],[Coluna9]],Tabela2[[#This Row],[Coluna10]])</f>
        <v>10000</v>
      </c>
      <c r="V694" s="2" t="str">
        <f>Tabela2[[#This Row],[Coluna4]]</f>
        <v>03/12/2025</v>
      </c>
      <c r="W694" s="2" t="str">
        <f>Tabela2[[#This Row],[Coluna6]]</f>
        <v>03/12/2025</v>
      </c>
    </row>
    <row r="695" spans="2:23" hidden="1" x14ac:dyDescent="0.2">
      <c r="B695" t="s">
        <v>12</v>
      </c>
      <c r="D695" t="s">
        <v>13</v>
      </c>
      <c r="E695" s="8" t="s">
        <v>66</v>
      </c>
      <c r="F695" t="s">
        <v>64</v>
      </c>
      <c r="G695" s="8" t="s">
        <v>66</v>
      </c>
      <c r="H695" t="s">
        <v>16</v>
      </c>
      <c r="I695" t="e">
        <f>VLOOKUP(Tabela2[[#This Row],[Coluna7]],[1]!Tabela1[#All],2,0)</f>
        <v>#REF!</v>
      </c>
      <c r="J695" t="s">
        <v>17</v>
      </c>
      <c r="L695">
        <v>2000</v>
      </c>
      <c r="Q695" s="10" t="str">
        <f>Tabela2[[#This Row],[Coluna5]]</f>
        <v>12/2025</v>
      </c>
      <c r="R695" s="10" t="str">
        <f>IF(Tabela2[[#This Row],[Coluna9]]&gt;0,"Entrada","Saída")</f>
        <v>Saída</v>
      </c>
      <c r="S695" s="10" t="str">
        <f>Tabela2[[#This Row],[Coluna8]]</f>
        <v>TRANSFERÊNCIA PARA EFÍ - THIAGO URQUIZA ADVOGADOS</v>
      </c>
      <c r="T695" s="10" t="e">
        <f>Tabela2[[#This Row],[Coluna72]]</f>
        <v>#REF!</v>
      </c>
      <c r="U695" s="10">
        <f>SUM(Tabela2[[#This Row],[Coluna9]],Tabela2[[#This Row],[Coluna10]])</f>
        <v>2000</v>
      </c>
      <c r="V695" s="2" t="str">
        <f>Tabela2[[#This Row],[Coluna4]]</f>
        <v>04/12/2025</v>
      </c>
      <c r="W695" s="2" t="str">
        <f>Tabela2[[#This Row],[Coluna6]]</f>
        <v>04/12/2025</v>
      </c>
    </row>
    <row r="696" spans="2:23" hidden="1" x14ac:dyDescent="0.2">
      <c r="B696" t="s">
        <v>18</v>
      </c>
      <c r="D696" t="s">
        <v>19</v>
      </c>
      <c r="E696" s="8" t="s">
        <v>66</v>
      </c>
      <c r="F696" t="s">
        <v>64</v>
      </c>
      <c r="G696" s="8" t="s">
        <v>66</v>
      </c>
      <c r="H696" t="s">
        <v>16</v>
      </c>
      <c r="I696" t="e">
        <f>VLOOKUP(Tabela2[[#This Row],[Coluna7]],[1]!Tabela1[#All],2,0)</f>
        <v>#REF!</v>
      </c>
      <c r="J696" t="s">
        <v>20</v>
      </c>
      <c r="K696">
        <v>2000</v>
      </c>
      <c r="Q696" s="10" t="str">
        <f>Tabela2[[#This Row],[Coluna5]]</f>
        <v>12/2025</v>
      </c>
      <c r="R696" s="10" t="str">
        <f>IF(Tabela2[[#This Row],[Coluna9]]&gt;0,"Entrada","Saída")</f>
        <v>Entrada</v>
      </c>
      <c r="S696" s="10" t="str">
        <f>Tabela2[[#This Row],[Coluna8]]</f>
        <v>TRANSFERÊNCIA DE CAIXA</v>
      </c>
      <c r="T696" s="10" t="e">
        <f>Tabela2[[#This Row],[Coluna72]]</f>
        <v>#REF!</v>
      </c>
      <c r="U696" s="10">
        <f>SUM(Tabela2[[#This Row],[Coluna9]],Tabela2[[#This Row],[Coluna10]])</f>
        <v>2000</v>
      </c>
      <c r="V696" s="2" t="str">
        <f>Tabela2[[#This Row],[Coluna4]]</f>
        <v>04/12/2025</v>
      </c>
      <c r="W696" s="2" t="str">
        <f>Tabela2[[#This Row],[Coluna6]]</f>
        <v>04/12/2025</v>
      </c>
    </row>
    <row r="697" spans="2:23" hidden="1" x14ac:dyDescent="0.2">
      <c r="B697" t="s">
        <v>18</v>
      </c>
      <c r="D697" t="s">
        <v>13</v>
      </c>
      <c r="E697" s="8" t="s">
        <v>67</v>
      </c>
      <c r="F697" t="s">
        <v>64</v>
      </c>
      <c r="G697" s="8" t="s">
        <v>66</v>
      </c>
      <c r="H697" t="s">
        <v>22</v>
      </c>
      <c r="I697" t="e">
        <f>VLOOKUP(Tabela2[[#This Row],[Coluna7]],[1]!Tabela1[#All],2,0)</f>
        <v>#REF!</v>
      </c>
      <c r="J697" t="s">
        <v>23</v>
      </c>
      <c r="L697">
        <v>190.88</v>
      </c>
      <c r="Q697" s="10" t="str">
        <f>Tabela2[[#This Row],[Coluna5]]</f>
        <v>12/2025</v>
      </c>
      <c r="R697" s="10" t="str">
        <f>IF(Tabela2[[#This Row],[Coluna9]]&gt;0,"Entrada","Saída")</f>
        <v>Saída</v>
      </c>
      <c r="S697" s="10" t="str">
        <f>Tabela2[[#This Row],[Coluna8]]</f>
        <v>PAGAMENTO DE FATURA - INTER</v>
      </c>
      <c r="T697" s="10" t="e">
        <f>Tabela2[[#This Row],[Coluna72]]</f>
        <v>#REF!</v>
      </c>
      <c r="U697" s="10">
        <f>SUM(Tabela2[[#This Row],[Coluna9]],Tabela2[[#This Row],[Coluna10]])</f>
        <v>190.88</v>
      </c>
      <c r="V697" s="2" t="str">
        <f>Tabela2[[#This Row],[Coluna4]]</f>
        <v>06/12/2025</v>
      </c>
      <c r="W697" s="2" t="str">
        <f>Tabela2[[#This Row],[Coluna6]]</f>
        <v>04/12/2025</v>
      </c>
    </row>
    <row r="698" spans="2:23" hidden="1" x14ac:dyDescent="0.2">
      <c r="B698" t="s">
        <v>27</v>
      </c>
      <c r="D698" t="s">
        <v>13</v>
      </c>
      <c r="E698" s="8" t="s">
        <v>68</v>
      </c>
      <c r="F698" t="s">
        <v>64</v>
      </c>
      <c r="G698" s="8" t="s">
        <v>66</v>
      </c>
      <c r="H698" t="s">
        <v>22</v>
      </c>
      <c r="I698" t="e">
        <f>VLOOKUP(Tabela2[[#This Row],[Coluna7]],[1]!Tabela1[#All],2,0)</f>
        <v>#REF!</v>
      </c>
      <c r="J698" t="s">
        <v>25</v>
      </c>
      <c r="L698">
        <v>1477.72</v>
      </c>
      <c r="Q698" s="10" t="str">
        <f>Tabela2[[#This Row],[Coluna5]]</f>
        <v>12/2025</v>
      </c>
      <c r="R698" s="10" t="str">
        <f>IF(Tabela2[[#This Row],[Coluna9]]&gt;0,"Entrada","Saída")</f>
        <v>Saída</v>
      </c>
      <c r="S698" s="10" t="str">
        <f>Tabela2[[#This Row],[Coluna8]]</f>
        <v>PAGAMENTO DE FATURA - NUBANK PK</v>
      </c>
      <c r="T698" s="10" t="e">
        <f>Tabela2[[#This Row],[Coluna72]]</f>
        <v>#REF!</v>
      </c>
      <c r="U698" s="10">
        <f>SUM(Tabela2[[#This Row],[Coluna9]],Tabela2[[#This Row],[Coluna10]])</f>
        <v>1477.72</v>
      </c>
      <c r="V698" s="2" t="str">
        <f>Tabela2[[#This Row],[Coluna4]]</f>
        <v>08/12/2025</v>
      </c>
      <c r="W698" s="2" t="str">
        <f>Tabela2[[#This Row],[Coluna6]]</f>
        <v>04/12/2025</v>
      </c>
    </row>
    <row r="699" spans="2:23" hidden="1" x14ac:dyDescent="0.2">
      <c r="B699" t="s">
        <v>18</v>
      </c>
      <c r="D699" t="s">
        <v>13</v>
      </c>
      <c r="E699" s="8" t="s">
        <v>68</v>
      </c>
      <c r="F699" t="s">
        <v>64</v>
      </c>
      <c r="G699" s="8" t="s">
        <v>65</v>
      </c>
      <c r="H699" t="s">
        <v>22</v>
      </c>
      <c r="I699" t="e">
        <f>VLOOKUP(Tabela2[[#This Row],[Coluna7]],[1]!Tabela1[#All],2,0)</f>
        <v>#REF!</v>
      </c>
      <c r="J699" t="s">
        <v>26</v>
      </c>
      <c r="L699">
        <v>4700.17</v>
      </c>
      <c r="Q699" s="10" t="str">
        <f>Tabela2[[#This Row],[Coluna5]]</f>
        <v>12/2025</v>
      </c>
      <c r="R699" s="10" t="str">
        <f>IF(Tabela2[[#This Row],[Coluna9]]&gt;0,"Entrada","Saída")</f>
        <v>Saída</v>
      </c>
      <c r="S699" s="10" t="str">
        <f>Tabela2[[#This Row],[Coluna8]]</f>
        <v>PAGAMENTO DE FATURA - SANTANDER</v>
      </c>
      <c r="T699" s="10" t="e">
        <f>Tabela2[[#This Row],[Coluna72]]</f>
        <v>#REF!</v>
      </c>
      <c r="U699" s="10">
        <f>SUM(Tabela2[[#This Row],[Coluna9]],Tabela2[[#This Row],[Coluna10]])</f>
        <v>4700.17</v>
      </c>
      <c r="V699" s="2" t="str">
        <f>Tabela2[[#This Row],[Coluna4]]</f>
        <v>08/12/2025</v>
      </c>
      <c r="W699" s="2" t="str">
        <f>Tabela2[[#This Row],[Coluna6]]</f>
        <v>03/12/2025</v>
      </c>
    </row>
    <row r="700" spans="2:23" hidden="1" x14ac:dyDescent="0.2">
      <c r="B700" t="s">
        <v>58</v>
      </c>
      <c r="D700" t="s">
        <v>13</v>
      </c>
      <c r="E700" s="8" t="s">
        <v>69</v>
      </c>
      <c r="F700" t="s">
        <v>64</v>
      </c>
      <c r="G700" s="8" t="s">
        <v>69</v>
      </c>
      <c r="H700" t="s">
        <v>16</v>
      </c>
      <c r="I700" t="e">
        <f>VLOOKUP(Tabela2[[#This Row],[Coluna7]],[1]!Tabela1[#All],2,0)</f>
        <v>#REF!</v>
      </c>
      <c r="J700" t="s">
        <v>70</v>
      </c>
      <c r="L700">
        <v>5673</v>
      </c>
      <c r="Q700" s="10" t="str">
        <f>Tabela2[[#This Row],[Coluna5]]</f>
        <v>12/2025</v>
      </c>
      <c r="R700" s="10" t="str">
        <f>IF(Tabela2[[#This Row],[Coluna9]]&gt;0,"Entrada","Saída")</f>
        <v>Saída</v>
      </c>
      <c r="S700" s="10" t="str">
        <f>Tabela2[[#This Row],[Coluna8]]</f>
        <v>TRANSFERÊNCIA PARA DINHEIRO</v>
      </c>
      <c r="T700" s="10" t="e">
        <f>Tabela2[[#This Row],[Coluna72]]</f>
        <v>#REF!</v>
      </c>
      <c r="U700" s="10">
        <f>SUM(Tabela2[[#This Row],[Coluna9]],Tabela2[[#This Row],[Coluna10]])</f>
        <v>5673</v>
      </c>
      <c r="V700" s="2" t="str">
        <f>Tabela2[[#This Row],[Coluna4]]</f>
        <v>10/12/2025</v>
      </c>
      <c r="W700" s="2" t="str">
        <f>Tabela2[[#This Row],[Coluna6]]</f>
        <v>10/12/2025</v>
      </c>
    </row>
    <row r="701" spans="2:23" hidden="1" x14ac:dyDescent="0.2">
      <c r="B701" t="s">
        <v>71</v>
      </c>
      <c r="D701" t="s">
        <v>19</v>
      </c>
      <c r="E701" s="8" t="s">
        <v>69</v>
      </c>
      <c r="F701" t="s">
        <v>64</v>
      </c>
      <c r="G701" s="8" t="s">
        <v>69</v>
      </c>
      <c r="H701" t="s">
        <v>16</v>
      </c>
      <c r="I701" t="e">
        <f>VLOOKUP(Tabela2[[#This Row],[Coluna7]],[1]!Tabela1[#All],2,0)</f>
        <v>#REF!</v>
      </c>
      <c r="J701" t="s">
        <v>72</v>
      </c>
      <c r="K701">
        <v>5673</v>
      </c>
      <c r="Q701" s="10" t="str">
        <f>Tabela2[[#This Row],[Coluna5]]</f>
        <v>12/2025</v>
      </c>
      <c r="R701" s="10" t="str">
        <f>IF(Tabela2[[#This Row],[Coluna9]]&gt;0,"Entrada","Saída")</f>
        <v>Entrada</v>
      </c>
      <c r="S701" s="10" t="str">
        <f>Tabela2[[#This Row],[Coluna8]]</f>
        <v>TRANSFERÊNCIA DE COFRE</v>
      </c>
      <c r="T701" s="10" t="e">
        <f>Tabela2[[#This Row],[Coluna72]]</f>
        <v>#REF!</v>
      </c>
      <c r="U701" s="10">
        <f>SUM(Tabela2[[#This Row],[Coluna9]],Tabela2[[#This Row],[Coluna10]])</f>
        <v>5673</v>
      </c>
      <c r="V701" s="2" t="str">
        <f>Tabela2[[#This Row],[Coluna4]]</f>
        <v>10/12/2025</v>
      </c>
      <c r="W701" s="2" t="str">
        <f>Tabela2[[#This Row],[Coluna6]]</f>
        <v>10/12/2025</v>
      </c>
    </row>
    <row r="702" spans="2:23" hidden="1" x14ac:dyDescent="0.2">
      <c r="B702" t="s">
        <v>27</v>
      </c>
      <c r="D702" t="s">
        <v>13</v>
      </c>
      <c r="E702" s="8" t="s">
        <v>73</v>
      </c>
      <c r="F702" t="s">
        <v>64</v>
      </c>
      <c r="G702" s="8" t="s">
        <v>73</v>
      </c>
      <c r="H702" t="s">
        <v>16</v>
      </c>
      <c r="I702" t="e">
        <f>VLOOKUP(Tabela2[[#This Row],[Coluna7]],[1]!Tabela1[#All],2,0)</f>
        <v>#REF!</v>
      </c>
      <c r="J702" t="s">
        <v>17</v>
      </c>
      <c r="L702">
        <v>6000</v>
      </c>
      <c r="Q702" s="10" t="str">
        <f>Tabela2[[#This Row],[Coluna5]]</f>
        <v>12/2025</v>
      </c>
      <c r="R702" s="10" t="str">
        <f>IF(Tabela2[[#This Row],[Coluna9]]&gt;0,"Entrada","Saída")</f>
        <v>Saída</v>
      </c>
      <c r="S702" s="10" t="str">
        <f>Tabela2[[#This Row],[Coluna8]]</f>
        <v>TRANSFERÊNCIA PARA EFÍ - THIAGO URQUIZA ADVOGADOS</v>
      </c>
      <c r="T702" s="10" t="e">
        <f>Tabela2[[#This Row],[Coluna72]]</f>
        <v>#REF!</v>
      </c>
      <c r="U702" s="10">
        <f>SUM(Tabela2[[#This Row],[Coluna9]],Tabela2[[#This Row],[Coluna10]])</f>
        <v>6000</v>
      </c>
      <c r="V702" s="2" t="str">
        <f>Tabela2[[#This Row],[Coluna4]]</f>
        <v>11/12/2025</v>
      </c>
      <c r="W702" s="2" t="str">
        <f>Tabela2[[#This Row],[Coluna6]]</f>
        <v>11/12/2025</v>
      </c>
    </row>
    <row r="703" spans="2:23" hidden="1" x14ac:dyDescent="0.2">
      <c r="B703" t="s">
        <v>18</v>
      </c>
      <c r="D703" t="s">
        <v>19</v>
      </c>
      <c r="E703" s="8" t="s">
        <v>73</v>
      </c>
      <c r="F703" t="s">
        <v>64</v>
      </c>
      <c r="G703" s="8" t="s">
        <v>73</v>
      </c>
      <c r="H703" t="s">
        <v>16</v>
      </c>
      <c r="I703" t="e">
        <f>VLOOKUP(Tabela2[[#This Row],[Coluna7]],[1]!Tabela1[#All],2,0)</f>
        <v>#REF!</v>
      </c>
      <c r="J703" t="s">
        <v>32</v>
      </c>
      <c r="K703">
        <v>6000</v>
      </c>
      <c r="Q703" s="10" t="str">
        <f>Tabela2[[#This Row],[Coluna5]]</f>
        <v>12/2025</v>
      </c>
      <c r="R703" s="10" t="str">
        <f>IF(Tabela2[[#This Row],[Coluna9]]&gt;0,"Entrada","Saída")</f>
        <v>Entrada</v>
      </c>
      <c r="S703" s="10" t="str">
        <f>Tabela2[[#This Row],[Coluna8]]</f>
        <v>TRANSFERÊNCIA DE BRADESCO</v>
      </c>
      <c r="T703" s="10" t="e">
        <f>Tabela2[[#This Row],[Coluna72]]</f>
        <v>#REF!</v>
      </c>
      <c r="U703" s="10">
        <f>SUM(Tabela2[[#This Row],[Coluna9]],Tabela2[[#This Row],[Coluna10]])</f>
        <v>6000</v>
      </c>
      <c r="V703" s="2" t="str">
        <f>Tabela2[[#This Row],[Coluna4]]</f>
        <v>11/12/2025</v>
      </c>
      <c r="W703" s="2" t="str">
        <f>Tabela2[[#This Row],[Coluna6]]</f>
        <v>11/12/2025</v>
      </c>
    </row>
    <row r="704" spans="2:23" hidden="1" x14ac:dyDescent="0.2">
      <c r="B704" t="s">
        <v>71</v>
      </c>
      <c r="D704" t="s">
        <v>13</v>
      </c>
      <c r="E704" s="8" t="s">
        <v>74</v>
      </c>
      <c r="F704" t="s">
        <v>64</v>
      </c>
      <c r="G704" s="8" t="s">
        <v>75</v>
      </c>
      <c r="H704" t="s">
        <v>22</v>
      </c>
      <c r="I704" t="e">
        <f>VLOOKUP(Tabela2[[#This Row],[Coluna7]],[1]!Tabela1[#All],2,0)</f>
        <v>#REF!</v>
      </c>
      <c r="J704" t="s">
        <v>53</v>
      </c>
      <c r="L704">
        <v>889.14</v>
      </c>
      <c r="Q704" s="10" t="str">
        <f>Tabela2[[#This Row],[Coluna5]]</f>
        <v>12/2025</v>
      </c>
      <c r="R704" s="10" t="str">
        <f>IF(Tabela2[[#This Row],[Coluna9]]&gt;0,"Entrada","Saída")</f>
        <v>Saída</v>
      </c>
      <c r="S704" s="10" t="str">
        <f>Tabela2[[#This Row],[Coluna8]]</f>
        <v>PAGAMENTO DE FATURA - CARTÃO EFÍ</v>
      </c>
      <c r="T704" s="10" t="e">
        <f>Tabela2[[#This Row],[Coluna72]]</f>
        <v>#REF!</v>
      </c>
      <c r="U704" s="10">
        <f>SUM(Tabela2[[#This Row],[Coluna9]],Tabela2[[#This Row],[Coluna10]])</f>
        <v>889.14</v>
      </c>
      <c r="V704" s="2" t="str">
        <f>Tabela2[[#This Row],[Coluna4]]</f>
        <v>13/12/2025</v>
      </c>
      <c r="W704" s="2" t="str">
        <f>Tabela2[[#This Row],[Coluna6]]</f>
        <v>27/12/2025</v>
      </c>
    </row>
    <row r="705" spans="2:23" hidden="1" x14ac:dyDescent="0.2">
      <c r="B705" t="s">
        <v>18</v>
      </c>
      <c r="D705" t="s">
        <v>13</v>
      </c>
      <c r="E705" s="8" t="s">
        <v>76</v>
      </c>
      <c r="F705" t="s">
        <v>64</v>
      </c>
      <c r="G705" s="8" t="s">
        <v>77</v>
      </c>
      <c r="H705" t="s">
        <v>22</v>
      </c>
      <c r="I705" t="e">
        <f>VLOOKUP(Tabela2[[#This Row],[Coluna7]],[1]!Tabela1[#All],2,0)</f>
        <v>#REF!</v>
      </c>
      <c r="J705" t="s">
        <v>30</v>
      </c>
      <c r="L705">
        <v>322.51</v>
      </c>
      <c r="Q705" s="10" t="str">
        <f>Tabela2[[#This Row],[Coluna5]]</f>
        <v>12/2025</v>
      </c>
      <c r="R705" s="10" t="str">
        <f>IF(Tabela2[[#This Row],[Coluna9]]&gt;0,"Entrada","Saída")</f>
        <v>Saída</v>
      </c>
      <c r="S705" s="10" t="str">
        <f>Tabela2[[#This Row],[Coluna8]]</f>
        <v>PAGAMENTO DE FATURA - HIPERCARD</v>
      </c>
      <c r="T705" s="10" t="e">
        <f>Tabela2[[#This Row],[Coluna72]]</f>
        <v>#REF!</v>
      </c>
      <c r="U705" s="10">
        <f>SUM(Tabela2[[#This Row],[Coluna9]],Tabela2[[#This Row],[Coluna10]])</f>
        <v>322.51</v>
      </c>
      <c r="V705" s="2" t="str">
        <f>Tabela2[[#This Row],[Coluna4]]</f>
        <v>15/12/2025</v>
      </c>
      <c r="W705" s="2" t="str">
        <f>Tabela2[[#This Row],[Coluna6]]</f>
        <v>18/12/2025</v>
      </c>
    </row>
    <row r="706" spans="2:23" hidden="1" x14ac:dyDescent="0.2">
      <c r="B706" t="s">
        <v>27</v>
      </c>
      <c r="D706" t="s">
        <v>13</v>
      </c>
      <c r="E706" s="8" t="s">
        <v>78</v>
      </c>
      <c r="F706" t="s">
        <v>64</v>
      </c>
      <c r="G706" s="8" t="s">
        <v>78</v>
      </c>
      <c r="H706" t="s">
        <v>16</v>
      </c>
      <c r="I706" t="e">
        <f>VLOOKUP(Tabela2[[#This Row],[Coluna7]],[1]!Tabela1[#All],2,0)</f>
        <v>#REF!</v>
      </c>
      <c r="J706" t="s">
        <v>17</v>
      </c>
      <c r="L706">
        <v>18000</v>
      </c>
      <c r="Q706" s="10" t="str">
        <f>Tabela2[[#This Row],[Coluna5]]</f>
        <v>12/2025</v>
      </c>
      <c r="R706" s="10" t="str">
        <f>IF(Tabela2[[#This Row],[Coluna9]]&gt;0,"Entrada","Saída")</f>
        <v>Saída</v>
      </c>
      <c r="S706" s="10" t="str">
        <f>Tabela2[[#This Row],[Coluna8]]</f>
        <v>TRANSFERÊNCIA PARA EFÍ - THIAGO URQUIZA ADVOGADOS</v>
      </c>
      <c r="T706" s="10" t="e">
        <f>Tabela2[[#This Row],[Coluna72]]</f>
        <v>#REF!</v>
      </c>
      <c r="U706" s="10">
        <f>SUM(Tabela2[[#This Row],[Coluna9]],Tabela2[[#This Row],[Coluna10]])</f>
        <v>18000</v>
      </c>
      <c r="V706" s="2" t="str">
        <f>Tabela2[[#This Row],[Coluna4]]</f>
        <v>17/12/2025</v>
      </c>
      <c r="W706" s="2" t="str">
        <f>Tabela2[[#This Row],[Coluna6]]</f>
        <v>17/12/2025</v>
      </c>
    </row>
    <row r="707" spans="2:23" hidden="1" x14ac:dyDescent="0.2">
      <c r="B707" t="s">
        <v>18</v>
      </c>
      <c r="D707" t="s">
        <v>19</v>
      </c>
      <c r="E707" s="8" t="s">
        <v>78</v>
      </c>
      <c r="F707" t="s">
        <v>64</v>
      </c>
      <c r="G707" s="8" t="s">
        <v>78</v>
      </c>
      <c r="H707" t="s">
        <v>16</v>
      </c>
      <c r="I707" t="e">
        <f>VLOOKUP(Tabela2[[#This Row],[Coluna7]],[1]!Tabela1[#All],2,0)</f>
        <v>#REF!</v>
      </c>
      <c r="J707" t="s">
        <v>32</v>
      </c>
      <c r="K707">
        <v>18000</v>
      </c>
      <c r="Q707" s="10" t="str">
        <f>Tabela2[[#This Row],[Coluna5]]</f>
        <v>12/2025</v>
      </c>
      <c r="R707" s="10" t="str">
        <f>IF(Tabela2[[#This Row],[Coluna9]]&gt;0,"Entrada","Saída")</f>
        <v>Entrada</v>
      </c>
      <c r="S707" s="10" t="str">
        <f>Tabela2[[#This Row],[Coluna8]]</f>
        <v>TRANSFERÊNCIA DE BRADESCO</v>
      </c>
      <c r="T707" s="10" t="e">
        <f>Tabela2[[#This Row],[Coluna72]]</f>
        <v>#REF!</v>
      </c>
      <c r="U707" s="10">
        <f>SUM(Tabela2[[#This Row],[Coluna9]],Tabela2[[#This Row],[Coluna10]])</f>
        <v>18000</v>
      </c>
      <c r="V707" s="2" t="str">
        <f>Tabela2[[#This Row],[Coluna4]]</f>
        <v>17/12/2025</v>
      </c>
      <c r="W707" s="2" t="str">
        <f>Tabela2[[#This Row],[Coluna6]]</f>
        <v>17/12/2025</v>
      </c>
    </row>
    <row r="708" spans="2:23" hidden="1" x14ac:dyDescent="0.2">
      <c r="B708" t="s">
        <v>12</v>
      </c>
      <c r="D708" t="s">
        <v>13</v>
      </c>
      <c r="E708" s="8" t="s">
        <v>79</v>
      </c>
      <c r="F708" t="s">
        <v>64</v>
      </c>
      <c r="G708" s="8" t="s">
        <v>80</v>
      </c>
      <c r="H708" t="s">
        <v>22</v>
      </c>
      <c r="I708" t="e">
        <f>VLOOKUP(Tabela2[[#This Row],[Coluna7]],[1]!Tabela1[#All],2,0)</f>
        <v>#REF!</v>
      </c>
      <c r="J708" t="s">
        <v>36</v>
      </c>
      <c r="L708">
        <v>296.07</v>
      </c>
      <c r="Q708" s="10" t="str">
        <f>Tabela2[[#This Row],[Coluna5]]</f>
        <v>12/2025</v>
      </c>
      <c r="R708" s="10" t="str">
        <f>IF(Tabela2[[#This Row],[Coluna9]]&gt;0,"Entrada","Saída")</f>
        <v>Saída</v>
      </c>
      <c r="S708" s="10" t="str">
        <f>Tabela2[[#This Row],[Coluna8]]</f>
        <v>PAGAMENTO DE FATURA - CARREFOUR</v>
      </c>
      <c r="T708" s="10" t="e">
        <f>Tabela2[[#This Row],[Coluna72]]</f>
        <v>#REF!</v>
      </c>
      <c r="U708" s="10">
        <f>SUM(Tabela2[[#This Row],[Coluna9]],Tabela2[[#This Row],[Coluna10]])</f>
        <v>296.07</v>
      </c>
      <c r="V708" s="2" t="str">
        <f>Tabela2[[#This Row],[Coluna4]]</f>
        <v>20/12/2025</v>
      </c>
      <c r="W708" s="2" t="str">
        <f>Tabela2[[#This Row],[Coluna6]]</f>
        <v>23/12/2025</v>
      </c>
    </row>
    <row r="709" spans="2:23" hidden="1" x14ac:dyDescent="0.2">
      <c r="B709" t="s">
        <v>18</v>
      </c>
      <c r="D709" t="s">
        <v>13</v>
      </c>
      <c r="E709" s="8" t="s">
        <v>80</v>
      </c>
      <c r="F709" t="s">
        <v>64</v>
      </c>
      <c r="G709" s="8" t="s">
        <v>80</v>
      </c>
      <c r="H709" t="s">
        <v>16</v>
      </c>
      <c r="I709" t="e">
        <f>VLOOKUP(Tabela2[[#This Row],[Coluna7]],[1]!Tabela1[#All],2,0)</f>
        <v>#REF!</v>
      </c>
      <c r="J709" t="s">
        <v>81</v>
      </c>
      <c r="L709">
        <v>1000</v>
      </c>
      <c r="Q709" s="10" t="str">
        <f>Tabela2[[#This Row],[Coluna5]]</f>
        <v>12/2025</v>
      </c>
      <c r="R709" s="10" t="str">
        <f>IF(Tabela2[[#This Row],[Coluna9]]&gt;0,"Entrada","Saída")</f>
        <v>Saída</v>
      </c>
      <c r="S709" s="10" t="str">
        <f>Tabela2[[#This Row],[Coluna8]]</f>
        <v>TRANSFERÊNCIA PARA INVESTIMENTOS</v>
      </c>
      <c r="T709" s="10" t="e">
        <f>Tabela2[[#This Row],[Coluna72]]</f>
        <v>#REF!</v>
      </c>
      <c r="U709" s="10">
        <f>SUM(Tabela2[[#This Row],[Coluna9]],Tabela2[[#This Row],[Coluna10]])</f>
        <v>1000</v>
      </c>
      <c r="V709" s="2" t="str">
        <f>Tabela2[[#This Row],[Coluna4]]</f>
        <v>23/12/2025</v>
      </c>
      <c r="W709" s="2" t="str">
        <f>Tabela2[[#This Row],[Coluna6]]</f>
        <v>23/12/2025</v>
      </c>
    </row>
    <row r="710" spans="2:23" hidden="1" x14ac:dyDescent="0.2">
      <c r="B710" t="s">
        <v>82</v>
      </c>
      <c r="D710" t="s">
        <v>19</v>
      </c>
      <c r="E710" s="8" t="s">
        <v>80</v>
      </c>
      <c r="F710" t="s">
        <v>64</v>
      </c>
      <c r="G710" s="8" t="s">
        <v>80</v>
      </c>
      <c r="H710" t="s">
        <v>16</v>
      </c>
      <c r="I710" t="e">
        <f>VLOOKUP(Tabela2[[#This Row],[Coluna7]],[1]!Tabela1[#All],2,0)</f>
        <v>#REF!</v>
      </c>
      <c r="J710" t="s">
        <v>40</v>
      </c>
      <c r="K710">
        <v>1000</v>
      </c>
      <c r="Q710" s="10" t="str">
        <f>Tabela2[[#This Row],[Coluna5]]</f>
        <v>12/2025</v>
      </c>
      <c r="R710" s="10" t="str">
        <f>IF(Tabela2[[#This Row],[Coluna9]]&gt;0,"Entrada","Saída")</f>
        <v>Entrada</v>
      </c>
      <c r="S710" s="10" t="str">
        <f>Tabela2[[#This Row],[Coluna8]]</f>
        <v>TRANSFERÊNCIA DE EFÍ - THIAGO URQUIZA ADVOGADOS</v>
      </c>
      <c r="T710" s="10" t="e">
        <f>Tabela2[[#This Row],[Coluna72]]</f>
        <v>#REF!</v>
      </c>
      <c r="U710" s="10">
        <f>SUM(Tabela2[[#This Row],[Coluna9]],Tabela2[[#This Row],[Coluna10]])</f>
        <v>1000</v>
      </c>
      <c r="V710" s="2" t="str">
        <f>Tabela2[[#This Row],[Coluna4]]</f>
        <v>23/12/2025</v>
      </c>
      <c r="W710" s="2" t="str">
        <f>Tabela2[[#This Row],[Coluna6]]</f>
        <v>23/12/2025</v>
      </c>
    </row>
    <row r="711" spans="2:23" hidden="1" x14ac:dyDescent="0.2">
      <c r="B711" t="s">
        <v>12</v>
      </c>
      <c r="D711" t="s">
        <v>13</v>
      </c>
      <c r="E711" s="8" t="s">
        <v>91</v>
      </c>
      <c r="F711" t="s">
        <v>64</v>
      </c>
      <c r="G711" s="8" t="s">
        <v>75</v>
      </c>
      <c r="H711" t="s">
        <v>22</v>
      </c>
      <c r="I711" t="e">
        <f>VLOOKUP(Tabela2[[#This Row],[Coluna7]],[1]!Tabela1[#All],2,0)</f>
        <v>#REF!</v>
      </c>
      <c r="J711" t="s">
        <v>36</v>
      </c>
      <c r="L711">
        <v>296.07</v>
      </c>
      <c r="Q711" s="10" t="str">
        <f>Tabela2[[#This Row],[Coluna5]]</f>
        <v>12/2025</v>
      </c>
      <c r="R711" s="10" t="str">
        <f>IF(Tabela2[[#This Row],[Coluna9]]&gt;0,"Entrada","Saída")</f>
        <v>Saída</v>
      </c>
      <c r="S711" s="10" t="str">
        <f>Tabela2[[#This Row],[Coluna8]]</f>
        <v>PAGAMENTO DE FATURA - CARREFOUR</v>
      </c>
      <c r="T711" s="10" t="e">
        <f>Tabela2[[#This Row],[Coluna72]]</f>
        <v>#REF!</v>
      </c>
      <c r="U711" s="10">
        <f>SUM(Tabela2[[#This Row],[Coluna9]],Tabela2[[#This Row],[Coluna10]])</f>
        <v>296.07</v>
      </c>
      <c r="V711" s="2" t="str">
        <f>Tabela2[[#This Row],[Coluna4]]</f>
        <v>20/01/2026</v>
      </c>
      <c r="W711" s="2" t="str">
        <f>Tabela2[[#This Row],[Coluna6]]</f>
        <v>27/12/2025</v>
      </c>
    </row>
    <row r="712" spans="2:23" x14ac:dyDescent="0.2">
      <c r="B712" t="s">
        <v>18</v>
      </c>
      <c r="C712" t="s">
        <v>95</v>
      </c>
      <c r="D712" t="s">
        <v>19</v>
      </c>
      <c r="E712" s="8" t="s">
        <v>96</v>
      </c>
      <c r="F712" t="s">
        <v>15</v>
      </c>
      <c r="G712" s="8" t="s">
        <v>24</v>
      </c>
      <c r="H712" t="s">
        <v>98</v>
      </c>
      <c r="I712" t="e">
        <f>VLOOKUP(Tabela2[[#This Row],[Coluna7]],[1]!Tabela1[#All],2,0)</f>
        <v>#REF!</v>
      </c>
      <c r="J712" t="s">
        <v>99</v>
      </c>
      <c r="K712">
        <v>375</v>
      </c>
      <c r="M712" t="s">
        <v>100</v>
      </c>
      <c r="N712" t="s">
        <v>101</v>
      </c>
      <c r="Q712" s="10" t="str">
        <f>Tabela2[[#This Row],[Coluna5]]</f>
        <v>10/2025</v>
      </c>
      <c r="R712" s="10" t="str">
        <f>IF(Tabela2[[#This Row],[Coluna9]]&gt;0,"Entrada","Saída")</f>
        <v>Entrada</v>
      </c>
      <c r="S712" s="10" t="str">
        <f>Tabela2[[#This Row],[Coluna8]]</f>
        <v>1/9</v>
      </c>
      <c r="T712" s="10" t="e">
        <f>Tabela2[[#This Row],[Coluna72]]</f>
        <v>#REF!</v>
      </c>
      <c r="U712" s="10">
        <f>SUM(Tabela2[[#This Row],[Coluna9]],Tabela2[[#This Row],[Coluna10]])</f>
        <v>375</v>
      </c>
      <c r="V712" s="2" t="str">
        <f>Tabela2[[#This Row],[Coluna4]]</f>
        <v>30/09/2025</v>
      </c>
      <c r="W712" s="2" t="str">
        <f>Tabela2[[#This Row],[Coluna6]]</f>
        <v>08/10/2025</v>
      </c>
    </row>
    <row r="713" spans="2:23" x14ac:dyDescent="0.2">
      <c r="B713" t="s">
        <v>18</v>
      </c>
      <c r="C713" t="s">
        <v>95</v>
      </c>
      <c r="D713" t="s">
        <v>19</v>
      </c>
      <c r="E713" s="8" t="s">
        <v>14</v>
      </c>
      <c r="F713" t="s">
        <v>15</v>
      </c>
      <c r="G713" s="8" t="s">
        <v>14</v>
      </c>
      <c r="H713" t="s">
        <v>98</v>
      </c>
      <c r="I713" t="e">
        <f>VLOOKUP(Tabela2[[#This Row],[Coluna7]],[1]!Tabela1[#All],2,0)</f>
        <v>#REF!</v>
      </c>
      <c r="J713" t="s">
        <v>102</v>
      </c>
      <c r="K713">
        <v>490</v>
      </c>
      <c r="N713" t="s">
        <v>103</v>
      </c>
      <c r="Q713" s="10" t="str">
        <f>Tabela2[[#This Row],[Coluna5]]</f>
        <v>10/2025</v>
      </c>
      <c r="R713" s="10" t="str">
        <f>IF(Tabela2[[#This Row],[Coluna9]]&gt;0,"Entrada","Saída")</f>
        <v>Entrada</v>
      </c>
      <c r="S713" s="10" t="str">
        <f>Tabela2[[#This Row],[Coluna8]]</f>
        <v>PARCELA 02/06</v>
      </c>
      <c r="T713" s="10" t="e">
        <f>Tabela2[[#This Row],[Coluna72]]</f>
        <v>#REF!</v>
      </c>
      <c r="U713" s="10">
        <f>SUM(Tabela2[[#This Row],[Coluna9]],Tabela2[[#This Row],[Coluna10]])</f>
        <v>490</v>
      </c>
      <c r="V713" s="2" t="str">
        <f>Tabela2[[#This Row],[Coluna4]]</f>
        <v>01/10/2025</v>
      </c>
      <c r="W713" s="2" t="str">
        <f>Tabela2[[#This Row],[Coluna6]]</f>
        <v>01/10/2025</v>
      </c>
    </row>
    <row r="714" spans="2:23" x14ac:dyDescent="0.2">
      <c r="B714" t="s">
        <v>18</v>
      </c>
      <c r="C714" t="s">
        <v>95</v>
      </c>
      <c r="D714" t="s">
        <v>19</v>
      </c>
      <c r="E714" s="8" t="s">
        <v>14</v>
      </c>
      <c r="F714" t="s">
        <v>15</v>
      </c>
      <c r="G714" s="8" t="s">
        <v>14</v>
      </c>
      <c r="H714" t="s">
        <v>104</v>
      </c>
      <c r="I714" t="e">
        <f>VLOOKUP(Tabela2[[#This Row],[Coluna7]],[1]!Tabela1[#All],2,0)</f>
        <v>#REF!</v>
      </c>
      <c r="K714">
        <v>2101</v>
      </c>
      <c r="M714" t="s">
        <v>105</v>
      </c>
      <c r="N714" t="s">
        <v>106</v>
      </c>
      <c r="Q714" s="10" t="str">
        <f>Tabela2[[#This Row],[Coluna5]]</f>
        <v>10/2025</v>
      </c>
      <c r="R714" s="10" t="str">
        <f>IF(Tabela2[[#This Row],[Coluna9]]&gt;0,"Entrada","Saída")</f>
        <v>Entrada</v>
      </c>
      <c r="S714" s="10">
        <f>Tabela2[[#This Row],[Coluna8]]</f>
        <v>0</v>
      </c>
      <c r="T714" s="10" t="e">
        <f>Tabela2[[#This Row],[Coluna72]]</f>
        <v>#REF!</v>
      </c>
      <c r="U714" s="10">
        <f>SUM(Tabela2[[#This Row],[Coluna9]],Tabela2[[#This Row],[Coluna10]])</f>
        <v>2101</v>
      </c>
      <c r="V714" s="2" t="str">
        <f>Tabela2[[#This Row],[Coluna4]]</f>
        <v>01/10/2025</v>
      </c>
      <c r="W714" s="2" t="str">
        <f>Tabela2[[#This Row],[Coluna6]]</f>
        <v>01/10/2025</v>
      </c>
    </row>
    <row r="715" spans="2:23" x14ac:dyDescent="0.2">
      <c r="B715" t="s">
        <v>27</v>
      </c>
      <c r="C715" t="s">
        <v>95</v>
      </c>
      <c r="D715" t="s">
        <v>19</v>
      </c>
      <c r="E715" s="8" t="s">
        <v>14</v>
      </c>
      <c r="F715" t="s">
        <v>15</v>
      </c>
      <c r="G715" s="8" t="s">
        <v>14</v>
      </c>
      <c r="H715" t="s">
        <v>107</v>
      </c>
      <c r="I715" t="e">
        <f>VLOOKUP(Tabela2[[#This Row],[Coluna7]],[1]!Tabela1[#All],2,0)</f>
        <v>#REF!</v>
      </c>
      <c r="K715">
        <v>2037</v>
      </c>
      <c r="M715" t="s">
        <v>108</v>
      </c>
      <c r="N715" t="s">
        <v>109</v>
      </c>
      <c r="Q715" s="10" t="str">
        <f>Tabela2[[#This Row],[Coluna5]]</f>
        <v>10/2025</v>
      </c>
      <c r="R715" s="10" t="str">
        <f>IF(Tabela2[[#This Row],[Coluna9]]&gt;0,"Entrada","Saída")</f>
        <v>Entrada</v>
      </c>
      <c r="S715" s="10">
        <f>Tabela2[[#This Row],[Coluna8]]</f>
        <v>0</v>
      </c>
      <c r="T715" s="10" t="e">
        <f>Tabela2[[#This Row],[Coluna72]]</f>
        <v>#REF!</v>
      </c>
      <c r="U715" s="10">
        <f>SUM(Tabela2[[#This Row],[Coluna9]],Tabela2[[#This Row],[Coluna10]])</f>
        <v>2037</v>
      </c>
      <c r="V715" s="2" t="str">
        <f>Tabela2[[#This Row],[Coluna4]]</f>
        <v>01/10/2025</v>
      </c>
      <c r="W715" s="2" t="str">
        <f>Tabela2[[#This Row],[Coluna6]]</f>
        <v>01/10/2025</v>
      </c>
    </row>
    <row r="716" spans="2:23" x14ac:dyDescent="0.2">
      <c r="B716" t="s">
        <v>27</v>
      </c>
      <c r="C716" t="s">
        <v>110</v>
      </c>
      <c r="D716" t="s">
        <v>19</v>
      </c>
      <c r="E716" s="8" t="s">
        <v>14</v>
      </c>
      <c r="F716" t="s">
        <v>15</v>
      </c>
      <c r="G716" s="8" t="s">
        <v>14</v>
      </c>
      <c r="H716" t="s">
        <v>111</v>
      </c>
      <c r="I716" t="e">
        <f>VLOOKUP(Tabela2[[#This Row],[Coluna7]],[1]!Tabela1[#All],2,0)</f>
        <v>#REF!</v>
      </c>
      <c r="J716" t="s">
        <v>112</v>
      </c>
      <c r="K716">
        <v>500</v>
      </c>
      <c r="N716" t="s">
        <v>113</v>
      </c>
      <c r="Q716" s="10" t="str">
        <f>Tabela2[[#This Row],[Coluna5]]</f>
        <v>10/2025</v>
      </c>
      <c r="R716" s="10" t="str">
        <f>IF(Tabela2[[#This Row],[Coluna9]]&gt;0,"Entrada","Saída")</f>
        <v>Entrada</v>
      </c>
      <c r="S716" s="10" t="str">
        <f>Tabela2[[#This Row],[Coluna8]]</f>
        <v>1/6</v>
      </c>
      <c r="T716" s="10" t="e">
        <f>Tabela2[[#This Row],[Coluna72]]</f>
        <v>#REF!</v>
      </c>
      <c r="U716" s="10">
        <f>SUM(Tabela2[[#This Row],[Coluna9]],Tabela2[[#This Row],[Coluna10]])</f>
        <v>500</v>
      </c>
      <c r="V716" s="2" t="str">
        <f>Tabela2[[#This Row],[Coluna4]]</f>
        <v>01/10/2025</v>
      </c>
      <c r="W716" s="2" t="str">
        <f>Tabela2[[#This Row],[Coluna6]]</f>
        <v>01/10/2025</v>
      </c>
    </row>
    <row r="717" spans="2:23" x14ac:dyDescent="0.2">
      <c r="B717" t="s">
        <v>18</v>
      </c>
      <c r="C717" t="s">
        <v>95</v>
      </c>
      <c r="D717" t="s">
        <v>19</v>
      </c>
      <c r="E717" s="8" t="s">
        <v>114</v>
      </c>
      <c r="F717" t="s">
        <v>15</v>
      </c>
      <c r="G717" s="8" t="s">
        <v>114</v>
      </c>
      <c r="H717" t="s">
        <v>98</v>
      </c>
      <c r="I717" t="e">
        <f>VLOOKUP(Tabela2[[#This Row],[Coluna7]],[1]!Tabela1[#All],2,0)</f>
        <v>#REF!</v>
      </c>
      <c r="J717" t="s">
        <v>115</v>
      </c>
      <c r="K717">
        <v>300</v>
      </c>
      <c r="M717" t="s">
        <v>116</v>
      </c>
      <c r="N717" t="s">
        <v>117</v>
      </c>
      <c r="Q717" s="10" t="str">
        <f>Tabela2[[#This Row],[Coluna5]]</f>
        <v>10/2025</v>
      </c>
      <c r="R717" s="10" t="str">
        <f>IF(Tabela2[[#This Row],[Coluna9]]&gt;0,"Entrada","Saída")</f>
        <v>Entrada</v>
      </c>
      <c r="S717" s="10" t="str">
        <f>Tabela2[[#This Row],[Coluna8]]</f>
        <v>PARCELA 05</v>
      </c>
      <c r="T717" s="10" t="e">
        <f>Tabela2[[#This Row],[Coluna72]]</f>
        <v>#REF!</v>
      </c>
      <c r="U717" s="10">
        <f>SUM(Tabela2[[#This Row],[Coluna9]],Tabela2[[#This Row],[Coluna10]])</f>
        <v>300</v>
      </c>
      <c r="V717" s="2" t="str">
        <f>Tabela2[[#This Row],[Coluna4]]</f>
        <v>02/10/2025</v>
      </c>
      <c r="W717" s="2" t="str">
        <f>Tabela2[[#This Row],[Coluna6]]</f>
        <v>02/10/2025</v>
      </c>
    </row>
    <row r="718" spans="2:23" x14ac:dyDescent="0.2">
      <c r="B718" t="s">
        <v>27</v>
      </c>
      <c r="C718" t="s">
        <v>95</v>
      </c>
      <c r="D718" t="s">
        <v>19</v>
      </c>
      <c r="E718" s="8" t="s">
        <v>114</v>
      </c>
      <c r="F718" t="s">
        <v>15</v>
      </c>
      <c r="G718" s="8" t="s">
        <v>114</v>
      </c>
      <c r="H718" t="s">
        <v>107</v>
      </c>
      <c r="I718" t="e">
        <f>VLOOKUP(Tabela2[[#This Row],[Coluna7]],[1]!Tabela1[#All],2,0)</f>
        <v>#REF!</v>
      </c>
      <c r="K718">
        <v>1960.62</v>
      </c>
      <c r="M718" t="s">
        <v>118</v>
      </c>
      <c r="N718" t="s">
        <v>119</v>
      </c>
      <c r="Q718" s="10" t="str">
        <f>Tabela2[[#This Row],[Coluna5]]</f>
        <v>10/2025</v>
      </c>
      <c r="R718" s="10" t="str">
        <f>IF(Tabela2[[#This Row],[Coluna9]]&gt;0,"Entrada","Saída")</f>
        <v>Entrada</v>
      </c>
      <c r="S718" s="10">
        <f>Tabela2[[#This Row],[Coluna8]]</f>
        <v>0</v>
      </c>
      <c r="T718" s="10" t="e">
        <f>Tabela2[[#This Row],[Coluna72]]</f>
        <v>#REF!</v>
      </c>
      <c r="U718" s="10">
        <f>SUM(Tabela2[[#This Row],[Coluna9]],Tabela2[[#This Row],[Coluna10]])</f>
        <v>1960.62</v>
      </c>
      <c r="V718" s="2" t="str">
        <f>Tabela2[[#This Row],[Coluna4]]</f>
        <v>02/10/2025</v>
      </c>
      <c r="W718" s="2" t="str">
        <f>Tabela2[[#This Row],[Coluna6]]</f>
        <v>02/10/2025</v>
      </c>
    </row>
    <row r="719" spans="2:23" x14ac:dyDescent="0.2">
      <c r="B719" t="s">
        <v>12</v>
      </c>
      <c r="C719" t="s">
        <v>95</v>
      </c>
      <c r="D719" t="s">
        <v>19</v>
      </c>
      <c r="E719" s="8" t="s">
        <v>114</v>
      </c>
      <c r="F719" t="s">
        <v>15</v>
      </c>
      <c r="G719" s="8" t="s">
        <v>114</v>
      </c>
      <c r="H719" t="s">
        <v>98</v>
      </c>
      <c r="I719" t="e">
        <f>VLOOKUP(Tabela2[[#This Row],[Coluna7]],[1]!Tabela1[#All],2,0)</f>
        <v>#REF!</v>
      </c>
      <c r="J719" t="s">
        <v>120</v>
      </c>
      <c r="K719">
        <v>180</v>
      </c>
      <c r="N719" t="s">
        <v>121</v>
      </c>
      <c r="Q719" s="10" t="str">
        <f>Tabela2[[#This Row],[Coluna5]]</f>
        <v>10/2025</v>
      </c>
      <c r="R719" s="10" t="str">
        <f>IF(Tabela2[[#This Row],[Coluna9]]&gt;0,"Entrada","Saída")</f>
        <v>Entrada</v>
      </c>
      <c r="S719" s="10" t="str">
        <f>Tabela2[[#This Row],[Coluna8]]</f>
        <v>1/8</v>
      </c>
      <c r="T719" s="10" t="e">
        <f>Tabela2[[#This Row],[Coluna72]]</f>
        <v>#REF!</v>
      </c>
      <c r="U719" s="10">
        <f>SUM(Tabela2[[#This Row],[Coluna9]],Tabela2[[#This Row],[Coluna10]])</f>
        <v>180</v>
      </c>
      <c r="V719" s="2" t="str">
        <f>Tabela2[[#This Row],[Coluna4]]</f>
        <v>02/10/2025</v>
      </c>
      <c r="W719" s="2" t="str">
        <f>Tabela2[[#This Row],[Coluna6]]</f>
        <v>02/10/2025</v>
      </c>
    </row>
    <row r="720" spans="2:23" x14ac:dyDescent="0.2">
      <c r="B720" t="s">
        <v>27</v>
      </c>
      <c r="C720" t="s">
        <v>95</v>
      </c>
      <c r="D720" t="s">
        <v>19</v>
      </c>
      <c r="E720" s="8" t="s">
        <v>122</v>
      </c>
      <c r="F720" t="s">
        <v>15</v>
      </c>
      <c r="G720" s="8" t="s">
        <v>122</v>
      </c>
      <c r="H720" t="s">
        <v>104</v>
      </c>
      <c r="I720" t="e">
        <f>VLOOKUP(Tabela2[[#This Row],[Coluna7]],[1]!Tabela1[#All],2,0)</f>
        <v>#REF!</v>
      </c>
      <c r="K720">
        <v>500</v>
      </c>
      <c r="M720" t="s">
        <v>123</v>
      </c>
      <c r="N720" t="s">
        <v>124</v>
      </c>
      <c r="Q720" s="10" t="str">
        <f>Tabela2[[#This Row],[Coluna5]]</f>
        <v>10/2025</v>
      </c>
      <c r="R720" s="10" t="str">
        <f>IF(Tabela2[[#This Row],[Coluna9]]&gt;0,"Entrada","Saída")</f>
        <v>Entrada</v>
      </c>
      <c r="S720" s="10">
        <f>Tabela2[[#This Row],[Coluna8]]</f>
        <v>0</v>
      </c>
      <c r="T720" s="10" t="e">
        <f>Tabela2[[#This Row],[Coluna72]]</f>
        <v>#REF!</v>
      </c>
      <c r="U720" s="10">
        <f>SUM(Tabela2[[#This Row],[Coluna9]],Tabela2[[#This Row],[Coluna10]])</f>
        <v>500</v>
      </c>
      <c r="V720" s="2" t="str">
        <f>Tabela2[[#This Row],[Coluna4]]</f>
        <v>03/10/2025</v>
      </c>
      <c r="W720" s="2" t="str">
        <f>Tabela2[[#This Row],[Coluna6]]</f>
        <v>03/10/2025</v>
      </c>
    </row>
    <row r="721" spans="2:23" x14ac:dyDescent="0.2">
      <c r="B721" t="s">
        <v>27</v>
      </c>
      <c r="C721" t="s">
        <v>95</v>
      </c>
      <c r="D721" t="s">
        <v>19</v>
      </c>
      <c r="E721" s="8" t="s">
        <v>122</v>
      </c>
      <c r="F721" t="s">
        <v>15</v>
      </c>
      <c r="G721" s="8" t="s">
        <v>122</v>
      </c>
      <c r="H721" t="s">
        <v>104</v>
      </c>
      <c r="I721" t="e">
        <f>VLOOKUP(Tabela2[[#This Row],[Coluna7]],[1]!Tabela1[#All],2,0)</f>
        <v>#REF!</v>
      </c>
      <c r="K721">
        <v>1000</v>
      </c>
      <c r="M721" t="s">
        <v>123</v>
      </c>
      <c r="N721" t="s">
        <v>124</v>
      </c>
      <c r="Q721" s="10" t="str">
        <f>Tabela2[[#This Row],[Coluna5]]</f>
        <v>10/2025</v>
      </c>
      <c r="R721" s="10" t="str">
        <f>IF(Tabela2[[#This Row],[Coluna9]]&gt;0,"Entrada","Saída")</f>
        <v>Entrada</v>
      </c>
      <c r="S721" s="10">
        <f>Tabela2[[#This Row],[Coluna8]]</f>
        <v>0</v>
      </c>
      <c r="T721" s="10" t="e">
        <f>Tabela2[[#This Row],[Coluna72]]</f>
        <v>#REF!</v>
      </c>
      <c r="U721" s="10">
        <f>SUM(Tabela2[[#This Row],[Coluna9]],Tabela2[[#This Row],[Coluna10]])</f>
        <v>1000</v>
      </c>
      <c r="V721" s="2" t="str">
        <f>Tabela2[[#This Row],[Coluna4]]</f>
        <v>03/10/2025</v>
      </c>
      <c r="W721" s="2" t="str">
        <f>Tabela2[[#This Row],[Coluna6]]</f>
        <v>03/10/2025</v>
      </c>
    </row>
    <row r="722" spans="2:23" x14ac:dyDescent="0.2">
      <c r="B722" t="s">
        <v>18</v>
      </c>
      <c r="C722" t="s">
        <v>125</v>
      </c>
      <c r="D722" t="s">
        <v>19</v>
      </c>
      <c r="E722" s="8" t="s">
        <v>126</v>
      </c>
      <c r="F722" t="s">
        <v>15</v>
      </c>
      <c r="G722" s="8" t="s">
        <v>127</v>
      </c>
      <c r="H722" t="s">
        <v>98</v>
      </c>
      <c r="I722" t="e">
        <f>VLOOKUP(Tabela2[[#This Row],[Coluna7]],[1]!Tabela1[#All],2,0)</f>
        <v>#REF!</v>
      </c>
      <c r="J722" t="s">
        <v>128</v>
      </c>
      <c r="K722">
        <v>225</v>
      </c>
      <c r="N722" t="s">
        <v>129</v>
      </c>
      <c r="Q722" s="10" t="str">
        <f>Tabela2[[#This Row],[Coluna5]]</f>
        <v>10/2025</v>
      </c>
      <c r="R722" s="10" t="str">
        <f>IF(Tabela2[[#This Row],[Coluna9]]&gt;0,"Entrada","Saída")</f>
        <v>Entrada</v>
      </c>
      <c r="S722" s="10" t="str">
        <f>Tabela2[[#This Row],[Coluna8]]</f>
        <v>1/2</v>
      </c>
      <c r="T722" s="10" t="e">
        <f>Tabela2[[#This Row],[Coluna72]]</f>
        <v>#REF!</v>
      </c>
      <c r="U722" s="10">
        <f>SUM(Tabela2[[#This Row],[Coluna9]],Tabela2[[#This Row],[Coluna10]])</f>
        <v>225</v>
      </c>
      <c r="V722" s="2" t="str">
        <f>Tabela2[[#This Row],[Coluna4]]</f>
        <v>04/10/2025</v>
      </c>
      <c r="W722" s="2" t="str">
        <f>Tabela2[[#This Row],[Coluna6]]</f>
        <v>29/10/2025</v>
      </c>
    </row>
    <row r="723" spans="2:23" x14ac:dyDescent="0.2">
      <c r="B723" t="s">
        <v>18</v>
      </c>
      <c r="C723" t="s">
        <v>95</v>
      </c>
      <c r="D723" t="s">
        <v>19</v>
      </c>
      <c r="E723" s="8" t="s">
        <v>21</v>
      </c>
      <c r="F723" t="s">
        <v>15</v>
      </c>
      <c r="G723" s="8" t="s">
        <v>21</v>
      </c>
      <c r="H723" t="s">
        <v>98</v>
      </c>
      <c r="I723" t="e">
        <f>VLOOKUP(Tabela2[[#This Row],[Coluna7]],[1]!Tabela1[#All],2,0)</f>
        <v>#REF!</v>
      </c>
      <c r="J723" t="s">
        <v>130</v>
      </c>
      <c r="K723">
        <v>420</v>
      </c>
      <c r="N723" t="s">
        <v>131</v>
      </c>
      <c r="Q723" s="10" t="str">
        <f>Tabela2[[#This Row],[Coluna5]]</f>
        <v>10/2025</v>
      </c>
      <c r="R723" s="10" t="str">
        <f>IF(Tabela2[[#This Row],[Coluna9]]&gt;0,"Entrada","Saída")</f>
        <v>Entrada</v>
      </c>
      <c r="S723" s="10" t="str">
        <f>Tabela2[[#This Row],[Coluna8]]</f>
        <v>PARCELA 13</v>
      </c>
      <c r="T723" s="10" t="e">
        <f>Tabela2[[#This Row],[Coluna72]]</f>
        <v>#REF!</v>
      </c>
      <c r="U723" s="10">
        <f>SUM(Tabela2[[#This Row],[Coluna9]],Tabela2[[#This Row],[Coluna10]])</f>
        <v>420</v>
      </c>
      <c r="V723" s="2" t="str">
        <f>Tabela2[[#This Row],[Coluna4]]</f>
        <v>06/10/2025</v>
      </c>
      <c r="W723" s="2" t="str">
        <f>Tabela2[[#This Row],[Coluna6]]</f>
        <v>06/10/2025</v>
      </c>
    </row>
    <row r="724" spans="2:23" x14ac:dyDescent="0.2">
      <c r="B724" t="s">
        <v>18</v>
      </c>
      <c r="C724" t="s">
        <v>95</v>
      </c>
      <c r="D724" t="s">
        <v>19</v>
      </c>
      <c r="E724" s="8" t="s">
        <v>21</v>
      </c>
      <c r="F724" t="s">
        <v>15</v>
      </c>
      <c r="G724" s="8" t="s">
        <v>21</v>
      </c>
      <c r="H724" t="s">
        <v>98</v>
      </c>
      <c r="I724" t="e">
        <f>VLOOKUP(Tabela2[[#This Row],[Coluna7]],[1]!Tabela1[#All],2,0)</f>
        <v>#REF!</v>
      </c>
      <c r="J724" t="s">
        <v>130</v>
      </c>
      <c r="K724">
        <v>420</v>
      </c>
      <c r="N724" t="s">
        <v>132</v>
      </c>
      <c r="Q724" s="10" t="str">
        <f>Tabela2[[#This Row],[Coluna5]]</f>
        <v>10/2025</v>
      </c>
      <c r="R724" s="10" t="str">
        <f>IF(Tabela2[[#This Row],[Coluna9]]&gt;0,"Entrada","Saída")</f>
        <v>Entrada</v>
      </c>
      <c r="S724" s="10" t="str">
        <f>Tabela2[[#This Row],[Coluna8]]</f>
        <v>PARCELA 13</v>
      </c>
      <c r="T724" s="10" t="e">
        <f>Tabela2[[#This Row],[Coluna72]]</f>
        <v>#REF!</v>
      </c>
      <c r="U724" s="10">
        <f>SUM(Tabela2[[#This Row],[Coluna9]],Tabela2[[#This Row],[Coluna10]])</f>
        <v>420</v>
      </c>
      <c r="V724" s="2" t="str">
        <f>Tabela2[[#This Row],[Coluna4]]</f>
        <v>06/10/2025</v>
      </c>
      <c r="W724" s="2" t="str">
        <f>Tabela2[[#This Row],[Coluna6]]</f>
        <v>06/10/2025</v>
      </c>
    </row>
    <row r="725" spans="2:23" x14ac:dyDescent="0.2">
      <c r="B725" t="s">
        <v>18</v>
      </c>
      <c r="C725" t="s">
        <v>95</v>
      </c>
      <c r="D725" t="s">
        <v>19</v>
      </c>
      <c r="E725" s="8" t="s">
        <v>21</v>
      </c>
      <c r="F725" t="s">
        <v>15</v>
      </c>
      <c r="G725" s="8" t="s">
        <v>21</v>
      </c>
      <c r="H725" t="s">
        <v>98</v>
      </c>
      <c r="I725" t="e">
        <f>VLOOKUP(Tabela2[[#This Row],[Coluna7]],[1]!Tabela1[#All],2,0)</f>
        <v>#REF!</v>
      </c>
      <c r="J725" t="s">
        <v>133</v>
      </c>
      <c r="K725">
        <v>300</v>
      </c>
      <c r="N725" t="s">
        <v>134</v>
      </c>
      <c r="Q725" s="10" t="str">
        <f>Tabela2[[#This Row],[Coluna5]]</f>
        <v>10/2025</v>
      </c>
      <c r="R725" s="10" t="str">
        <f>IF(Tabela2[[#This Row],[Coluna9]]&gt;0,"Entrada","Saída")</f>
        <v>Entrada</v>
      </c>
      <c r="S725" s="10" t="str">
        <f>Tabela2[[#This Row],[Coluna8]]</f>
        <v>1/17</v>
      </c>
      <c r="T725" s="10" t="e">
        <f>Tabela2[[#This Row],[Coluna72]]</f>
        <v>#REF!</v>
      </c>
      <c r="U725" s="10">
        <f>SUM(Tabela2[[#This Row],[Coluna9]],Tabela2[[#This Row],[Coluna10]])</f>
        <v>300</v>
      </c>
      <c r="V725" s="2" t="str">
        <f>Tabela2[[#This Row],[Coluna4]]</f>
        <v>06/10/2025</v>
      </c>
      <c r="W725" s="2" t="str">
        <f>Tabela2[[#This Row],[Coluna6]]</f>
        <v>06/10/2025</v>
      </c>
    </row>
    <row r="726" spans="2:23" x14ac:dyDescent="0.2">
      <c r="B726" t="s">
        <v>18</v>
      </c>
      <c r="C726" t="s">
        <v>95</v>
      </c>
      <c r="D726" t="s">
        <v>19</v>
      </c>
      <c r="E726" s="8" t="s">
        <v>21</v>
      </c>
      <c r="F726" t="s">
        <v>15</v>
      </c>
      <c r="G726" s="8" t="s">
        <v>21</v>
      </c>
      <c r="H726" t="s">
        <v>98</v>
      </c>
      <c r="I726" t="e">
        <f>VLOOKUP(Tabela2[[#This Row],[Coluna7]],[1]!Tabela1[#All],2,0)</f>
        <v>#REF!</v>
      </c>
      <c r="J726" t="s">
        <v>135</v>
      </c>
      <c r="K726">
        <v>600</v>
      </c>
      <c r="N726" t="s">
        <v>136</v>
      </c>
      <c r="Q726" s="10" t="str">
        <f>Tabela2[[#This Row],[Coluna5]]</f>
        <v>10/2025</v>
      </c>
      <c r="R726" s="10" t="str">
        <f>IF(Tabela2[[#This Row],[Coluna9]]&gt;0,"Entrada","Saída")</f>
        <v>Entrada</v>
      </c>
      <c r="S726" s="10" t="str">
        <f>Tabela2[[#This Row],[Coluna8]]</f>
        <v>1/13</v>
      </c>
      <c r="T726" s="10" t="e">
        <f>Tabela2[[#This Row],[Coluna72]]</f>
        <v>#REF!</v>
      </c>
      <c r="U726" s="10">
        <f>SUM(Tabela2[[#This Row],[Coluna9]],Tabela2[[#This Row],[Coluna10]])</f>
        <v>600</v>
      </c>
      <c r="V726" s="2" t="str">
        <f>Tabela2[[#This Row],[Coluna4]]</f>
        <v>06/10/2025</v>
      </c>
      <c r="W726" s="2" t="str">
        <f>Tabela2[[#This Row],[Coluna6]]</f>
        <v>06/10/2025</v>
      </c>
    </row>
    <row r="727" spans="2:23" x14ac:dyDescent="0.2">
      <c r="B727" t="s">
        <v>18</v>
      </c>
      <c r="C727" t="s">
        <v>95</v>
      </c>
      <c r="D727" t="s">
        <v>19</v>
      </c>
      <c r="E727" s="8" t="s">
        <v>21</v>
      </c>
      <c r="F727" t="s">
        <v>15</v>
      </c>
      <c r="G727" s="8" t="s">
        <v>21</v>
      </c>
      <c r="H727" t="s">
        <v>98</v>
      </c>
      <c r="I727" t="e">
        <f>VLOOKUP(Tabela2[[#This Row],[Coluna7]],[1]!Tabela1[#All],2,0)</f>
        <v>#REF!</v>
      </c>
      <c r="J727" t="s">
        <v>137</v>
      </c>
      <c r="K727">
        <v>420</v>
      </c>
      <c r="M727" t="s">
        <v>138</v>
      </c>
      <c r="N727" t="s">
        <v>139</v>
      </c>
      <c r="Q727" s="10" t="str">
        <f>Tabela2[[#This Row],[Coluna5]]</f>
        <v>10/2025</v>
      </c>
      <c r="R727" s="10" t="str">
        <f>IF(Tabela2[[#This Row],[Coluna9]]&gt;0,"Entrada","Saída")</f>
        <v>Entrada</v>
      </c>
      <c r="S727" s="10" t="str">
        <f>Tabela2[[#This Row],[Coluna8]]</f>
        <v>1/7</v>
      </c>
      <c r="T727" s="10" t="e">
        <f>Tabela2[[#This Row],[Coluna72]]</f>
        <v>#REF!</v>
      </c>
      <c r="U727" s="10">
        <f>SUM(Tabela2[[#This Row],[Coluna9]],Tabela2[[#This Row],[Coluna10]])</f>
        <v>420</v>
      </c>
      <c r="V727" s="2" t="str">
        <f>Tabela2[[#This Row],[Coluna4]]</f>
        <v>06/10/2025</v>
      </c>
      <c r="W727" s="2" t="str">
        <f>Tabela2[[#This Row],[Coluna6]]</f>
        <v>06/10/2025</v>
      </c>
    </row>
    <row r="728" spans="2:23" x14ac:dyDescent="0.2">
      <c r="B728" t="s">
        <v>27</v>
      </c>
      <c r="C728" t="s">
        <v>95</v>
      </c>
      <c r="D728" t="s">
        <v>19</v>
      </c>
      <c r="E728" s="8" t="s">
        <v>21</v>
      </c>
      <c r="F728" t="s">
        <v>15</v>
      </c>
      <c r="G728" s="8" t="s">
        <v>21</v>
      </c>
      <c r="H728" t="s">
        <v>98</v>
      </c>
      <c r="I728" t="e">
        <f>VLOOKUP(Tabela2[[#This Row],[Coluna7]],[1]!Tabela1[#All],2,0)</f>
        <v>#REF!</v>
      </c>
      <c r="K728">
        <v>955</v>
      </c>
      <c r="M728" t="s">
        <v>140</v>
      </c>
      <c r="N728" t="s">
        <v>141</v>
      </c>
      <c r="Q728" s="10" t="str">
        <f>Tabela2[[#This Row],[Coluna5]]</f>
        <v>10/2025</v>
      </c>
      <c r="R728" s="10" t="str">
        <f>IF(Tabela2[[#This Row],[Coluna9]]&gt;0,"Entrada","Saída")</f>
        <v>Entrada</v>
      </c>
      <c r="S728" s="10">
        <f>Tabela2[[#This Row],[Coluna8]]</f>
        <v>0</v>
      </c>
      <c r="T728" s="10" t="e">
        <f>Tabela2[[#This Row],[Coluna72]]</f>
        <v>#REF!</v>
      </c>
      <c r="U728" s="10">
        <f>SUM(Tabela2[[#This Row],[Coluna9]],Tabela2[[#This Row],[Coluna10]])</f>
        <v>955</v>
      </c>
      <c r="V728" s="2" t="str">
        <f>Tabela2[[#This Row],[Coluna4]]</f>
        <v>06/10/2025</v>
      </c>
      <c r="W728" s="2" t="str">
        <f>Tabela2[[#This Row],[Coluna6]]</f>
        <v>06/10/2025</v>
      </c>
    </row>
    <row r="729" spans="2:23" x14ac:dyDescent="0.2">
      <c r="B729" t="s">
        <v>27</v>
      </c>
      <c r="C729" t="s">
        <v>95</v>
      </c>
      <c r="D729" t="s">
        <v>19</v>
      </c>
      <c r="E729" s="8" t="s">
        <v>21</v>
      </c>
      <c r="F729" t="s">
        <v>15</v>
      </c>
      <c r="G729" s="8" t="s">
        <v>21</v>
      </c>
      <c r="H729" t="s">
        <v>107</v>
      </c>
      <c r="I729" t="e">
        <f>VLOOKUP(Tabela2[[#This Row],[Coluna7]],[1]!Tabela1[#All],2,0)</f>
        <v>#REF!</v>
      </c>
      <c r="K729">
        <v>1366.08</v>
      </c>
      <c r="M729" t="s">
        <v>118</v>
      </c>
      <c r="N729" t="s">
        <v>119</v>
      </c>
      <c r="Q729" s="10" t="str">
        <f>Tabela2[[#This Row],[Coluna5]]</f>
        <v>10/2025</v>
      </c>
      <c r="R729" s="10" t="str">
        <f>IF(Tabela2[[#This Row],[Coluna9]]&gt;0,"Entrada","Saída")</f>
        <v>Entrada</v>
      </c>
      <c r="S729" s="10">
        <f>Tabela2[[#This Row],[Coluna8]]</f>
        <v>0</v>
      </c>
      <c r="T729" s="10" t="e">
        <f>Tabela2[[#This Row],[Coluna72]]</f>
        <v>#REF!</v>
      </c>
      <c r="U729" s="10">
        <f>SUM(Tabela2[[#This Row],[Coluna9]],Tabela2[[#This Row],[Coluna10]])</f>
        <v>1366.08</v>
      </c>
      <c r="V729" s="2" t="str">
        <f>Tabela2[[#This Row],[Coluna4]]</f>
        <v>06/10/2025</v>
      </c>
      <c r="W729" s="2" t="str">
        <f>Tabela2[[#This Row],[Coluna6]]</f>
        <v>06/10/2025</v>
      </c>
    </row>
    <row r="730" spans="2:23" x14ac:dyDescent="0.2">
      <c r="B730" t="s">
        <v>12</v>
      </c>
      <c r="C730" t="s">
        <v>95</v>
      </c>
      <c r="D730" t="s">
        <v>19</v>
      </c>
      <c r="E730" s="8" t="s">
        <v>142</v>
      </c>
      <c r="F730" t="s">
        <v>15</v>
      </c>
      <c r="G730" s="8" t="s">
        <v>143</v>
      </c>
      <c r="H730" t="s">
        <v>104</v>
      </c>
      <c r="I730" t="e">
        <f>VLOOKUP(Tabela2[[#This Row],[Coluna7]],[1]!Tabela1[#All],2,0)</f>
        <v>#REF!</v>
      </c>
      <c r="K730">
        <v>3000</v>
      </c>
      <c r="M730" t="s">
        <v>144</v>
      </c>
      <c r="N730" t="s">
        <v>145</v>
      </c>
      <c r="Q730" s="10" t="str">
        <f>Tabela2[[#This Row],[Coluna5]]</f>
        <v>10/2025</v>
      </c>
      <c r="R730" s="10" t="str">
        <f>IF(Tabela2[[#This Row],[Coluna9]]&gt;0,"Entrada","Saída")</f>
        <v>Entrada</v>
      </c>
      <c r="S730" s="10">
        <f>Tabela2[[#This Row],[Coluna8]]</f>
        <v>0</v>
      </c>
      <c r="T730" s="10" t="e">
        <f>Tabela2[[#This Row],[Coluna72]]</f>
        <v>#REF!</v>
      </c>
      <c r="U730" s="10">
        <f>SUM(Tabela2[[#This Row],[Coluna9]],Tabela2[[#This Row],[Coluna10]])</f>
        <v>3000</v>
      </c>
      <c r="V730" s="2" t="str">
        <f>Tabela2[[#This Row],[Coluna4]]</f>
        <v>07/10/2025</v>
      </c>
      <c r="W730" s="2" t="str">
        <f>Tabela2[[#This Row],[Coluna6]]</f>
        <v>13/10/2025</v>
      </c>
    </row>
    <row r="731" spans="2:23" x14ac:dyDescent="0.2">
      <c r="B731" t="s">
        <v>18</v>
      </c>
      <c r="C731" t="s">
        <v>95</v>
      </c>
      <c r="D731" t="s">
        <v>19</v>
      </c>
      <c r="E731" s="8" t="s">
        <v>142</v>
      </c>
      <c r="F731" t="s">
        <v>15</v>
      </c>
      <c r="G731" s="8" t="s">
        <v>24</v>
      </c>
      <c r="H731" t="s">
        <v>104</v>
      </c>
      <c r="I731" t="e">
        <f>VLOOKUP(Tabela2[[#This Row],[Coluna7]],[1]!Tabela1[#All],2,0)</f>
        <v>#REF!</v>
      </c>
      <c r="K731">
        <v>4127</v>
      </c>
      <c r="M731" t="s">
        <v>146</v>
      </c>
      <c r="N731" t="s">
        <v>147</v>
      </c>
      <c r="Q731" s="10" t="str">
        <f>Tabela2[[#This Row],[Coluna5]]</f>
        <v>10/2025</v>
      </c>
      <c r="R731" s="10" t="str">
        <f>IF(Tabela2[[#This Row],[Coluna9]]&gt;0,"Entrada","Saída")</f>
        <v>Entrada</v>
      </c>
      <c r="S731" s="10">
        <f>Tabela2[[#This Row],[Coluna8]]</f>
        <v>0</v>
      </c>
      <c r="T731" s="10" t="e">
        <f>Tabela2[[#This Row],[Coluna72]]</f>
        <v>#REF!</v>
      </c>
      <c r="U731" s="10">
        <f>SUM(Tabela2[[#This Row],[Coluna9]],Tabela2[[#This Row],[Coluna10]])</f>
        <v>4127</v>
      </c>
      <c r="V731" s="2" t="str">
        <f>Tabela2[[#This Row],[Coluna4]]</f>
        <v>07/10/2025</v>
      </c>
      <c r="W731" s="2" t="str">
        <f>Tabela2[[#This Row],[Coluna6]]</f>
        <v>08/10/2025</v>
      </c>
    </row>
    <row r="732" spans="2:23" x14ac:dyDescent="0.2">
      <c r="B732" t="s">
        <v>27</v>
      </c>
      <c r="C732" t="s">
        <v>95</v>
      </c>
      <c r="D732" t="s">
        <v>19</v>
      </c>
      <c r="E732" s="8" t="s">
        <v>142</v>
      </c>
      <c r="F732" t="s">
        <v>15</v>
      </c>
      <c r="G732" s="8" t="s">
        <v>148</v>
      </c>
      <c r="H732" t="s">
        <v>104</v>
      </c>
      <c r="I732" t="e">
        <f>VLOOKUP(Tabela2[[#This Row],[Coluna7]],[1]!Tabela1[#All],2,0)</f>
        <v>#REF!</v>
      </c>
      <c r="K732">
        <v>450</v>
      </c>
      <c r="M732" t="s">
        <v>149</v>
      </c>
      <c r="N732" t="s">
        <v>150</v>
      </c>
      <c r="Q732" s="10" t="str">
        <f>Tabela2[[#This Row],[Coluna5]]</f>
        <v>10/2025</v>
      </c>
      <c r="R732" s="10" t="str">
        <f>IF(Tabela2[[#This Row],[Coluna9]]&gt;0,"Entrada","Saída")</f>
        <v>Entrada</v>
      </c>
      <c r="S732" s="10">
        <f>Tabela2[[#This Row],[Coluna8]]</f>
        <v>0</v>
      </c>
      <c r="T732" s="10" t="e">
        <f>Tabela2[[#This Row],[Coluna72]]</f>
        <v>#REF!</v>
      </c>
      <c r="U732" s="10">
        <f>SUM(Tabela2[[#This Row],[Coluna9]],Tabela2[[#This Row],[Coluna10]])</f>
        <v>450</v>
      </c>
      <c r="V732" s="2" t="str">
        <f>Tabela2[[#This Row],[Coluna4]]</f>
        <v>07/10/2025</v>
      </c>
      <c r="W732" s="2" t="str">
        <f>Tabela2[[#This Row],[Coluna6]]</f>
        <v>09/10/2025</v>
      </c>
    </row>
    <row r="733" spans="2:23" x14ac:dyDescent="0.2">
      <c r="B733" t="s">
        <v>18</v>
      </c>
      <c r="C733" t="s">
        <v>95</v>
      </c>
      <c r="D733" t="s">
        <v>19</v>
      </c>
      <c r="E733" s="8" t="s">
        <v>142</v>
      </c>
      <c r="F733" t="s">
        <v>15</v>
      </c>
      <c r="G733" s="8" t="s">
        <v>142</v>
      </c>
      <c r="H733" t="s">
        <v>98</v>
      </c>
      <c r="I733" t="e">
        <f>VLOOKUP(Tabela2[[#This Row],[Coluna7]],[1]!Tabela1[#All],2,0)</f>
        <v>#REF!</v>
      </c>
      <c r="J733" t="s">
        <v>151</v>
      </c>
      <c r="K733">
        <v>1000</v>
      </c>
      <c r="M733" t="s">
        <v>152</v>
      </c>
      <c r="N733" t="s">
        <v>153</v>
      </c>
      <c r="Q733" s="10" t="str">
        <f>Tabela2[[#This Row],[Coluna5]]</f>
        <v>10/2025</v>
      </c>
      <c r="R733" s="10" t="str">
        <f>IF(Tabela2[[#This Row],[Coluna9]]&gt;0,"Entrada","Saída")</f>
        <v>Entrada</v>
      </c>
      <c r="S733" s="10" t="str">
        <f>Tabela2[[#This Row],[Coluna8]]</f>
        <v>1/5</v>
      </c>
      <c r="T733" s="10" t="e">
        <f>Tabela2[[#This Row],[Coluna72]]</f>
        <v>#REF!</v>
      </c>
      <c r="U733" s="10">
        <f>SUM(Tabela2[[#This Row],[Coluna9]],Tabela2[[#This Row],[Coluna10]])</f>
        <v>1000</v>
      </c>
      <c r="V733" s="2" t="str">
        <f>Tabela2[[#This Row],[Coluna4]]</f>
        <v>07/10/2025</v>
      </c>
      <c r="W733" s="2" t="str">
        <f>Tabela2[[#This Row],[Coluna6]]</f>
        <v>07/10/2025</v>
      </c>
    </row>
    <row r="734" spans="2:23" x14ac:dyDescent="0.2">
      <c r="B734" t="s">
        <v>18</v>
      </c>
      <c r="C734" t="s">
        <v>95</v>
      </c>
      <c r="D734" t="s">
        <v>19</v>
      </c>
      <c r="E734" s="8" t="s">
        <v>142</v>
      </c>
      <c r="F734" t="s">
        <v>15</v>
      </c>
      <c r="G734" s="8" t="s">
        <v>142</v>
      </c>
      <c r="H734" t="s">
        <v>98</v>
      </c>
      <c r="I734" t="e">
        <f>VLOOKUP(Tabela2[[#This Row],[Coluna7]],[1]!Tabela1[#All],2,0)</f>
        <v>#REF!</v>
      </c>
      <c r="J734" t="s">
        <v>99</v>
      </c>
      <c r="K734">
        <v>634</v>
      </c>
      <c r="N734" t="s">
        <v>154</v>
      </c>
      <c r="Q734" s="10" t="str">
        <f>Tabela2[[#This Row],[Coluna5]]</f>
        <v>10/2025</v>
      </c>
      <c r="R734" s="10" t="str">
        <f>IF(Tabela2[[#This Row],[Coluna9]]&gt;0,"Entrada","Saída")</f>
        <v>Entrada</v>
      </c>
      <c r="S734" s="10" t="str">
        <f>Tabela2[[#This Row],[Coluna8]]</f>
        <v>1/9</v>
      </c>
      <c r="T734" s="10" t="e">
        <f>Tabela2[[#This Row],[Coluna72]]</f>
        <v>#REF!</v>
      </c>
      <c r="U734" s="10">
        <f>SUM(Tabela2[[#This Row],[Coluna9]],Tabela2[[#This Row],[Coluna10]])</f>
        <v>634</v>
      </c>
      <c r="V734" s="2" t="str">
        <f>Tabela2[[#This Row],[Coluna4]]</f>
        <v>07/10/2025</v>
      </c>
      <c r="W734" s="2" t="str">
        <f>Tabela2[[#This Row],[Coluna6]]</f>
        <v>07/10/2025</v>
      </c>
    </row>
    <row r="735" spans="2:23" x14ac:dyDescent="0.2">
      <c r="B735" t="s">
        <v>18</v>
      </c>
      <c r="C735" t="s">
        <v>95</v>
      </c>
      <c r="D735" t="s">
        <v>19</v>
      </c>
      <c r="E735" s="8" t="s">
        <v>142</v>
      </c>
      <c r="F735" t="s">
        <v>15</v>
      </c>
      <c r="G735" s="8" t="s">
        <v>142</v>
      </c>
      <c r="H735" t="s">
        <v>98</v>
      </c>
      <c r="I735" t="e">
        <f>VLOOKUP(Tabela2[[#This Row],[Coluna7]],[1]!Tabela1[#All],2,0)</f>
        <v>#REF!</v>
      </c>
      <c r="K735">
        <v>200</v>
      </c>
      <c r="N735" t="s">
        <v>155</v>
      </c>
      <c r="Q735" s="10" t="str">
        <f>Tabela2[[#This Row],[Coluna5]]</f>
        <v>10/2025</v>
      </c>
      <c r="R735" s="10" t="str">
        <f>IF(Tabela2[[#This Row],[Coluna9]]&gt;0,"Entrada","Saída")</f>
        <v>Entrada</v>
      </c>
      <c r="S735" s="10">
        <f>Tabela2[[#This Row],[Coluna8]]</f>
        <v>0</v>
      </c>
      <c r="T735" s="10" t="e">
        <f>Tabela2[[#This Row],[Coluna72]]</f>
        <v>#REF!</v>
      </c>
      <c r="U735" s="10">
        <f>SUM(Tabela2[[#This Row],[Coluna9]],Tabela2[[#This Row],[Coluna10]])</f>
        <v>200</v>
      </c>
      <c r="V735" s="2" t="str">
        <f>Tabela2[[#This Row],[Coluna4]]</f>
        <v>07/10/2025</v>
      </c>
      <c r="W735" s="2" t="str">
        <f>Tabela2[[#This Row],[Coluna6]]</f>
        <v>07/10/2025</v>
      </c>
    </row>
    <row r="736" spans="2:23" x14ac:dyDescent="0.2">
      <c r="B736" t="s">
        <v>71</v>
      </c>
      <c r="C736" t="s">
        <v>95</v>
      </c>
      <c r="D736" t="s">
        <v>19</v>
      </c>
      <c r="E736" s="8" t="s">
        <v>148</v>
      </c>
      <c r="F736" t="s">
        <v>15</v>
      </c>
      <c r="G736" s="8" t="s">
        <v>148</v>
      </c>
      <c r="H736" t="s">
        <v>156</v>
      </c>
      <c r="I736" t="e">
        <f>VLOOKUP(Tabela2[[#This Row],[Coluna7]],[1]!Tabela1[#All],2,0)</f>
        <v>#REF!</v>
      </c>
      <c r="J736" t="s">
        <v>157</v>
      </c>
      <c r="K736">
        <v>500</v>
      </c>
      <c r="Q736" s="10" t="str">
        <f>Tabela2[[#This Row],[Coluna5]]</f>
        <v>10/2025</v>
      </c>
      <c r="R736" s="10" t="str">
        <f>IF(Tabela2[[#This Row],[Coluna9]]&gt;0,"Entrada","Saída")</f>
        <v>Entrada</v>
      </c>
      <c r="S736" s="10" t="str">
        <f>Tabela2[[#This Row],[Coluna8]]</f>
        <v>FRANCISCO SALES</v>
      </c>
      <c r="T736" s="10" t="e">
        <f>Tabela2[[#This Row],[Coluna72]]</f>
        <v>#REF!</v>
      </c>
      <c r="U736" s="10">
        <f>SUM(Tabela2[[#This Row],[Coluna9]],Tabela2[[#This Row],[Coluna10]])</f>
        <v>500</v>
      </c>
      <c r="V736" s="2" t="str">
        <f>Tabela2[[#This Row],[Coluna4]]</f>
        <v>09/10/2025</v>
      </c>
      <c r="W736" s="2" t="str">
        <f>Tabela2[[#This Row],[Coluna6]]</f>
        <v>09/10/2025</v>
      </c>
    </row>
    <row r="737" spans="2:23" x14ac:dyDescent="0.2">
      <c r="B737" t="s">
        <v>27</v>
      </c>
      <c r="C737" t="s">
        <v>95</v>
      </c>
      <c r="D737" t="s">
        <v>19</v>
      </c>
      <c r="E737" s="8" t="s">
        <v>158</v>
      </c>
      <c r="F737" t="s">
        <v>15</v>
      </c>
      <c r="G737" s="8" t="s">
        <v>21</v>
      </c>
      <c r="H737" t="s">
        <v>98</v>
      </c>
      <c r="I737" t="e">
        <f>VLOOKUP(Tabela2[[#This Row],[Coluna7]],[1]!Tabela1[#All],2,0)</f>
        <v>#REF!</v>
      </c>
      <c r="J737" t="s">
        <v>159</v>
      </c>
      <c r="K737">
        <v>500</v>
      </c>
      <c r="M737" t="s">
        <v>160</v>
      </c>
      <c r="N737" t="s">
        <v>161</v>
      </c>
      <c r="Q737" s="10" t="str">
        <f>Tabela2[[#This Row],[Coluna5]]</f>
        <v>10/2025</v>
      </c>
      <c r="R737" s="10" t="str">
        <f>IF(Tabela2[[#This Row],[Coluna9]]&gt;0,"Entrada","Saída")</f>
        <v>Entrada</v>
      </c>
      <c r="S737" s="10" t="str">
        <f>Tabela2[[#This Row],[Coluna8]]</f>
        <v>1/14</v>
      </c>
      <c r="T737" s="10" t="e">
        <f>Tabela2[[#This Row],[Coluna72]]</f>
        <v>#REF!</v>
      </c>
      <c r="U737" s="10">
        <f>SUM(Tabela2[[#This Row],[Coluna9]],Tabela2[[#This Row],[Coluna10]])</f>
        <v>500</v>
      </c>
      <c r="V737" s="2" t="str">
        <f>Tabela2[[#This Row],[Coluna4]]</f>
        <v>10/10/2025</v>
      </c>
      <c r="W737" s="2" t="str">
        <f>Tabela2[[#This Row],[Coluna6]]</f>
        <v>06/10/2025</v>
      </c>
    </row>
    <row r="738" spans="2:23" x14ac:dyDescent="0.2">
      <c r="B738" t="s">
        <v>27</v>
      </c>
      <c r="C738" t="s">
        <v>95</v>
      </c>
      <c r="D738" t="s">
        <v>19</v>
      </c>
      <c r="E738" s="8" t="s">
        <v>158</v>
      </c>
      <c r="F738" t="s">
        <v>15</v>
      </c>
      <c r="G738" s="8" t="s">
        <v>158</v>
      </c>
      <c r="H738" t="s">
        <v>162</v>
      </c>
      <c r="I738" t="e">
        <f>VLOOKUP(Tabela2[[#This Row],[Coluna7]],[1]!Tabela1[#All],2,0)</f>
        <v>#REF!</v>
      </c>
      <c r="J738" t="s">
        <v>163</v>
      </c>
      <c r="K738">
        <v>0.08</v>
      </c>
      <c r="Q738" s="10" t="str">
        <f>Tabela2[[#This Row],[Coluna5]]</f>
        <v>10/2025</v>
      </c>
      <c r="R738" s="10" t="str">
        <f>IF(Tabela2[[#This Row],[Coluna9]]&gt;0,"Entrada","Saída")</f>
        <v>Entrada</v>
      </c>
      <c r="S738" s="10" t="str">
        <f>Tabela2[[#This Row],[Coluna8]]</f>
        <v>RENTABILIDADE BRADESCO</v>
      </c>
      <c r="T738" s="10" t="e">
        <f>Tabela2[[#This Row],[Coluna72]]</f>
        <v>#REF!</v>
      </c>
      <c r="U738" s="10">
        <f>SUM(Tabela2[[#This Row],[Coluna9]],Tabela2[[#This Row],[Coluna10]])</f>
        <v>0.08</v>
      </c>
      <c r="V738" s="2" t="str">
        <f>Tabela2[[#This Row],[Coluna4]]</f>
        <v>10/10/2025</v>
      </c>
      <c r="W738" s="2" t="str">
        <f>Tabela2[[#This Row],[Coluna6]]</f>
        <v>10/10/2025</v>
      </c>
    </row>
    <row r="739" spans="2:23" x14ac:dyDescent="0.2">
      <c r="B739" t="s">
        <v>27</v>
      </c>
      <c r="C739" t="s">
        <v>95</v>
      </c>
      <c r="D739" t="s">
        <v>19</v>
      </c>
      <c r="E739" s="8" t="s">
        <v>158</v>
      </c>
      <c r="F739" t="s">
        <v>15</v>
      </c>
      <c r="G739" s="8" t="s">
        <v>158</v>
      </c>
      <c r="H739" t="s">
        <v>162</v>
      </c>
      <c r="I739" t="e">
        <f>VLOOKUP(Tabela2[[#This Row],[Coluna7]],[1]!Tabela1[#All],2,0)</f>
        <v>#REF!</v>
      </c>
      <c r="J739" t="s">
        <v>163</v>
      </c>
      <c r="K739">
        <v>0.38</v>
      </c>
      <c r="Q739" s="10" t="str">
        <f>Tabela2[[#This Row],[Coluna5]]</f>
        <v>10/2025</v>
      </c>
      <c r="R739" s="10" t="str">
        <f>IF(Tabela2[[#This Row],[Coluna9]]&gt;0,"Entrada","Saída")</f>
        <v>Entrada</v>
      </c>
      <c r="S739" s="10" t="str">
        <f>Tabela2[[#This Row],[Coluna8]]</f>
        <v>RENTABILIDADE BRADESCO</v>
      </c>
      <c r="T739" s="10" t="e">
        <f>Tabela2[[#This Row],[Coluna72]]</f>
        <v>#REF!</v>
      </c>
      <c r="U739" s="10">
        <f>SUM(Tabela2[[#This Row],[Coluna9]],Tabela2[[#This Row],[Coluna10]])</f>
        <v>0.38</v>
      </c>
      <c r="V739" s="2" t="str">
        <f>Tabela2[[#This Row],[Coluna4]]</f>
        <v>10/10/2025</v>
      </c>
      <c r="W739" s="2" t="str">
        <f>Tabela2[[#This Row],[Coluna6]]</f>
        <v>10/10/2025</v>
      </c>
    </row>
    <row r="740" spans="2:23" x14ac:dyDescent="0.2">
      <c r="B740" t="s">
        <v>27</v>
      </c>
      <c r="C740" t="s">
        <v>95</v>
      </c>
      <c r="D740" t="s">
        <v>19</v>
      </c>
      <c r="E740" s="8" t="s">
        <v>158</v>
      </c>
      <c r="F740" t="s">
        <v>15</v>
      </c>
      <c r="G740" s="8" t="s">
        <v>24</v>
      </c>
      <c r="H740" t="s">
        <v>98</v>
      </c>
      <c r="I740" t="e">
        <f>VLOOKUP(Tabela2[[#This Row],[Coluna7]],[1]!Tabela1[#All],2,0)</f>
        <v>#REF!</v>
      </c>
      <c r="J740" t="s">
        <v>99</v>
      </c>
      <c r="K740">
        <v>500</v>
      </c>
      <c r="N740" t="s">
        <v>164</v>
      </c>
      <c r="Q740" s="10" t="str">
        <f>Tabela2[[#This Row],[Coluna5]]</f>
        <v>10/2025</v>
      </c>
      <c r="R740" s="10" t="str">
        <f>IF(Tabela2[[#This Row],[Coluna9]]&gt;0,"Entrada","Saída")</f>
        <v>Entrada</v>
      </c>
      <c r="S740" s="10" t="str">
        <f>Tabela2[[#This Row],[Coluna8]]</f>
        <v>1/9</v>
      </c>
      <c r="T740" s="10" t="e">
        <f>Tabela2[[#This Row],[Coluna72]]</f>
        <v>#REF!</v>
      </c>
      <c r="U740" s="10">
        <f>SUM(Tabela2[[#This Row],[Coluna9]],Tabela2[[#This Row],[Coluna10]])</f>
        <v>500</v>
      </c>
      <c r="V740" s="2" t="str">
        <f>Tabela2[[#This Row],[Coluna4]]</f>
        <v>10/10/2025</v>
      </c>
      <c r="W740" s="2" t="str">
        <f>Tabela2[[#This Row],[Coluna6]]</f>
        <v>08/10/2025</v>
      </c>
    </row>
    <row r="741" spans="2:23" x14ac:dyDescent="0.2">
      <c r="B741" t="s">
        <v>27</v>
      </c>
      <c r="C741" t="s">
        <v>125</v>
      </c>
      <c r="D741" t="s">
        <v>19</v>
      </c>
      <c r="E741" s="8" t="s">
        <v>158</v>
      </c>
      <c r="F741" t="s">
        <v>15</v>
      </c>
      <c r="G741" s="8" t="s">
        <v>24</v>
      </c>
      <c r="H741" t="s">
        <v>98</v>
      </c>
      <c r="I741" t="e">
        <f>VLOOKUP(Tabela2[[#This Row],[Coluna7]],[1]!Tabela1[#All],2,0)</f>
        <v>#REF!</v>
      </c>
      <c r="J741" t="s">
        <v>165</v>
      </c>
      <c r="K741">
        <v>320</v>
      </c>
      <c r="N741" t="s">
        <v>166</v>
      </c>
      <c r="Q741" s="10" t="str">
        <f>Tabela2[[#This Row],[Coluna5]]</f>
        <v>10/2025</v>
      </c>
      <c r="R741" s="10" t="str">
        <f>IF(Tabela2[[#This Row],[Coluna9]]&gt;0,"Entrada","Saída")</f>
        <v>Entrada</v>
      </c>
      <c r="S741" s="10" t="str">
        <f>Tabela2[[#This Row],[Coluna8]]</f>
        <v>1/3</v>
      </c>
      <c r="T741" s="10" t="e">
        <f>Tabela2[[#This Row],[Coluna72]]</f>
        <v>#REF!</v>
      </c>
      <c r="U741" s="10">
        <f>SUM(Tabela2[[#This Row],[Coluna9]],Tabela2[[#This Row],[Coluna10]])</f>
        <v>320</v>
      </c>
      <c r="V741" s="2" t="str">
        <f>Tabela2[[#This Row],[Coluna4]]</f>
        <v>10/10/2025</v>
      </c>
      <c r="W741" s="2" t="str">
        <f>Tabela2[[#This Row],[Coluna6]]</f>
        <v>08/10/2025</v>
      </c>
    </row>
    <row r="742" spans="2:23" x14ac:dyDescent="0.2">
      <c r="B742" t="s">
        <v>27</v>
      </c>
      <c r="C742" t="s">
        <v>95</v>
      </c>
      <c r="D742" t="s">
        <v>19</v>
      </c>
      <c r="E742" s="8" t="s">
        <v>143</v>
      </c>
      <c r="F742" t="s">
        <v>15</v>
      </c>
      <c r="G742" s="8" t="s">
        <v>143</v>
      </c>
      <c r="H742" t="s">
        <v>162</v>
      </c>
      <c r="I742" t="e">
        <f>VLOOKUP(Tabela2[[#This Row],[Coluna7]],[1]!Tabela1[#All],2,0)</f>
        <v>#REF!</v>
      </c>
      <c r="K742">
        <v>7.0000000000000007E-2</v>
      </c>
      <c r="Q742" s="10" t="str">
        <f>Tabela2[[#This Row],[Coluna5]]</f>
        <v>10/2025</v>
      </c>
      <c r="R742" s="10" t="str">
        <f>IF(Tabela2[[#This Row],[Coluna9]]&gt;0,"Entrada","Saída")</f>
        <v>Entrada</v>
      </c>
      <c r="S742" s="10">
        <f>Tabela2[[#This Row],[Coluna8]]</f>
        <v>0</v>
      </c>
      <c r="T742" s="10" t="e">
        <f>Tabela2[[#This Row],[Coluna72]]</f>
        <v>#REF!</v>
      </c>
      <c r="U742" s="10">
        <f>SUM(Tabela2[[#This Row],[Coluna9]],Tabela2[[#This Row],[Coluna10]])</f>
        <v>7.0000000000000007E-2</v>
      </c>
      <c r="V742" s="2" t="str">
        <f>Tabela2[[#This Row],[Coluna4]]</f>
        <v>13/10/2025</v>
      </c>
      <c r="W742" s="2" t="str">
        <f>Tabela2[[#This Row],[Coluna6]]</f>
        <v>13/10/2025</v>
      </c>
    </row>
    <row r="743" spans="2:23" x14ac:dyDescent="0.2">
      <c r="B743" t="s">
        <v>27</v>
      </c>
      <c r="C743" t="s">
        <v>95</v>
      </c>
      <c r="D743" t="s">
        <v>19</v>
      </c>
      <c r="E743" s="8" t="s">
        <v>143</v>
      </c>
      <c r="F743" t="s">
        <v>15</v>
      </c>
      <c r="G743" s="8" t="s">
        <v>143</v>
      </c>
      <c r="H743" t="s">
        <v>162</v>
      </c>
      <c r="I743" t="e">
        <f>VLOOKUP(Tabela2[[#This Row],[Coluna7]],[1]!Tabela1[#All],2,0)</f>
        <v>#REF!</v>
      </c>
      <c r="K743">
        <v>0.01</v>
      </c>
      <c r="Q743" s="10" t="str">
        <f>Tabela2[[#This Row],[Coluna5]]</f>
        <v>10/2025</v>
      </c>
      <c r="R743" s="10" t="str">
        <f>IF(Tabela2[[#This Row],[Coluna9]]&gt;0,"Entrada","Saída")</f>
        <v>Entrada</v>
      </c>
      <c r="S743" s="10">
        <f>Tabela2[[#This Row],[Coluna8]]</f>
        <v>0</v>
      </c>
      <c r="T743" s="10" t="e">
        <f>Tabela2[[#This Row],[Coluna72]]</f>
        <v>#REF!</v>
      </c>
      <c r="U743" s="10">
        <f>SUM(Tabela2[[#This Row],[Coluna9]],Tabela2[[#This Row],[Coluna10]])</f>
        <v>0.01</v>
      </c>
      <c r="V743" s="2" t="str">
        <f>Tabela2[[#This Row],[Coluna4]]</f>
        <v>13/10/2025</v>
      </c>
      <c r="W743" s="2" t="str">
        <f>Tabela2[[#This Row],[Coluna6]]</f>
        <v>13/10/2025</v>
      </c>
    </row>
    <row r="744" spans="2:23" x14ac:dyDescent="0.2">
      <c r="B744" t="s">
        <v>27</v>
      </c>
      <c r="C744" t="s">
        <v>95</v>
      </c>
      <c r="D744" t="s">
        <v>19</v>
      </c>
      <c r="E744" s="8" t="s">
        <v>167</v>
      </c>
      <c r="F744" t="s">
        <v>15</v>
      </c>
      <c r="G744" s="8" t="s">
        <v>167</v>
      </c>
      <c r="H744" t="s">
        <v>104</v>
      </c>
      <c r="I744" t="e">
        <f>VLOOKUP(Tabela2[[#This Row],[Coluna7]],[1]!Tabela1[#All],2,0)</f>
        <v>#REF!</v>
      </c>
      <c r="K744">
        <v>911</v>
      </c>
      <c r="M744" t="s">
        <v>168</v>
      </c>
      <c r="N744" t="s">
        <v>169</v>
      </c>
      <c r="Q744" s="10" t="str">
        <f>Tabela2[[#This Row],[Coluna5]]</f>
        <v>10/2025</v>
      </c>
      <c r="R744" s="10" t="str">
        <f>IF(Tabela2[[#This Row],[Coluna9]]&gt;0,"Entrada","Saída")</f>
        <v>Entrada</v>
      </c>
      <c r="S744" s="10">
        <f>Tabela2[[#This Row],[Coluna8]]</f>
        <v>0</v>
      </c>
      <c r="T744" s="10" t="e">
        <f>Tabela2[[#This Row],[Coluna72]]</f>
        <v>#REF!</v>
      </c>
      <c r="U744" s="10">
        <f>SUM(Tabela2[[#This Row],[Coluna9]],Tabela2[[#This Row],[Coluna10]])</f>
        <v>911</v>
      </c>
      <c r="V744" s="2" t="str">
        <f>Tabela2[[#This Row],[Coluna4]]</f>
        <v>14/10/2025</v>
      </c>
      <c r="W744" s="2" t="str">
        <f>Tabela2[[#This Row],[Coluna6]]</f>
        <v>14/10/2025</v>
      </c>
    </row>
    <row r="745" spans="2:23" x14ac:dyDescent="0.2">
      <c r="B745" t="s">
        <v>18</v>
      </c>
      <c r="C745" t="s">
        <v>95</v>
      </c>
      <c r="D745" t="s">
        <v>19</v>
      </c>
      <c r="E745" s="8" t="s">
        <v>167</v>
      </c>
      <c r="F745" t="s">
        <v>15</v>
      </c>
      <c r="G745" s="8" t="s">
        <v>167</v>
      </c>
      <c r="H745" t="s">
        <v>104</v>
      </c>
      <c r="I745" t="e">
        <f>VLOOKUP(Tabela2[[#This Row],[Coluna7]],[1]!Tabela1[#All],2,0)</f>
        <v>#REF!</v>
      </c>
      <c r="K745">
        <v>1883</v>
      </c>
      <c r="N745" t="s">
        <v>170</v>
      </c>
      <c r="Q745" s="10" t="str">
        <f>Tabela2[[#This Row],[Coluna5]]</f>
        <v>10/2025</v>
      </c>
      <c r="R745" s="10" t="str">
        <f>IF(Tabela2[[#This Row],[Coluna9]]&gt;0,"Entrada","Saída")</f>
        <v>Entrada</v>
      </c>
      <c r="S745" s="10">
        <f>Tabela2[[#This Row],[Coluna8]]</f>
        <v>0</v>
      </c>
      <c r="T745" s="10" t="e">
        <f>Tabela2[[#This Row],[Coluna72]]</f>
        <v>#REF!</v>
      </c>
      <c r="U745" s="10">
        <f>SUM(Tabela2[[#This Row],[Coluna9]],Tabela2[[#This Row],[Coluna10]])</f>
        <v>1883</v>
      </c>
      <c r="V745" s="2" t="str">
        <f>Tabela2[[#This Row],[Coluna4]]</f>
        <v>14/10/2025</v>
      </c>
      <c r="W745" s="2" t="str">
        <f>Tabela2[[#This Row],[Coluna6]]</f>
        <v>14/10/2025</v>
      </c>
    </row>
    <row r="746" spans="2:23" x14ac:dyDescent="0.2">
      <c r="B746" t="s">
        <v>12</v>
      </c>
      <c r="C746" t="s">
        <v>95</v>
      </c>
      <c r="D746" t="s">
        <v>19</v>
      </c>
      <c r="E746" s="8" t="s">
        <v>167</v>
      </c>
      <c r="F746" t="s">
        <v>15</v>
      </c>
      <c r="G746" s="8" t="s">
        <v>167</v>
      </c>
      <c r="H746" t="s">
        <v>104</v>
      </c>
      <c r="I746" t="e">
        <f>VLOOKUP(Tabela2[[#This Row],[Coluna7]],[1]!Tabela1[#All],2,0)</f>
        <v>#REF!</v>
      </c>
      <c r="K746">
        <v>10530</v>
      </c>
      <c r="M746" t="s">
        <v>171</v>
      </c>
      <c r="N746" t="s">
        <v>172</v>
      </c>
      <c r="Q746" s="10" t="str">
        <f>Tabela2[[#This Row],[Coluna5]]</f>
        <v>10/2025</v>
      </c>
      <c r="R746" s="10" t="str">
        <f>IF(Tabela2[[#This Row],[Coluna9]]&gt;0,"Entrada","Saída")</f>
        <v>Entrada</v>
      </c>
      <c r="S746" s="10">
        <f>Tabela2[[#This Row],[Coluna8]]</f>
        <v>0</v>
      </c>
      <c r="T746" s="10" t="e">
        <f>Tabela2[[#This Row],[Coluna72]]</f>
        <v>#REF!</v>
      </c>
      <c r="U746" s="10">
        <f>SUM(Tabela2[[#This Row],[Coluna9]],Tabela2[[#This Row],[Coluna10]])</f>
        <v>10530</v>
      </c>
      <c r="V746" s="2" t="str">
        <f>Tabela2[[#This Row],[Coluna4]]</f>
        <v>14/10/2025</v>
      </c>
      <c r="W746" s="2" t="str">
        <f>Tabela2[[#This Row],[Coluna6]]</f>
        <v>14/10/2025</v>
      </c>
    </row>
    <row r="747" spans="2:23" x14ac:dyDescent="0.2">
      <c r="B747" t="s">
        <v>12</v>
      </c>
      <c r="C747" t="s">
        <v>95</v>
      </c>
      <c r="D747" t="s">
        <v>19</v>
      </c>
      <c r="E747" s="8" t="s">
        <v>167</v>
      </c>
      <c r="F747" t="s">
        <v>15</v>
      </c>
      <c r="G747" s="8" t="s">
        <v>167</v>
      </c>
      <c r="H747" t="s">
        <v>104</v>
      </c>
      <c r="I747" t="e">
        <f>VLOOKUP(Tabela2[[#This Row],[Coluna7]],[1]!Tabela1[#All],2,0)</f>
        <v>#REF!</v>
      </c>
      <c r="K747">
        <v>448</v>
      </c>
      <c r="N747" t="s">
        <v>173</v>
      </c>
      <c r="Q747" s="10" t="str">
        <f>Tabela2[[#This Row],[Coluna5]]</f>
        <v>10/2025</v>
      </c>
      <c r="R747" s="10" t="str">
        <f>IF(Tabela2[[#This Row],[Coluna9]]&gt;0,"Entrada","Saída")</f>
        <v>Entrada</v>
      </c>
      <c r="S747" s="10">
        <f>Tabela2[[#This Row],[Coluna8]]</f>
        <v>0</v>
      </c>
      <c r="T747" s="10" t="e">
        <f>Tabela2[[#This Row],[Coluna72]]</f>
        <v>#REF!</v>
      </c>
      <c r="U747" s="10">
        <f>SUM(Tabela2[[#This Row],[Coluna9]],Tabela2[[#This Row],[Coluna10]])</f>
        <v>448</v>
      </c>
      <c r="V747" s="2" t="str">
        <f>Tabela2[[#This Row],[Coluna4]]</f>
        <v>14/10/2025</v>
      </c>
      <c r="W747" s="2" t="str">
        <f>Tabela2[[#This Row],[Coluna6]]</f>
        <v>14/10/2025</v>
      </c>
    </row>
    <row r="748" spans="2:23" x14ac:dyDescent="0.2">
      <c r="B748" t="s">
        <v>27</v>
      </c>
      <c r="C748" t="s">
        <v>95</v>
      </c>
      <c r="D748" t="s">
        <v>19</v>
      </c>
      <c r="E748" s="8" t="s">
        <v>167</v>
      </c>
      <c r="F748" t="s">
        <v>15</v>
      </c>
      <c r="G748" s="8" t="s">
        <v>167</v>
      </c>
      <c r="H748" t="s">
        <v>104</v>
      </c>
      <c r="I748" t="e">
        <f>VLOOKUP(Tabela2[[#This Row],[Coluna7]],[1]!Tabela1[#All],2,0)</f>
        <v>#REF!</v>
      </c>
      <c r="K748">
        <v>319</v>
      </c>
      <c r="N748" t="s">
        <v>174</v>
      </c>
      <c r="Q748" s="10" t="str">
        <f>Tabela2[[#This Row],[Coluna5]]</f>
        <v>10/2025</v>
      </c>
      <c r="R748" s="10" t="str">
        <f>IF(Tabela2[[#This Row],[Coluna9]]&gt;0,"Entrada","Saída")</f>
        <v>Entrada</v>
      </c>
      <c r="S748" s="10">
        <f>Tabela2[[#This Row],[Coluna8]]</f>
        <v>0</v>
      </c>
      <c r="T748" s="10" t="e">
        <f>Tabela2[[#This Row],[Coluna72]]</f>
        <v>#REF!</v>
      </c>
      <c r="U748" s="10">
        <f>SUM(Tabela2[[#This Row],[Coluna9]],Tabela2[[#This Row],[Coluna10]])</f>
        <v>319</v>
      </c>
      <c r="V748" s="2" t="str">
        <f>Tabela2[[#This Row],[Coluna4]]</f>
        <v>14/10/2025</v>
      </c>
      <c r="W748" s="2" t="str">
        <f>Tabela2[[#This Row],[Coluna6]]</f>
        <v>14/10/2025</v>
      </c>
    </row>
    <row r="749" spans="2:23" x14ac:dyDescent="0.2">
      <c r="B749" t="s">
        <v>27</v>
      </c>
      <c r="C749" t="s">
        <v>95</v>
      </c>
      <c r="D749" t="s">
        <v>19</v>
      </c>
      <c r="E749" s="8" t="s">
        <v>167</v>
      </c>
      <c r="F749" t="s">
        <v>15</v>
      </c>
      <c r="G749" s="8" t="s">
        <v>167</v>
      </c>
      <c r="H749" t="s">
        <v>98</v>
      </c>
      <c r="I749" t="e">
        <f>VLOOKUP(Tabela2[[#This Row],[Coluna7]],[1]!Tabela1[#All],2,0)</f>
        <v>#REF!</v>
      </c>
      <c r="J749" t="s">
        <v>175</v>
      </c>
      <c r="K749">
        <v>900</v>
      </c>
      <c r="M749" t="s">
        <v>176</v>
      </c>
      <c r="N749" t="s">
        <v>177</v>
      </c>
      <c r="Q749" s="10" t="str">
        <f>Tabela2[[#This Row],[Coluna5]]</f>
        <v>10/2025</v>
      </c>
      <c r="R749" s="10" t="str">
        <f>IF(Tabela2[[#This Row],[Coluna9]]&gt;0,"Entrada","Saída")</f>
        <v>Entrada</v>
      </c>
      <c r="S749" s="10" t="str">
        <f>Tabela2[[#This Row],[Coluna8]]</f>
        <v>SHM COMERCIO</v>
      </c>
      <c r="T749" s="10" t="e">
        <f>Tabela2[[#This Row],[Coluna72]]</f>
        <v>#REF!</v>
      </c>
      <c r="U749" s="10">
        <f>SUM(Tabela2[[#This Row],[Coluna9]],Tabela2[[#This Row],[Coluna10]])</f>
        <v>900</v>
      </c>
      <c r="V749" s="2" t="str">
        <f>Tabela2[[#This Row],[Coluna4]]</f>
        <v>14/10/2025</v>
      </c>
      <c r="W749" s="2" t="str">
        <f>Tabela2[[#This Row],[Coluna6]]</f>
        <v>14/10/2025</v>
      </c>
    </row>
    <row r="750" spans="2:23" x14ac:dyDescent="0.2">
      <c r="B750" t="s">
        <v>27</v>
      </c>
      <c r="C750" t="s">
        <v>95</v>
      </c>
      <c r="D750" t="s">
        <v>19</v>
      </c>
      <c r="E750" s="8" t="s">
        <v>28</v>
      </c>
      <c r="F750" t="s">
        <v>15</v>
      </c>
      <c r="G750" s="8" t="s">
        <v>28</v>
      </c>
      <c r="H750" s="3" t="s">
        <v>107</v>
      </c>
      <c r="I750" s="3" t="e">
        <f>VLOOKUP(Tabela2[[#This Row],[Coluna7]],[1]!Tabela1[#All],2,0)</f>
        <v>#REF!</v>
      </c>
      <c r="K750">
        <v>27424.28</v>
      </c>
      <c r="M750" t="s">
        <v>179</v>
      </c>
      <c r="N750" t="s">
        <v>180</v>
      </c>
      <c r="Q750" s="10" t="str">
        <f>Tabela2[[#This Row],[Coluna5]]</f>
        <v>10/2025</v>
      </c>
      <c r="R750" s="10" t="str">
        <f>IF(Tabela2[[#This Row],[Coluna9]]&gt;0,"Entrada","Saída")</f>
        <v>Entrada</v>
      </c>
      <c r="S750" s="10">
        <f>Tabela2[[#This Row],[Coluna8]]</f>
        <v>0</v>
      </c>
      <c r="T750" s="10" t="e">
        <f>Tabela2[[#This Row],[Coluna72]]</f>
        <v>#REF!</v>
      </c>
      <c r="U750" s="10">
        <f>SUM(Tabela2[[#This Row],[Coluna9]],Tabela2[[#This Row],[Coluna10]])</f>
        <v>27424.28</v>
      </c>
      <c r="V750" s="2" t="str">
        <f>Tabela2[[#This Row],[Coluna4]]</f>
        <v>15/10/2025</v>
      </c>
      <c r="W750" s="2" t="str">
        <f>Tabela2[[#This Row],[Coluna6]]</f>
        <v>15/10/2025</v>
      </c>
    </row>
    <row r="751" spans="2:23" x14ac:dyDescent="0.2">
      <c r="B751" t="s">
        <v>27</v>
      </c>
      <c r="C751" t="s">
        <v>95</v>
      </c>
      <c r="D751" t="s">
        <v>19</v>
      </c>
      <c r="E751" s="8" t="s">
        <v>28</v>
      </c>
      <c r="F751" t="s">
        <v>15</v>
      </c>
      <c r="G751" s="8" t="s">
        <v>28</v>
      </c>
      <c r="H751" t="s">
        <v>181</v>
      </c>
      <c r="I751" t="e">
        <f>VLOOKUP(Tabela2[[#This Row],[Coluna7]],[1]!Tabela1[#All],2,0)</f>
        <v>#REF!</v>
      </c>
      <c r="K751">
        <v>1641.54</v>
      </c>
      <c r="M751" t="s">
        <v>182</v>
      </c>
      <c r="N751" t="s">
        <v>183</v>
      </c>
      <c r="Q751" s="10" t="str">
        <f>Tabela2[[#This Row],[Coluna5]]</f>
        <v>10/2025</v>
      </c>
      <c r="R751" s="10" t="str">
        <f>IF(Tabela2[[#This Row],[Coluna9]]&gt;0,"Entrada","Saída")</f>
        <v>Entrada</v>
      </c>
      <c r="S751" s="10">
        <f>Tabela2[[#This Row],[Coluna8]]</f>
        <v>0</v>
      </c>
      <c r="T751" s="10" t="e">
        <f>Tabela2[[#This Row],[Coluna72]]</f>
        <v>#REF!</v>
      </c>
      <c r="U751" s="10">
        <f>SUM(Tabela2[[#This Row],[Coluna9]],Tabela2[[#This Row],[Coluna10]])</f>
        <v>1641.54</v>
      </c>
      <c r="V751" s="2" t="str">
        <f>Tabela2[[#This Row],[Coluna4]]</f>
        <v>15/10/2025</v>
      </c>
      <c r="W751" s="2" t="str">
        <f>Tabela2[[#This Row],[Coluna6]]</f>
        <v>15/10/2025</v>
      </c>
    </row>
    <row r="752" spans="2:23" x14ac:dyDescent="0.2">
      <c r="B752" t="s">
        <v>27</v>
      </c>
      <c r="C752" t="s">
        <v>95</v>
      </c>
      <c r="D752" t="s">
        <v>19</v>
      </c>
      <c r="E752" s="8" t="s">
        <v>28</v>
      </c>
      <c r="F752" t="s">
        <v>15</v>
      </c>
      <c r="G752" s="8" t="s">
        <v>28</v>
      </c>
      <c r="H752" s="3" t="s">
        <v>107</v>
      </c>
      <c r="I752" s="3" t="e">
        <f>VLOOKUP(Tabela2[[#This Row],[Coluna7]],[1]!Tabela1[#All],2,0)</f>
        <v>#REF!</v>
      </c>
      <c r="K752">
        <v>4924.6899999999996</v>
      </c>
      <c r="M752" t="s">
        <v>182</v>
      </c>
      <c r="N752" t="s">
        <v>183</v>
      </c>
      <c r="Q752" s="10" t="str">
        <f>Tabela2[[#This Row],[Coluna5]]</f>
        <v>10/2025</v>
      </c>
      <c r="R752" s="10" t="str">
        <f>IF(Tabela2[[#This Row],[Coluna9]]&gt;0,"Entrada","Saída")</f>
        <v>Entrada</v>
      </c>
      <c r="S752" s="10">
        <f>Tabela2[[#This Row],[Coluna8]]</f>
        <v>0</v>
      </c>
      <c r="T752" s="10" t="e">
        <f>Tabela2[[#This Row],[Coluna72]]</f>
        <v>#REF!</v>
      </c>
      <c r="U752" s="10">
        <f>SUM(Tabela2[[#This Row],[Coluna9]],Tabela2[[#This Row],[Coluna10]])</f>
        <v>4924.6899999999996</v>
      </c>
      <c r="V752" s="2" t="str">
        <f>Tabela2[[#This Row],[Coluna4]]</f>
        <v>15/10/2025</v>
      </c>
      <c r="W752" s="2" t="str">
        <f>Tabela2[[#This Row],[Coluna6]]</f>
        <v>15/10/2025</v>
      </c>
    </row>
    <row r="753" spans="2:23" x14ac:dyDescent="0.2">
      <c r="B753" t="s">
        <v>27</v>
      </c>
      <c r="C753" t="s">
        <v>95</v>
      </c>
      <c r="D753" t="s">
        <v>19</v>
      </c>
      <c r="E753" s="8" t="s">
        <v>28</v>
      </c>
      <c r="F753" t="s">
        <v>15</v>
      </c>
      <c r="G753" s="8" t="s">
        <v>28</v>
      </c>
      <c r="H753" s="3" t="s">
        <v>107</v>
      </c>
      <c r="I753" s="3" t="e">
        <f>VLOOKUP(Tabela2[[#This Row],[Coluna7]],[1]!Tabela1[#All],2,0)</f>
        <v>#REF!</v>
      </c>
      <c r="K753">
        <v>13764.01</v>
      </c>
      <c r="M753" t="s">
        <v>184</v>
      </c>
      <c r="N753" t="s">
        <v>185</v>
      </c>
      <c r="Q753" s="10" t="str">
        <f>Tabela2[[#This Row],[Coluna5]]</f>
        <v>10/2025</v>
      </c>
      <c r="R753" s="10" t="str">
        <f>IF(Tabela2[[#This Row],[Coluna9]]&gt;0,"Entrada","Saída")</f>
        <v>Entrada</v>
      </c>
      <c r="S753" s="10">
        <f>Tabela2[[#This Row],[Coluna8]]</f>
        <v>0</v>
      </c>
      <c r="T753" s="10" t="e">
        <f>Tabela2[[#This Row],[Coluna72]]</f>
        <v>#REF!</v>
      </c>
      <c r="U753" s="10">
        <f>SUM(Tabela2[[#This Row],[Coluna9]],Tabela2[[#This Row],[Coluna10]])</f>
        <v>13764.01</v>
      </c>
      <c r="V753" s="2" t="str">
        <f>Tabela2[[#This Row],[Coluna4]]</f>
        <v>15/10/2025</v>
      </c>
      <c r="W753" s="2" t="str">
        <f>Tabela2[[#This Row],[Coluna6]]</f>
        <v>15/10/2025</v>
      </c>
    </row>
    <row r="754" spans="2:23" x14ac:dyDescent="0.2">
      <c r="B754" t="s">
        <v>27</v>
      </c>
      <c r="C754" t="s">
        <v>95</v>
      </c>
      <c r="D754" t="s">
        <v>19</v>
      </c>
      <c r="E754" s="8" t="s">
        <v>28</v>
      </c>
      <c r="F754" t="s">
        <v>15</v>
      </c>
      <c r="G754" s="8" t="s">
        <v>28</v>
      </c>
      <c r="H754" t="s">
        <v>107</v>
      </c>
      <c r="I754" t="e">
        <f>VLOOKUP(Tabela2[[#This Row],[Coluna7]],[1]!Tabela1[#All],2,0)</f>
        <v>#REF!</v>
      </c>
      <c r="J754" t="s">
        <v>186</v>
      </c>
      <c r="K754">
        <v>600</v>
      </c>
      <c r="M754" t="s">
        <v>187</v>
      </c>
      <c r="N754" t="s">
        <v>188</v>
      </c>
      <c r="Q754" s="10" t="str">
        <f>Tabela2[[#This Row],[Coluna5]]</f>
        <v>10/2025</v>
      </c>
      <c r="R754" s="10" t="str">
        <f>IF(Tabela2[[#This Row],[Coluna9]]&gt;0,"Entrada","Saída")</f>
        <v>Entrada</v>
      </c>
      <c r="S754" s="10" t="str">
        <f>Tabela2[[#This Row],[Coluna8]]</f>
        <v>BODE E BRASA</v>
      </c>
      <c r="T754" s="10" t="e">
        <f>Tabela2[[#This Row],[Coluna72]]</f>
        <v>#REF!</v>
      </c>
      <c r="U754" s="10">
        <f>SUM(Tabela2[[#This Row],[Coluna9]],Tabela2[[#This Row],[Coluna10]])</f>
        <v>600</v>
      </c>
      <c r="V754" s="2" t="str">
        <f>Tabela2[[#This Row],[Coluna4]]</f>
        <v>15/10/2025</v>
      </c>
      <c r="W754" s="2" t="str">
        <f>Tabela2[[#This Row],[Coluna6]]</f>
        <v>15/10/2025</v>
      </c>
    </row>
    <row r="755" spans="2:23" x14ac:dyDescent="0.2">
      <c r="B755" t="s">
        <v>34</v>
      </c>
      <c r="C755" t="s">
        <v>95</v>
      </c>
      <c r="D755" t="s">
        <v>19</v>
      </c>
      <c r="E755" s="8" t="s">
        <v>31</v>
      </c>
      <c r="F755" t="s">
        <v>15</v>
      </c>
      <c r="G755" s="8" t="s">
        <v>31</v>
      </c>
      <c r="H755" t="s">
        <v>162</v>
      </c>
      <c r="I755" t="e">
        <f>VLOOKUP(Tabela2[[#This Row],[Coluna7]],[1]!Tabela1[#All],2,0)</f>
        <v>#REF!</v>
      </c>
      <c r="K755">
        <v>740.29</v>
      </c>
      <c r="Q755" s="10" t="str">
        <f>Tabela2[[#This Row],[Coluna5]]</f>
        <v>10/2025</v>
      </c>
      <c r="R755" s="10" t="str">
        <f>IF(Tabela2[[#This Row],[Coluna9]]&gt;0,"Entrada","Saída")</f>
        <v>Entrada</v>
      </c>
      <c r="S755" s="10">
        <f>Tabela2[[#This Row],[Coluna8]]</f>
        <v>0</v>
      </c>
      <c r="T755" s="10" t="e">
        <f>Tabela2[[#This Row],[Coluna72]]</f>
        <v>#REF!</v>
      </c>
      <c r="U755" s="10">
        <f>SUM(Tabela2[[#This Row],[Coluna9]],Tabela2[[#This Row],[Coluna10]])</f>
        <v>740.29</v>
      </c>
      <c r="V755" s="2" t="str">
        <f>Tabela2[[#This Row],[Coluna4]]</f>
        <v>17/10/2025</v>
      </c>
      <c r="W755" s="2" t="str">
        <f>Tabela2[[#This Row],[Coluna6]]</f>
        <v>17/10/2025</v>
      </c>
    </row>
    <row r="756" spans="2:23" x14ac:dyDescent="0.2">
      <c r="B756" t="s">
        <v>27</v>
      </c>
      <c r="C756" t="s">
        <v>95</v>
      </c>
      <c r="D756" t="s">
        <v>19</v>
      </c>
      <c r="E756" s="8" t="s">
        <v>31</v>
      </c>
      <c r="F756" t="s">
        <v>15</v>
      </c>
      <c r="G756" s="8" t="s">
        <v>31</v>
      </c>
      <c r="H756" t="s">
        <v>162</v>
      </c>
      <c r="I756" t="e">
        <f>VLOOKUP(Tabela2[[#This Row],[Coluna7]],[1]!Tabela1[#All],2,0)</f>
        <v>#REF!</v>
      </c>
      <c r="K756">
        <v>0.2</v>
      </c>
      <c r="Q756" s="10" t="str">
        <f>Tabela2[[#This Row],[Coluna5]]</f>
        <v>10/2025</v>
      </c>
      <c r="R756" s="10" t="str">
        <f>IF(Tabela2[[#This Row],[Coluna9]]&gt;0,"Entrada","Saída")</f>
        <v>Entrada</v>
      </c>
      <c r="S756" s="10">
        <f>Tabela2[[#This Row],[Coluna8]]</f>
        <v>0</v>
      </c>
      <c r="T756" s="10" t="e">
        <f>Tabela2[[#This Row],[Coluna72]]</f>
        <v>#REF!</v>
      </c>
      <c r="U756" s="10">
        <f>SUM(Tabela2[[#This Row],[Coluna9]],Tabela2[[#This Row],[Coluna10]])</f>
        <v>0.2</v>
      </c>
      <c r="V756" s="2" t="str">
        <f>Tabela2[[#This Row],[Coluna4]]</f>
        <v>17/10/2025</v>
      </c>
      <c r="W756" s="2" t="str">
        <f>Tabela2[[#This Row],[Coluna6]]</f>
        <v>17/10/2025</v>
      </c>
    </row>
    <row r="757" spans="2:23" x14ac:dyDescent="0.2">
      <c r="B757" t="s">
        <v>27</v>
      </c>
      <c r="C757" t="s">
        <v>95</v>
      </c>
      <c r="D757" t="s">
        <v>19</v>
      </c>
      <c r="E757" s="8" t="s">
        <v>31</v>
      </c>
      <c r="F757" t="s">
        <v>15</v>
      </c>
      <c r="G757" s="8" t="s">
        <v>31</v>
      </c>
      <c r="H757" t="s">
        <v>162</v>
      </c>
      <c r="I757" t="e">
        <f>VLOOKUP(Tabela2[[#This Row],[Coluna7]],[1]!Tabela1[#All],2,0)</f>
        <v>#REF!</v>
      </c>
      <c r="K757">
        <v>0.02</v>
      </c>
      <c r="Q757" s="10" t="str">
        <f>Tabela2[[#This Row],[Coluna5]]</f>
        <v>10/2025</v>
      </c>
      <c r="R757" s="10" t="str">
        <f>IF(Tabela2[[#This Row],[Coluna9]]&gt;0,"Entrada","Saída")</f>
        <v>Entrada</v>
      </c>
      <c r="S757" s="10">
        <f>Tabela2[[#This Row],[Coluna8]]</f>
        <v>0</v>
      </c>
      <c r="T757" s="10" t="e">
        <f>Tabela2[[#This Row],[Coluna72]]</f>
        <v>#REF!</v>
      </c>
      <c r="U757" s="10">
        <f>SUM(Tabela2[[#This Row],[Coluna9]],Tabela2[[#This Row],[Coluna10]])</f>
        <v>0.02</v>
      </c>
      <c r="V757" s="2" t="str">
        <f>Tabela2[[#This Row],[Coluna4]]</f>
        <v>17/10/2025</v>
      </c>
      <c r="W757" s="2" t="str">
        <f>Tabela2[[#This Row],[Coluna6]]</f>
        <v>17/10/2025</v>
      </c>
    </row>
    <row r="758" spans="2:23" x14ac:dyDescent="0.2">
      <c r="B758" t="s">
        <v>27</v>
      </c>
      <c r="C758" t="s">
        <v>95</v>
      </c>
      <c r="D758" t="s">
        <v>19</v>
      </c>
      <c r="E758" s="8" t="s">
        <v>31</v>
      </c>
      <c r="F758" t="s">
        <v>15</v>
      </c>
      <c r="G758" s="8" t="s">
        <v>31</v>
      </c>
      <c r="H758" t="s">
        <v>162</v>
      </c>
      <c r="I758" t="e">
        <f>VLOOKUP(Tabela2[[#This Row],[Coluna7]],[1]!Tabela1[#All],2,0)</f>
        <v>#REF!</v>
      </c>
      <c r="K758">
        <v>0.16</v>
      </c>
      <c r="Q758" s="10" t="str">
        <f>Tabela2[[#This Row],[Coluna5]]</f>
        <v>10/2025</v>
      </c>
      <c r="R758" s="10" t="str">
        <f>IF(Tabela2[[#This Row],[Coluna9]]&gt;0,"Entrada","Saída")</f>
        <v>Entrada</v>
      </c>
      <c r="S758" s="10">
        <f>Tabela2[[#This Row],[Coluna8]]</f>
        <v>0</v>
      </c>
      <c r="T758" s="10" t="e">
        <f>Tabela2[[#This Row],[Coluna72]]</f>
        <v>#REF!</v>
      </c>
      <c r="U758" s="10">
        <f>SUM(Tabela2[[#This Row],[Coluna9]],Tabela2[[#This Row],[Coluna10]])</f>
        <v>0.16</v>
      </c>
      <c r="V758" s="2" t="str">
        <f>Tabela2[[#This Row],[Coluna4]]</f>
        <v>17/10/2025</v>
      </c>
      <c r="W758" s="2" t="str">
        <f>Tabela2[[#This Row],[Coluna6]]</f>
        <v>17/10/2025</v>
      </c>
    </row>
    <row r="759" spans="2:23" x14ac:dyDescent="0.2">
      <c r="B759" t="s">
        <v>27</v>
      </c>
      <c r="C759" t="s">
        <v>95</v>
      </c>
      <c r="D759" t="s">
        <v>19</v>
      </c>
      <c r="E759" s="8" t="s">
        <v>31</v>
      </c>
      <c r="F759" t="s">
        <v>15</v>
      </c>
      <c r="G759" s="8" t="s">
        <v>31</v>
      </c>
      <c r="H759" t="s">
        <v>162</v>
      </c>
      <c r="I759" t="e">
        <f>VLOOKUP(Tabela2[[#This Row],[Coluna7]],[1]!Tabela1[#All],2,0)</f>
        <v>#REF!</v>
      </c>
      <c r="K759">
        <v>0.12</v>
      </c>
      <c r="Q759" s="10" t="str">
        <f>Tabela2[[#This Row],[Coluna5]]</f>
        <v>10/2025</v>
      </c>
      <c r="R759" s="10" t="str">
        <f>IF(Tabela2[[#This Row],[Coluna9]]&gt;0,"Entrada","Saída")</f>
        <v>Entrada</v>
      </c>
      <c r="S759" s="10">
        <f>Tabela2[[#This Row],[Coluna8]]</f>
        <v>0</v>
      </c>
      <c r="T759" s="10" t="e">
        <f>Tabela2[[#This Row],[Coluna72]]</f>
        <v>#REF!</v>
      </c>
      <c r="U759" s="10">
        <f>SUM(Tabela2[[#This Row],[Coluna9]],Tabela2[[#This Row],[Coluna10]])</f>
        <v>0.12</v>
      </c>
      <c r="V759" s="2" t="str">
        <f>Tabela2[[#This Row],[Coluna4]]</f>
        <v>17/10/2025</v>
      </c>
      <c r="W759" s="2" t="str">
        <f>Tabela2[[#This Row],[Coluna6]]</f>
        <v>17/10/2025</v>
      </c>
    </row>
    <row r="760" spans="2:23" x14ac:dyDescent="0.2">
      <c r="B760" t="s">
        <v>27</v>
      </c>
      <c r="C760" t="s">
        <v>95</v>
      </c>
      <c r="D760" t="s">
        <v>19</v>
      </c>
      <c r="E760" s="8" t="s">
        <v>31</v>
      </c>
      <c r="F760" t="s">
        <v>15</v>
      </c>
      <c r="G760" s="8" t="s">
        <v>31</v>
      </c>
      <c r="H760" t="s">
        <v>162</v>
      </c>
      <c r="I760" t="e">
        <f>VLOOKUP(Tabela2[[#This Row],[Coluna7]],[1]!Tabela1[#All],2,0)</f>
        <v>#REF!</v>
      </c>
      <c r="K760">
        <v>0.02</v>
      </c>
      <c r="Q760" s="10" t="str">
        <f>Tabela2[[#This Row],[Coluna5]]</f>
        <v>10/2025</v>
      </c>
      <c r="R760" s="10" t="str">
        <f>IF(Tabela2[[#This Row],[Coluna9]]&gt;0,"Entrada","Saída")</f>
        <v>Entrada</v>
      </c>
      <c r="S760" s="10">
        <f>Tabela2[[#This Row],[Coluna8]]</f>
        <v>0</v>
      </c>
      <c r="T760" s="10" t="e">
        <f>Tabela2[[#This Row],[Coluna72]]</f>
        <v>#REF!</v>
      </c>
      <c r="U760" s="10">
        <f>SUM(Tabela2[[#This Row],[Coluna9]],Tabela2[[#This Row],[Coluna10]])</f>
        <v>0.02</v>
      </c>
      <c r="V760" s="2" t="str">
        <f>Tabela2[[#This Row],[Coluna4]]</f>
        <v>17/10/2025</v>
      </c>
      <c r="W760" s="2" t="str">
        <f>Tabela2[[#This Row],[Coluna6]]</f>
        <v>17/10/2025</v>
      </c>
    </row>
    <row r="761" spans="2:23" x14ac:dyDescent="0.2">
      <c r="B761" t="s">
        <v>27</v>
      </c>
      <c r="C761" t="s">
        <v>95</v>
      </c>
      <c r="D761" t="s">
        <v>19</v>
      </c>
      <c r="E761" s="8" t="s">
        <v>31</v>
      </c>
      <c r="F761" t="s">
        <v>15</v>
      </c>
      <c r="G761" s="8" t="s">
        <v>31</v>
      </c>
      <c r="H761" t="s">
        <v>162</v>
      </c>
      <c r="I761" t="e">
        <f>VLOOKUP(Tabela2[[#This Row],[Coluna7]],[1]!Tabela1[#All],2,0)</f>
        <v>#REF!</v>
      </c>
      <c r="K761">
        <v>0.04</v>
      </c>
      <c r="Q761" s="10" t="str">
        <f>Tabela2[[#This Row],[Coluna5]]</f>
        <v>10/2025</v>
      </c>
      <c r="R761" s="10" t="str">
        <f>IF(Tabela2[[#This Row],[Coluna9]]&gt;0,"Entrada","Saída")</f>
        <v>Entrada</v>
      </c>
      <c r="S761" s="10">
        <f>Tabela2[[#This Row],[Coluna8]]</f>
        <v>0</v>
      </c>
      <c r="T761" s="10" t="e">
        <f>Tabela2[[#This Row],[Coluna72]]</f>
        <v>#REF!</v>
      </c>
      <c r="U761" s="10">
        <f>SUM(Tabela2[[#This Row],[Coluna9]],Tabela2[[#This Row],[Coluna10]])</f>
        <v>0.04</v>
      </c>
      <c r="V761" s="2" t="str">
        <f>Tabela2[[#This Row],[Coluna4]]</f>
        <v>17/10/2025</v>
      </c>
      <c r="W761" s="2" t="str">
        <f>Tabela2[[#This Row],[Coluna6]]</f>
        <v>17/10/2025</v>
      </c>
    </row>
    <row r="762" spans="2:23" x14ac:dyDescent="0.2">
      <c r="B762" t="s">
        <v>27</v>
      </c>
      <c r="C762" t="s">
        <v>95</v>
      </c>
      <c r="D762" t="s">
        <v>19</v>
      </c>
      <c r="E762" s="8" t="s">
        <v>31</v>
      </c>
      <c r="F762" t="s">
        <v>15</v>
      </c>
      <c r="G762" s="8" t="s">
        <v>31</v>
      </c>
      <c r="H762" t="s">
        <v>162</v>
      </c>
      <c r="I762" t="e">
        <f>VLOOKUP(Tabela2[[#This Row],[Coluna7]],[1]!Tabela1[#All],2,0)</f>
        <v>#REF!</v>
      </c>
      <c r="K762">
        <v>0.14000000000000001</v>
      </c>
      <c r="Q762" s="10" t="str">
        <f>Tabela2[[#This Row],[Coluna5]]</f>
        <v>10/2025</v>
      </c>
      <c r="R762" s="10" t="str">
        <f>IF(Tabela2[[#This Row],[Coluna9]]&gt;0,"Entrada","Saída")</f>
        <v>Entrada</v>
      </c>
      <c r="S762" s="10">
        <f>Tabela2[[#This Row],[Coluna8]]</f>
        <v>0</v>
      </c>
      <c r="T762" s="10" t="e">
        <f>Tabela2[[#This Row],[Coluna72]]</f>
        <v>#REF!</v>
      </c>
      <c r="U762" s="10">
        <f>SUM(Tabela2[[#This Row],[Coluna9]],Tabela2[[#This Row],[Coluna10]])</f>
        <v>0.14000000000000001</v>
      </c>
      <c r="V762" s="2" t="str">
        <f>Tabela2[[#This Row],[Coluna4]]</f>
        <v>17/10/2025</v>
      </c>
      <c r="W762" s="2" t="str">
        <f>Tabela2[[#This Row],[Coluna6]]</f>
        <v>17/10/2025</v>
      </c>
    </row>
    <row r="763" spans="2:23" x14ac:dyDescent="0.2">
      <c r="B763" t="s">
        <v>27</v>
      </c>
      <c r="C763" t="s">
        <v>95</v>
      </c>
      <c r="D763" t="s">
        <v>19</v>
      </c>
      <c r="E763" s="8" t="s">
        <v>35</v>
      </c>
      <c r="F763" t="s">
        <v>15</v>
      </c>
      <c r="G763" s="8" t="s">
        <v>35</v>
      </c>
      <c r="H763" t="s">
        <v>162</v>
      </c>
      <c r="I763" t="e">
        <f>VLOOKUP(Tabela2[[#This Row],[Coluna7]],[1]!Tabela1[#All],2,0)</f>
        <v>#REF!</v>
      </c>
      <c r="K763">
        <v>0.04</v>
      </c>
      <c r="Q763" s="10" t="str">
        <f>Tabela2[[#This Row],[Coluna5]]</f>
        <v>10/2025</v>
      </c>
      <c r="R763" s="10" t="str">
        <f>IF(Tabela2[[#This Row],[Coluna9]]&gt;0,"Entrada","Saída")</f>
        <v>Entrada</v>
      </c>
      <c r="S763" s="10">
        <f>Tabela2[[#This Row],[Coluna8]]</f>
        <v>0</v>
      </c>
      <c r="T763" s="10" t="e">
        <f>Tabela2[[#This Row],[Coluna72]]</f>
        <v>#REF!</v>
      </c>
      <c r="U763" s="10">
        <f>SUM(Tabela2[[#This Row],[Coluna9]],Tabela2[[#This Row],[Coluna10]])</f>
        <v>0.04</v>
      </c>
      <c r="V763" s="2" t="str">
        <f>Tabela2[[#This Row],[Coluna4]]</f>
        <v>20/10/2025</v>
      </c>
      <c r="W763" s="2" t="str">
        <f>Tabela2[[#This Row],[Coluna6]]</f>
        <v>20/10/2025</v>
      </c>
    </row>
    <row r="764" spans="2:23" x14ac:dyDescent="0.2">
      <c r="B764" t="s">
        <v>12</v>
      </c>
      <c r="C764" t="s">
        <v>95</v>
      </c>
      <c r="D764" t="s">
        <v>19</v>
      </c>
      <c r="E764" s="8" t="s">
        <v>35</v>
      </c>
      <c r="F764" t="s">
        <v>15</v>
      </c>
      <c r="G764" s="8" t="s">
        <v>35</v>
      </c>
      <c r="H764" t="s">
        <v>98</v>
      </c>
      <c r="I764" t="e">
        <f>VLOOKUP(Tabela2[[#This Row],[Coluna7]],[1]!Tabela1[#All],2,0)</f>
        <v>#REF!</v>
      </c>
      <c r="K764">
        <v>500</v>
      </c>
      <c r="N764" t="s">
        <v>189</v>
      </c>
      <c r="Q764" s="10" t="str">
        <f>Tabela2[[#This Row],[Coluna5]]</f>
        <v>10/2025</v>
      </c>
      <c r="R764" s="10" t="str">
        <f>IF(Tabela2[[#This Row],[Coluna9]]&gt;0,"Entrada","Saída")</f>
        <v>Entrada</v>
      </c>
      <c r="S764" s="10">
        <f>Tabela2[[#This Row],[Coluna8]]</f>
        <v>0</v>
      </c>
      <c r="T764" s="10" t="e">
        <f>Tabela2[[#This Row],[Coluna72]]</f>
        <v>#REF!</v>
      </c>
      <c r="U764" s="10">
        <f>SUM(Tabela2[[#This Row],[Coluna9]],Tabela2[[#This Row],[Coluna10]])</f>
        <v>500</v>
      </c>
      <c r="V764" s="2" t="str">
        <f>Tabela2[[#This Row],[Coluna4]]</f>
        <v>20/10/2025</v>
      </c>
      <c r="W764" s="2" t="str">
        <f>Tabela2[[#This Row],[Coluna6]]</f>
        <v>20/10/2025</v>
      </c>
    </row>
    <row r="765" spans="2:23" x14ac:dyDescent="0.2">
      <c r="B765" t="s">
        <v>18</v>
      </c>
      <c r="C765" t="s">
        <v>95</v>
      </c>
      <c r="D765" t="s">
        <v>19</v>
      </c>
      <c r="E765" s="8" t="s">
        <v>190</v>
      </c>
      <c r="F765" t="s">
        <v>15</v>
      </c>
      <c r="G765" s="8" t="s">
        <v>191</v>
      </c>
      <c r="H765" t="s">
        <v>111</v>
      </c>
      <c r="I765" t="e">
        <f>VLOOKUP(Tabela2[[#This Row],[Coluna7]],[1]!Tabela1[#All],2,0)</f>
        <v>#REF!</v>
      </c>
      <c r="J765" t="s">
        <v>151</v>
      </c>
      <c r="K765">
        <v>2000</v>
      </c>
      <c r="M765" t="s">
        <v>192</v>
      </c>
      <c r="N765" t="s">
        <v>193</v>
      </c>
      <c r="Q765" s="10" t="str">
        <f>Tabela2[[#This Row],[Coluna5]]</f>
        <v>10/2025</v>
      </c>
      <c r="R765" s="10" t="str">
        <f>IF(Tabela2[[#This Row],[Coluna9]]&gt;0,"Entrada","Saída")</f>
        <v>Entrada</v>
      </c>
      <c r="S765" s="10" t="str">
        <f>Tabela2[[#This Row],[Coluna8]]</f>
        <v>1/5</v>
      </c>
      <c r="T765" s="10" t="e">
        <f>Tabela2[[#This Row],[Coluna72]]</f>
        <v>#REF!</v>
      </c>
      <c r="U765" s="10">
        <f>SUM(Tabela2[[#This Row],[Coluna9]],Tabela2[[#This Row],[Coluna10]])</f>
        <v>2000</v>
      </c>
      <c r="V765" s="2" t="str">
        <f>Tabela2[[#This Row],[Coluna4]]</f>
        <v>22/10/2025</v>
      </c>
      <c r="W765" s="2" t="str">
        <f>Tabela2[[#This Row],[Coluna6]]</f>
        <v>21/10/2025</v>
      </c>
    </row>
    <row r="766" spans="2:23" x14ac:dyDescent="0.2">
      <c r="B766" t="s">
        <v>12</v>
      </c>
      <c r="C766" t="s">
        <v>95</v>
      </c>
      <c r="D766" t="s">
        <v>19</v>
      </c>
      <c r="E766" s="8" t="s">
        <v>194</v>
      </c>
      <c r="F766" t="s">
        <v>15</v>
      </c>
      <c r="G766" s="8" t="s">
        <v>194</v>
      </c>
      <c r="H766" t="s">
        <v>104</v>
      </c>
      <c r="I766" t="e">
        <f>VLOOKUP(Tabela2[[#This Row],[Coluna7]],[1]!Tabela1[#All],2,0)</f>
        <v>#REF!</v>
      </c>
      <c r="K766">
        <v>512</v>
      </c>
      <c r="M766" t="s">
        <v>195</v>
      </c>
      <c r="N766" t="s">
        <v>196</v>
      </c>
      <c r="Q766" s="10" t="str">
        <f>Tabela2[[#This Row],[Coluna5]]</f>
        <v>10/2025</v>
      </c>
      <c r="R766" s="10" t="str">
        <f>IF(Tabela2[[#This Row],[Coluna9]]&gt;0,"Entrada","Saída")</f>
        <v>Entrada</v>
      </c>
      <c r="S766" s="10">
        <f>Tabela2[[#This Row],[Coluna8]]</f>
        <v>0</v>
      </c>
      <c r="T766" s="10" t="e">
        <f>Tabela2[[#This Row],[Coluna72]]</f>
        <v>#REF!</v>
      </c>
      <c r="U766" s="10">
        <f>SUM(Tabela2[[#This Row],[Coluna9]],Tabela2[[#This Row],[Coluna10]])</f>
        <v>512</v>
      </c>
      <c r="V766" s="2" t="str">
        <f>Tabela2[[#This Row],[Coluna4]]</f>
        <v>24/10/2025</v>
      </c>
      <c r="W766" s="2" t="str">
        <f>Tabela2[[#This Row],[Coluna6]]</f>
        <v>24/10/2025</v>
      </c>
    </row>
    <row r="767" spans="2:23" x14ac:dyDescent="0.2">
      <c r="B767" t="s">
        <v>18</v>
      </c>
      <c r="C767" t="s">
        <v>95</v>
      </c>
      <c r="D767" t="s">
        <v>19</v>
      </c>
      <c r="E767" s="8" t="s">
        <v>197</v>
      </c>
      <c r="F767" t="s">
        <v>15</v>
      </c>
      <c r="G767" s="8" t="s">
        <v>24</v>
      </c>
      <c r="H767" t="s">
        <v>98</v>
      </c>
      <c r="I767" t="e">
        <f>VLOOKUP(Tabela2[[#This Row],[Coluna7]],[1]!Tabela1[#All],2,0)</f>
        <v>#REF!</v>
      </c>
      <c r="J767" t="s">
        <v>198</v>
      </c>
      <c r="K767">
        <v>530</v>
      </c>
      <c r="N767" t="s">
        <v>199</v>
      </c>
      <c r="Q767" s="10" t="str">
        <f>Tabela2[[#This Row],[Coluna5]]</f>
        <v>10/2025</v>
      </c>
      <c r="R767" s="10" t="str">
        <f>IF(Tabela2[[#This Row],[Coluna9]]&gt;0,"Entrada","Saída")</f>
        <v>Entrada</v>
      </c>
      <c r="S767" s="10" t="str">
        <f>Tabela2[[#This Row],[Coluna8]]</f>
        <v>1/18</v>
      </c>
      <c r="T767" s="10" t="e">
        <f>Tabela2[[#This Row],[Coluna72]]</f>
        <v>#REF!</v>
      </c>
      <c r="U767" s="10">
        <f>SUM(Tabela2[[#This Row],[Coluna9]],Tabela2[[#This Row],[Coluna10]])</f>
        <v>530</v>
      </c>
      <c r="V767" s="2" t="str">
        <f>Tabela2[[#This Row],[Coluna4]]</f>
        <v>25/10/2025</v>
      </c>
      <c r="W767" s="2" t="str">
        <f>Tabela2[[#This Row],[Coluna6]]</f>
        <v>08/10/2025</v>
      </c>
    </row>
    <row r="768" spans="2:23" x14ac:dyDescent="0.2">
      <c r="B768" t="s">
        <v>27</v>
      </c>
      <c r="C768" t="s">
        <v>200</v>
      </c>
      <c r="D768" t="s">
        <v>19</v>
      </c>
      <c r="E768" s="8" t="s">
        <v>201</v>
      </c>
      <c r="F768" t="s">
        <v>15</v>
      </c>
      <c r="G768" s="8" t="s">
        <v>201</v>
      </c>
      <c r="H768" t="s">
        <v>104</v>
      </c>
      <c r="I768" t="e">
        <f>VLOOKUP(Tabela2[[#This Row],[Coluna7]],[1]!Tabela1[#All],2,0)</f>
        <v>#REF!</v>
      </c>
      <c r="K768">
        <v>128</v>
      </c>
      <c r="N768" t="s">
        <v>202</v>
      </c>
      <c r="Q768" s="10" t="str">
        <f>Tabela2[[#This Row],[Coluna5]]</f>
        <v>10/2025</v>
      </c>
      <c r="R768" s="10" t="str">
        <f>IF(Tabela2[[#This Row],[Coluna9]]&gt;0,"Entrada","Saída")</f>
        <v>Entrada</v>
      </c>
      <c r="S768" s="10">
        <f>Tabela2[[#This Row],[Coluna8]]</f>
        <v>0</v>
      </c>
      <c r="T768" s="10" t="e">
        <f>Tabela2[[#This Row],[Coluna72]]</f>
        <v>#REF!</v>
      </c>
      <c r="U768" s="10">
        <f>SUM(Tabela2[[#This Row],[Coluna9]],Tabela2[[#This Row],[Coluna10]])</f>
        <v>128</v>
      </c>
      <c r="V768" s="2" t="str">
        <f>Tabela2[[#This Row],[Coluna4]]</f>
        <v>28/10/2025</v>
      </c>
      <c r="W768" s="2" t="str">
        <f>Tabela2[[#This Row],[Coluna6]]</f>
        <v>28/10/2025</v>
      </c>
    </row>
    <row r="769" spans="2:23" x14ac:dyDescent="0.2">
      <c r="B769" t="s">
        <v>18</v>
      </c>
      <c r="C769" t="s">
        <v>95</v>
      </c>
      <c r="D769" t="s">
        <v>19</v>
      </c>
      <c r="E769" s="8" t="s">
        <v>127</v>
      </c>
      <c r="F769" t="s">
        <v>15</v>
      </c>
      <c r="G769" s="8" t="s">
        <v>38</v>
      </c>
      <c r="H769" t="s">
        <v>98</v>
      </c>
      <c r="I769" t="e">
        <f>VLOOKUP(Tabela2[[#This Row],[Coluna7]],[1]!Tabela1[#All],2,0)</f>
        <v>#REF!</v>
      </c>
      <c r="J769" t="s">
        <v>203</v>
      </c>
      <c r="K769">
        <v>450</v>
      </c>
      <c r="M769" t="s">
        <v>204</v>
      </c>
      <c r="N769" t="s">
        <v>205</v>
      </c>
      <c r="Q769" s="10" t="str">
        <f>Tabela2[[#This Row],[Coluna5]]</f>
        <v>10/2025</v>
      </c>
      <c r="R769" s="10" t="str">
        <f>IF(Tabela2[[#This Row],[Coluna9]]&gt;0,"Entrada","Saída")</f>
        <v>Entrada</v>
      </c>
      <c r="S769" s="10" t="str">
        <f>Tabela2[[#This Row],[Coluna8]]</f>
        <v>1/20</v>
      </c>
      <c r="T769" s="10" t="e">
        <f>Tabela2[[#This Row],[Coluna72]]</f>
        <v>#REF!</v>
      </c>
      <c r="U769" s="10">
        <f>SUM(Tabela2[[#This Row],[Coluna9]],Tabela2[[#This Row],[Coluna10]])</f>
        <v>450</v>
      </c>
      <c r="V769" s="2" t="str">
        <f>Tabela2[[#This Row],[Coluna4]]</f>
        <v>29/10/2025</v>
      </c>
      <c r="W769" s="2" t="str">
        <f>Tabela2[[#This Row],[Coluna6]]</f>
        <v>27/10/2025</v>
      </c>
    </row>
    <row r="770" spans="2:23" x14ac:dyDescent="0.2">
      <c r="B770" t="s">
        <v>18</v>
      </c>
      <c r="C770" t="s">
        <v>95</v>
      </c>
      <c r="D770" t="s">
        <v>19</v>
      </c>
      <c r="E770" s="8" t="s">
        <v>127</v>
      </c>
      <c r="F770" t="s">
        <v>15</v>
      </c>
      <c r="G770" s="8" t="s">
        <v>38</v>
      </c>
      <c r="H770" t="s">
        <v>98</v>
      </c>
      <c r="I770" t="e">
        <f>VLOOKUP(Tabela2[[#This Row],[Coluna7]],[1]!Tabela1[#All],2,0)</f>
        <v>#REF!</v>
      </c>
      <c r="J770" t="s">
        <v>206</v>
      </c>
      <c r="K770">
        <v>319</v>
      </c>
      <c r="N770" t="s">
        <v>207</v>
      </c>
      <c r="Q770" s="10" t="str">
        <f>Tabela2[[#This Row],[Coluna5]]</f>
        <v>10/2025</v>
      </c>
      <c r="R770" s="10" t="str">
        <f>IF(Tabela2[[#This Row],[Coluna9]]&gt;0,"Entrada","Saída")</f>
        <v>Entrada</v>
      </c>
      <c r="S770" s="10" t="str">
        <f>Tabela2[[#This Row],[Coluna8]]</f>
        <v>1/12</v>
      </c>
      <c r="T770" s="10" t="e">
        <f>Tabela2[[#This Row],[Coluna72]]</f>
        <v>#REF!</v>
      </c>
      <c r="U770" s="10">
        <f>SUM(Tabela2[[#This Row],[Coluna9]],Tabela2[[#This Row],[Coluna10]])</f>
        <v>319</v>
      </c>
      <c r="V770" s="2" t="str">
        <f>Tabela2[[#This Row],[Coluna4]]</f>
        <v>29/10/2025</v>
      </c>
      <c r="W770" s="2" t="str">
        <f>Tabela2[[#This Row],[Coluna6]]</f>
        <v>27/10/2025</v>
      </c>
    </row>
    <row r="771" spans="2:23" x14ac:dyDescent="0.2">
      <c r="B771" t="s">
        <v>27</v>
      </c>
      <c r="C771" t="s">
        <v>200</v>
      </c>
      <c r="D771" t="s">
        <v>19</v>
      </c>
      <c r="E771" s="8" t="s">
        <v>127</v>
      </c>
      <c r="F771" t="s">
        <v>15</v>
      </c>
      <c r="G771" s="8" t="s">
        <v>208</v>
      </c>
      <c r="H771" t="s">
        <v>98</v>
      </c>
      <c r="I771" t="e">
        <f>VLOOKUP(Tabela2[[#This Row],[Coluna7]],[1]!Tabela1[#All],2,0)</f>
        <v>#REF!</v>
      </c>
      <c r="J771" t="s">
        <v>151</v>
      </c>
      <c r="K771">
        <v>225</v>
      </c>
      <c r="M771" t="s">
        <v>209</v>
      </c>
      <c r="N771" t="s">
        <v>210</v>
      </c>
      <c r="Q771" s="10" t="str">
        <f>Tabela2[[#This Row],[Coluna5]]</f>
        <v>10/2025</v>
      </c>
      <c r="R771" s="10" t="str">
        <f>IF(Tabela2[[#This Row],[Coluna9]]&gt;0,"Entrada","Saída")</f>
        <v>Entrada</v>
      </c>
      <c r="S771" s="10" t="str">
        <f>Tabela2[[#This Row],[Coluna8]]</f>
        <v>1/5</v>
      </c>
      <c r="T771" s="10" t="e">
        <f>Tabela2[[#This Row],[Coluna72]]</f>
        <v>#REF!</v>
      </c>
      <c r="U771" s="10">
        <f>SUM(Tabela2[[#This Row],[Coluna9]],Tabela2[[#This Row],[Coluna10]])</f>
        <v>225</v>
      </c>
      <c r="V771" s="2" t="str">
        <f>Tabela2[[#This Row],[Coluna4]]</f>
        <v>29/10/2025</v>
      </c>
      <c r="W771" s="2" t="str">
        <f>Tabela2[[#This Row],[Coluna6]]</f>
        <v>30/10/2025</v>
      </c>
    </row>
    <row r="772" spans="2:23" x14ac:dyDescent="0.2">
      <c r="B772" t="s">
        <v>12</v>
      </c>
      <c r="C772" t="s">
        <v>95</v>
      </c>
      <c r="D772" t="s">
        <v>19</v>
      </c>
      <c r="E772" s="8" t="s">
        <v>127</v>
      </c>
      <c r="F772" t="s">
        <v>15</v>
      </c>
      <c r="G772" s="8" t="s">
        <v>127</v>
      </c>
      <c r="H772" t="s">
        <v>211</v>
      </c>
      <c r="I772" t="e">
        <f>VLOOKUP(Tabela2[[#This Row],[Coluna7]],[1]!Tabela1[#All],2,0)</f>
        <v>#REF!</v>
      </c>
      <c r="J772" t="s">
        <v>212</v>
      </c>
      <c r="K772">
        <v>1750</v>
      </c>
      <c r="Q772" s="10" t="str">
        <f>Tabela2[[#This Row],[Coluna5]]</f>
        <v>10/2025</v>
      </c>
      <c r="R772" s="10" t="str">
        <f>IF(Tabela2[[#This Row],[Coluna9]]&gt;0,"Entrada","Saída")</f>
        <v>Entrada</v>
      </c>
      <c r="S772" s="10" t="str">
        <f>Tabela2[[#This Row],[Coluna8]]</f>
        <v>DEPOSITO EM DINHEIRO</v>
      </c>
      <c r="T772" s="10" t="e">
        <f>Tabela2[[#This Row],[Coluna72]]</f>
        <v>#REF!</v>
      </c>
      <c r="U772" s="10">
        <f>SUM(Tabela2[[#This Row],[Coluna9]],Tabela2[[#This Row],[Coluna10]])</f>
        <v>1750</v>
      </c>
      <c r="V772" s="2" t="str">
        <f>Tabela2[[#This Row],[Coluna4]]</f>
        <v>29/10/2025</v>
      </c>
      <c r="W772" s="2" t="str">
        <f>Tabela2[[#This Row],[Coluna6]]</f>
        <v>29/10/2025</v>
      </c>
    </row>
    <row r="773" spans="2:23" x14ac:dyDescent="0.2">
      <c r="B773" t="s">
        <v>18</v>
      </c>
      <c r="C773" t="s">
        <v>95</v>
      </c>
      <c r="D773" t="s">
        <v>19</v>
      </c>
      <c r="E773" s="8" t="s">
        <v>208</v>
      </c>
      <c r="F773" t="s">
        <v>97</v>
      </c>
      <c r="G773" s="8" t="s">
        <v>46</v>
      </c>
      <c r="H773" t="s">
        <v>98</v>
      </c>
      <c r="I773" t="e">
        <f>VLOOKUP(Tabela2[[#This Row],[Coluna7]],[1]!Tabela1[#All],2,0)</f>
        <v>#REF!</v>
      </c>
      <c r="J773" t="s">
        <v>213</v>
      </c>
      <c r="K773">
        <v>375</v>
      </c>
      <c r="M773" t="s">
        <v>100</v>
      </c>
      <c r="N773" t="s">
        <v>101</v>
      </c>
      <c r="Q773" s="10" t="str">
        <f>Tabela2[[#This Row],[Coluna5]]</f>
        <v>09/2025</v>
      </c>
      <c r="R773" s="10" t="str">
        <f>IF(Tabela2[[#This Row],[Coluna9]]&gt;0,"Entrada","Saída")</f>
        <v>Entrada</v>
      </c>
      <c r="S773" s="10" t="str">
        <f>Tabela2[[#This Row],[Coluna8]]</f>
        <v>2/9</v>
      </c>
      <c r="T773" s="10" t="e">
        <f>Tabela2[[#This Row],[Coluna72]]</f>
        <v>#REF!</v>
      </c>
      <c r="U773" s="10">
        <f>SUM(Tabela2[[#This Row],[Coluna9]],Tabela2[[#This Row],[Coluna10]])</f>
        <v>375</v>
      </c>
      <c r="V773" s="2" t="str">
        <f>Tabela2[[#This Row],[Coluna4]]</f>
        <v>30/10/2025</v>
      </c>
      <c r="W773" s="2" t="str">
        <f>Tabela2[[#This Row],[Coluna6]]</f>
        <v>11/11/2025</v>
      </c>
    </row>
    <row r="774" spans="2:23" x14ac:dyDescent="0.2">
      <c r="B774" t="s">
        <v>12</v>
      </c>
      <c r="C774" t="s">
        <v>95</v>
      </c>
      <c r="D774" t="s">
        <v>19</v>
      </c>
      <c r="E774" s="8" t="s">
        <v>214</v>
      </c>
      <c r="F774" t="s">
        <v>15</v>
      </c>
      <c r="G774" s="8" t="s">
        <v>214</v>
      </c>
      <c r="H774" t="s">
        <v>211</v>
      </c>
      <c r="I774" t="e">
        <f>VLOOKUP(Tabela2[[#This Row],[Coluna7]],[1]!Tabela1[#All],2,0)</f>
        <v>#REF!</v>
      </c>
      <c r="J774" t="s">
        <v>212</v>
      </c>
      <c r="K774">
        <v>455</v>
      </c>
      <c r="Q774" s="10" t="str">
        <f>Tabela2[[#This Row],[Coluna5]]</f>
        <v>10/2025</v>
      </c>
      <c r="R774" s="10" t="str">
        <f>IF(Tabela2[[#This Row],[Coluna9]]&gt;0,"Entrada","Saída")</f>
        <v>Entrada</v>
      </c>
      <c r="S774" s="10" t="str">
        <f>Tabela2[[#This Row],[Coluna8]]</f>
        <v>DEPOSITO EM DINHEIRO</v>
      </c>
      <c r="T774" s="10" t="e">
        <f>Tabela2[[#This Row],[Coluna72]]</f>
        <v>#REF!</v>
      </c>
      <c r="U774" s="10">
        <f>SUM(Tabela2[[#This Row],[Coluna9]],Tabela2[[#This Row],[Coluna10]])</f>
        <v>455</v>
      </c>
      <c r="V774" s="2" t="str">
        <f>Tabela2[[#This Row],[Coluna4]]</f>
        <v>31/10/2025</v>
      </c>
      <c r="W774" s="2" t="str">
        <f>Tabela2[[#This Row],[Coluna6]]</f>
        <v>31/10/2025</v>
      </c>
    </row>
    <row r="775" spans="2:23" x14ac:dyDescent="0.2">
      <c r="B775" t="s">
        <v>215</v>
      </c>
      <c r="C775" t="s">
        <v>95</v>
      </c>
      <c r="D775" t="s">
        <v>19</v>
      </c>
      <c r="E775" s="8" t="s">
        <v>216</v>
      </c>
      <c r="F775" t="s">
        <v>42</v>
      </c>
      <c r="G775" s="8" t="s">
        <v>216</v>
      </c>
      <c r="H775" t="s">
        <v>217</v>
      </c>
      <c r="I775" t="e">
        <f>VLOOKUP(Tabela2[[#This Row],[Coluna7]],[1]!Tabela1[#All],2,0)</f>
        <v>#REF!</v>
      </c>
      <c r="J775" t="s">
        <v>218</v>
      </c>
      <c r="K775">
        <v>5</v>
      </c>
      <c r="Q775" s="10" t="str">
        <f>Tabela2[[#This Row],[Coluna5]]</f>
        <v>11/2025</v>
      </c>
      <c r="R775" s="10" t="str">
        <f>IF(Tabela2[[#This Row],[Coluna9]]&gt;0,"Entrada","Saída")</f>
        <v>Entrada</v>
      </c>
      <c r="S775" s="10" t="str">
        <f>Tabela2[[#This Row],[Coluna8]]</f>
        <v>ASSUNÇÃO TESTE</v>
      </c>
      <c r="T775" s="10" t="e">
        <f>Tabela2[[#This Row],[Coluna72]]</f>
        <v>#REF!</v>
      </c>
      <c r="U775" s="10">
        <f>SUM(Tabela2[[#This Row],[Coluna9]],Tabela2[[#This Row],[Coluna10]])</f>
        <v>5</v>
      </c>
      <c r="V775" s="2" t="str">
        <f>Tabela2[[#This Row],[Coluna4]]</f>
        <v>02/11/2025</v>
      </c>
      <c r="W775" s="2" t="str">
        <f>Tabela2[[#This Row],[Coluna6]]</f>
        <v>02/11/2025</v>
      </c>
    </row>
    <row r="776" spans="2:23" x14ac:dyDescent="0.2">
      <c r="B776" t="s">
        <v>12</v>
      </c>
      <c r="C776" t="s">
        <v>95</v>
      </c>
      <c r="D776" t="s">
        <v>19</v>
      </c>
      <c r="E776" s="8" t="s">
        <v>52</v>
      </c>
      <c r="F776" t="s">
        <v>15</v>
      </c>
      <c r="G776" s="8" t="s">
        <v>208</v>
      </c>
      <c r="H776" t="s">
        <v>98</v>
      </c>
      <c r="I776" t="e">
        <f>VLOOKUP(Tabela2[[#This Row],[Coluna7]],[1]!Tabela1[#All],2,0)</f>
        <v>#REF!</v>
      </c>
      <c r="J776" t="s">
        <v>219</v>
      </c>
      <c r="K776">
        <v>180</v>
      </c>
      <c r="N776" t="s">
        <v>121</v>
      </c>
      <c r="Q776" s="10" t="str">
        <f>Tabela2[[#This Row],[Coluna5]]</f>
        <v>10/2025</v>
      </c>
      <c r="R776" s="10" t="str">
        <f>IF(Tabela2[[#This Row],[Coluna9]]&gt;0,"Entrada","Saída")</f>
        <v>Entrada</v>
      </c>
      <c r="S776" s="10" t="str">
        <f>Tabela2[[#This Row],[Coluna8]]</f>
        <v>2/8</v>
      </c>
      <c r="T776" s="10" t="e">
        <f>Tabela2[[#This Row],[Coluna72]]</f>
        <v>#REF!</v>
      </c>
      <c r="U776" s="10">
        <f>SUM(Tabela2[[#This Row],[Coluna9]],Tabela2[[#This Row],[Coluna10]])</f>
        <v>180</v>
      </c>
      <c r="V776" s="2" t="str">
        <f>Tabela2[[#This Row],[Coluna4]]</f>
        <v>03/11/2025</v>
      </c>
      <c r="W776" s="2" t="str">
        <f>Tabela2[[#This Row],[Coluna6]]</f>
        <v>30/10/2025</v>
      </c>
    </row>
    <row r="777" spans="2:23" x14ac:dyDescent="0.2">
      <c r="B777" t="s">
        <v>18</v>
      </c>
      <c r="C777" t="s">
        <v>125</v>
      </c>
      <c r="D777" t="s">
        <v>19</v>
      </c>
      <c r="E777" s="8" t="s">
        <v>52</v>
      </c>
      <c r="F777" t="s">
        <v>42</v>
      </c>
      <c r="G777" s="8" t="s">
        <v>52</v>
      </c>
      <c r="H777" t="s">
        <v>98</v>
      </c>
      <c r="I777" t="e">
        <f>VLOOKUP(Tabela2[[#This Row],[Coluna7]],[1]!Tabela1[#All],2,0)</f>
        <v>#REF!</v>
      </c>
      <c r="J777" t="s">
        <v>151</v>
      </c>
      <c r="K777">
        <v>420</v>
      </c>
      <c r="N777" t="s">
        <v>132</v>
      </c>
      <c r="Q777" s="10" t="str">
        <f>Tabela2[[#This Row],[Coluna5]]</f>
        <v>11/2025</v>
      </c>
      <c r="R777" s="10" t="str">
        <f>IF(Tabela2[[#This Row],[Coluna9]]&gt;0,"Entrada","Saída")</f>
        <v>Entrada</v>
      </c>
      <c r="S777" s="10" t="str">
        <f>Tabela2[[#This Row],[Coluna8]]</f>
        <v>1/5</v>
      </c>
      <c r="T777" s="10" t="e">
        <f>Tabela2[[#This Row],[Coluna72]]</f>
        <v>#REF!</v>
      </c>
      <c r="U777" s="10">
        <f>SUM(Tabela2[[#This Row],[Coluna9]],Tabela2[[#This Row],[Coluna10]])</f>
        <v>420</v>
      </c>
      <c r="V777" s="2" t="str">
        <f>Tabela2[[#This Row],[Coluna4]]</f>
        <v>03/11/2025</v>
      </c>
      <c r="W777" s="2" t="str">
        <f>Tabela2[[#This Row],[Coluna6]]</f>
        <v>03/11/2025</v>
      </c>
    </row>
    <row r="778" spans="2:23" x14ac:dyDescent="0.2">
      <c r="B778" t="s">
        <v>18</v>
      </c>
      <c r="C778" t="s">
        <v>125</v>
      </c>
      <c r="D778" t="s">
        <v>19</v>
      </c>
      <c r="E778" s="8" t="s">
        <v>52</v>
      </c>
      <c r="F778" t="s">
        <v>42</v>
      </c>
      <c r="G778" s="8" t="s">
        <v>52</v>
      </c>
      <c r="H778" t="s">
        <v>98</v>
      </c>
      <c r="I778" t="e">
        <f>VLOOKUP(Tabela2[[#This Row],[Coluna7]],[1]!Tabela1[#All],2,0)</f>
        <v>#REF!</v>
      </c>
      <c r="J778" t="s">
        <v>151</v>
      </c>
      <c r="K778">
        <v>300</v>
      </c>
      <c r="M778" t="s">
        <v>116</v>
      </c>
      <c r="N778" t="s">
        <v>117</v>
      </c>
      <c r="Q778" s="10" t="str">
        <f>Tabela2[[#This Row],[Coluna5]]</f>
        <v>11/2025</v>
      </c>
      <c r="R778" s="10" t="str">
        <f>IF(Tabela2[[#This Row],[Coluna9]]&gt;0,"Entrada","Saída")</f>
        <v>Entrada</v>
      </c>
      <c r="S778" s="10" t="str">
        <f>Tabela2[[#This Row],[Coluna8]]</f>
        <v>1/5</v>
      </c>
      <c r="T778" s="10" t="e">
        <f>Tabela2[[#This Row],[Coluna72]]</f>
        <v>#REF!</v>
      </c>
      <c r="U778" s="10">
        <f>SUM(Tabela2[[#This Row],[Coluna9]],Tabela2[[#This Row],[Coluna10]])</f>
        <v>300</v>
      </c>
      <c r="V778" s="2" t="str">
        <f>Tabela2[[#This Row],[Coluna4]]</f>
        <v>03/11/2025</v>
      </c>
      <c r="W778" s="2" t="str">
        <f>Tabela2[[#This Row],[Coluna6]]</f>
        <v>03/11/2025</v>
      </c>
    </row>
    <row r="779" spans="2:23" x14ac:dyDescent="0.2">
      <c r="B779" t="s">
        <v>27</v>
      </c>
      <c r="C779" t="s">
        <v>95</v>
      </c>
      <c r="D779" t="s">
        <v>19</v>
      </c>
      <c r="E779" s="8" t="s">
        <v>52</v>
      </c>
      <c r="F779" t="s">
        <v>42</v>
      </c>
      <c r="G779" s="8" t="s">
        <v>52</v>
      </c>
      <c r="H779" t="s">
        <v>162</v>
      </c>
      <c r="I779" t="e">
        <f>VLOOKUP(Tabela2[[#This Row],[Coluna7]],[1]!Tabela1[#All],2,0)</f>
        <v>#REF!</v>
      </c>
      <c r="J779" t="s">
        <v>220</v>
      </c>
      <c r="K779">
        <v>0.12</v>
      </c>
      <c r="Q779" s="10" t="str">
        <f>Tabela2[[#This Row],[Coluna5]]</f>
        <v>11/2025</v>
      </c>
      <c r="R779" s="10" t="str">
        <f>IF(Tabela2[[#This Row],[Coluna9]]&gt;0,"Entrada","Saída")</f>
        <v>Entrada</v>
      </c>
      <c r="S779" s="10" t="str">
        <f>Tabela2[[#This Row],[Coluna8]]</f>
        <v>RENTABILIDADE</v>
      </c>
      <c r="T779" s="10" t="e">
        <f>Tabela2[[#This Row],[Coluna72]]</f>
        <v>#REF!</v>
      </c>
      <c r="U779" s="10">
        <f>SUM(Tabela2[[#This Row],[Coluna9]],Tabela2[[#This Row],[Coluna10]])</f>
        <v>0.12</v>
      </c>
      <c r="V779" s="2" t="str">
        <f>Tabela2[[#This Row],[Coluna4]]</f>
        <v>03/11/2025</v>
      </c>
      <c r="W779" s="2" t="str">
        <f>Tabela2[[#This Row],[Coluna6]]</f>
        <v>03/11/2025</v>
      </c>
    </row>
    <row r="780" spans="2:23" x14ac:dyDescent="0.2">
      <c r="B780" t="s">
        <v>27</v>
      </c>
      <c r="C780" t="s">
        <v>200</v>
      </c>
      <c r="D780" t="s">
        <v>19</v>
      </c>
      <c r="E780" s="8" t="s">
        <v>52</v>
      </c>
      <c r="F780" t="s">
        <v>42</v>
      </c>
      <c r="G780" s="8" t="s">
        <v>52</v>
      </c>
      <c r="H780" t="s">
        <v>104</v>
      </c>
      <c r="I780" t="e">
        <f>VLOOKUP(Tabela2[[#This Row],[Coluna7]],[1]!Tabela1[#All],2,0)</f>
        <v>#REF!</v>
      </c>
      <c r="K780">
        <v>455.4</v>
      </c>
      <c r="N780" t="s">
        <v>174</v>
      </c>
      <c r="Q780" s="10" t="str">
        <f>Tabela2[[#This Row],[Coluna5]]</f>
        <v>11/2025</v>
      </c>
      <c r="R780" s="10" t="str">
        <f>IF(Tabela2[[#This Row],[Coluna9]]&gt;0,"Entrada","Saída")</f>
        <v>Entrada</v>
      </c>
      <c r="S780" s="10">
        <f>Tabela2[[#This Row],[Coluna8]]</f>
        <v>0</v>
      </c>
      <c r="T780" s="10" t="e">
        <f>Tabela2[[#This Row],[Coluna72]]</f>
        <v>#REF!</v>
      </c>
      <c r="U780" s="10">
        <f>SUM(Tabela2[[#This Row],[Coluna9]],Tabela2[[#This Row],[Coluna10]])</f>
        <v>455.4</v>
      </c>
      <c r="V780" s="2" t="str">
        <f>Tabela2[[#This Row],[Coluna4]]</f>
        <v>03/11/2025</v>
      </c>
      <c r="W780" s="2" t="str">
        <f>Tabela2[[#This Row],[Coluna6]]</f>
        <v>03/11/2025</v>
      </c>
    </row>
    <row r="781" spans="2:23" x14ac:dyDescent="0.2">
      <c r="B781" t="s">
        <v>18</v>
      </c>
      <c r="C781" t="s">
        <v>95</v>
      </c>
      <c r="D781" t="s">
        <v>19</v>
      </c>
      <c r="E781" s="8" t="s">
        <v>41</v>
      </c>
      <c r="F781" t="s">
        <v>42</v>
      </c>
      <c r="G781" s="8" t="s">
        <v>52</v>
      </c>
      <c r="H781" t="s">
        <v>98</v>
      </c>
      <c r="I781" t="e">
        <f>VLOOKUP(Tabela2[[#This Row],[Coluna7]],[1]!Tabela1[#All],2,0)</f>
        <v>#REF!</v>
      </c>
      <c r="J781" t="s">
        <v>165</v>
      </c>
      <c r="K781">
        <v>420</v>
      </c>
      <c r="N781" t="s">
        <v>131</v>
      </c>
      <c r="Q781" s="10" t="str">
        <f>Tabela2[[#This Row],[Coluna5]]</f>
        <v>11/2025</v>
      </c>
      <c r="R781" s="10" t="str">
        <f>IF(Tabela2[[#This Row],[Coluna9]]&gt;0,"Entrada","Saída")</f>
        <v>Entrada</v>
      </c>
      <c r="S781" s="10" t="str">
        <f>Tabela2[[#This Row],[Coluna8]]</f>
        <v>1/3</v>
      </c>
      <c r="T781" s="10" t="e">
        <f>Tabela2[[#This Row],[Coluna72]]</f>
        <v>#REF!</v>
      </c>
      <c r="U781" s="10">
        <f>SUM(Tabela2[[#This Row],[Coluna9]],Tabela2[[#This Row],[Coluna10]])</f>
        <v>420</v>
      </c>
      <c r="V781" s="2" t="str">
        <f>Tabela2[[#This Row],[Coluna4]]</f>
        <v>04/11/2025</v>
      </c>
      <c r="W781" s="2" t="str">
        <f>Tabela2[[#This Row],[Coluna6]]</f>
        <v>03/11/2025</v>
      </c>
    </row>
    <row r="782" spans="2:23" x14ac:dyDescent="0.2">
      <c r="B782" t="s">
        <v>27</v>
      </c>
      <c r="C782" t="s">
        <v>110</v>
      </c>
      <c r="D782" t="s">
        <v>19</v>
      </c>
      <c r="E782" s="8" t="s">
        <v>41</v>
      </c>
      <c r="F782" t="s">
        <v>15</v>
      </c>
      <c r="G782" s="8" t="s">
        <v>41</v>
      </c>
      <c r="H782" t="s">
        <v>111</v>
      </c>
      <c r="I782" t="e">
        <f>VLOOKUP(Tabela2[[#This Row],[Coluna7]],[1]!Tabela1[#All],2,0)</f>
        <v>#REF!</v>
      </c>
      <c r="J782" t="s">
        <v>221</v>
      </c>
      <c r="K782">
        <v>500</v>
      </c>
      <c r="N782" t="s">
        <v>113</v>
      </c>
      <c r="Q782" s="10" t="str">
        <f>Tabela2[[#This Row],[Coluna5]]</f>
        <v>10/2025</v>
      </c>
      <c r="R782" s="10" t="str">
        <f>IF(Tabela2[[#This Row],[Coluna9]]&gt;0,"Entrada","Saída")</f>
        <v>Entrada</v>
      </c>
      <c r="S782" s="10" t="str">
        <f>Tabela2[[#This Row],[Coluna8]]</f>
        <v>2/6</v>
      </c>
      <c r="T782" s="10" t="e">
        <f>Tabela2[[#This Row],[Coluna72]]</f>
        <v>#REF!</v>
      </c>
      <c r="U782" s="10">
        <f>SUM(Tabela2[[#This Row],[Coluna9]],Tabela2[[#This Row],[Coluna10]])</f>
        <v>500</v>
      </c>
      <c r="V782" s="2" t="str">
        <f>Tabela2[[#This Row],[Coluna4]]</f>
        <v>04/11/2025</v>
      </c>
      <c r="W782" s="2" t="str">
        <f>Tabela2[[#This Row],[Coluna6]]</f>
        <v>04/11/2025</v>
      </c>
    </row>
    <row r="783" spans="2:23" x14ac:dyDescent="0.2">
      <c r="B783" t="s">
        <v>27</v>
      </c>
      <c r="C783" t="s">
        <v>95</v>
      </c>
      <c r="D783" t="s">
        <v>19</v>
      </c>
      <c r="E783" s="8" t="s">
        <v>41</v>
      </c>
      <c r="F783" t="s">
        <v>42</v>
      </c>
      <c r="G783" s="8" t="s">
        <v>41</v>
      </c>
      <c r="H783" t="s">
        <v>162</v>
      </c>
      <c r="I783" t="e">
        <f>VLOOKUP(Tabela2[[#This Row],[Coluna7]],[1]!Tabela1[#All],2,0)</f>
        <v>#REF!</v>
      </c>
      <c r="J783" t="s">
        <v>220</v>
      </c>
      <c r="K783">
        <v>0.06</v>
      </c>
      <c r="Q783" s="10" t="str">
        <f>Tabela2[[#This Row],[Coluna5]]</f>
        <v>11/2025</v>
      </c>
      <c r="R783" s="10" t="str">
        <f>IF(Tabela2[[#This Row],[Coluna9]]&gt;0,"Entrada","Saída")</f>
        <v>Entrada</v>
      </c>
      <c r="S783" s="10" t="str">
        <f>Tabela2[[#This Row],[Coluna8]]</f>
        <v>RENTABILIDADE</v>
      </c>
      <c r="T783" s="10" t="e">
        <f>Tabela2[[#This Row],[Coluna72]]</f>
        <v>#REF!</v>
      </c>
      <c r="U783" s="10">
        <f>SUM(Tabela2[[#This Row],[Coluna9]],Tabela2[[#This Row],[Coluna10]])</f>
        <v>0.06</v>
      </c>
      <c r="V783" s="2" t="str">
        <f>Tabela2[[#This Row],[Coluna4]]</f>
        <v>04/11/2025</v>
      </c>
      <c r="W783" s="2" t="str">
        <f>Tabela2[[#This Row],[Coluna6]]</f>
        <v>04/11/2025</v>
      </c>
    </row>
    <row r="784" spans="2:23" x14ac:dyDescent="0.2">
      <c r="B784" t="s">
        <v>27</v>
      </c>
      <c r="C784" t="s">
        <v>95</v>
      </c>
      <c r="D784" t="s">
        <v>19</v>
      </c>
      <c r="E784" s="8" t="s">
        <v>43</v>
      </c>
      <c r="F784" t="s">
        <v>42</v>
      </c>
      <c r="G784" s="8" t="s">
        <v>43</v>
      </c>
      <c r="H784" t="s">
        <v>98</v>
      </c>
      <c r="I784" t="e">
        <f>VLOOKUP(Tabela2[[#This Row],[Coluna7]],[1]!Tabela1[#All],2,0)</f>
        <v>#REF!</v>
      </c>
      <c r="J784" t="s">
        <v>165</v>
      </c>
      <c r="K784">
        <v>270</v>
      </c>
      <c r="M784" t="s">
        <v>118</v>
      </c>
      <c r="N784" t="s">
        <v>119</v>
      </c>
      <c r="Q784" s="10" t="str">
        <f>Tabela2[[#This Row],[Coluna5]]</f>
        <v>11/2025</v>
      </c>
      <c r="R784" s="10" t="str">
        <f>IF(Tabela2[[#This Row],[Coluna9]]&gt;0,"Entrada","Saída")</f>
        <v>Entrada</v>
      </c>
      <c r="S784" s="10" t="str">
        <f>Tabela2[[#This Row],[Coluna8]]</f>
        <v>1/3</v>
      </c>
      <c r="T784" s="10" t="e">
        <f>Tabela2[[#This Row],[Coluna72]]</f>
        <v>#REF!</v>
      </c>
      <c r="U784" s="10">
        <f>SUM(Tabela2[[#This Row],[Coluna9]],Tabela2[[#This Row],[Coluna10]])</f>
        <v>270</v>
      </c>
      <c r="V784" s="2" t="str">
        <f>Tabela2[[#This Row],[Coluna4]]</f>
        <v>05/11/2025</v>
      </c>
      <c r="W784" s="2" t="str">
        <f>Tabela2[[#This Row],[Coluna6]]</f>
        <v>05/11/2025</v>
      </c>
    </row>
    <row r="785" spans="2:23" x14ac:dyDescent="0.2">
      <c r="B785" t="s">
        <v>215</v>
      </c>
      <c r="C785" t="s">
        <v>222</v>
      </c>
      <c r="D785" t="s">
        <v>19</v>
      </c>
      <c r="E785" s="8" t="s">
        <v>43</v>
      </c>
      <c r="F785" t="s">
        <v>42</v>
      </c>
      <c r="G785" s="8" t="s">
        <v>43</v>
      </c>
      <c r="H785" t="s">
        <v>98</v>
      </c>
      <c r="I785" t="e">
        <f>VLOOKUP(Tabela2[[#This Row],[Coluna7]],[1]!Tabela1[#All],2,0)</f>
        <v>#REF!</v>
      </c>
      <c r="J785" t="s">
        <v>223</v>
      </c>
      <c r="K785">
        <v>200</v>
      </c>
      <c r="M785" t="s">
        <v>224</v>
      </c>
      <c r="N785" t="s">
        <v>225</v>
      </c>
      <c r="Q785" s="10" t="str">
        <f>Tabela2[[#This Row],[Coluna5]]</f>
        <v>11/2025</v>
      </c>
      <c r="R785" s="10" t="str">
        <f>IF(Tabela2[[#This Row],[Coluna9]]&gt;0,"Entrada","Saída")</f>
        <v>Entrada</v>
      </c>
      <c r="S785" s="10" t="str">
        <f>Tabela2[[#This Row],[Coluna8]]</f>
        <v>1/15 HONORARIOS INICIAIS</v>
      </c>
      <c r="T785" s="10" t="e">
        <f>Tabela2[[#This Row],[Coluna72]]</f>
        <v>#REF!</v>
      </c>
      <c r="U785" s="10">
        <f>SUM(Tabela2[[#This Row],[Coluna9]],Tabela2[[#This Row],[Coluna10]])</f>
        <v>200</v>
      </c>
      <c r="V785" s="2" t="str">
        <f>Tabela2[[#This Row],[Coluna4]]</f>
        <v>05/11/2025</v>
      </c>
      <c r="W785" s="2" t="str">
        <f>Tabela2[[#This Row],[Coluna6]]</f>
        <v>05/11/2025</v>
      </c>
    </row>
    <row r="786" spans="2:23" x14ac:dyDescent="0.2">
      <c r="B786" t="s">
        <v>27</v>
      </c>
      <c r="C786" t="s">
        <v>125</v>
      </c>
      <c r="D786" t="s">
        <v>19</v>
      </c>
      <c r="E786" s="8" t="s">
        <v>43</v>
      </c>
      <c r="F786" t="s">
        <v>42</v>
      </c>
      <c r="G786" s="8" t="s">
        <v>43</v>
      </c>
      <c r="H786" t="s">
        <v>104</v>
      </c>
      <c r="I786" t="e">
        <f>VLOOKUP(Tabela2[[#This Row],[Coluna7]],[1]!Tabela1[#All],2,0)</f>
        <v>#REF!</v>
      </c>
      <c r="K786">
        <v>2000</v>
      </c>
      <c r="M786" t="s">
        <v>226</v>
      </c>
      <c r="N786" t="s">
        <v>227</v>
      </c>
      <c r="Q786" s="10" t="str">
        <f>Tabela2[[#This Row],[Coluna5]]</f>
        <v>11/2025</v>
      </c>
      <c r="R786" s="10" t="str">
        <f>IF(Tabela2[[#This Row],[Coluna9]]&gt;0,"Entrada","Saída")</f>
        <v>Entrada</v>
      </c>
      <c r="S786" s="10">
        <f>Tabela2[[#This Row],[Coluna8]]</f>
        <v>0</v>
      </c>
      <c r="T786" s="10" t="e">
        <f>Tabela2[[#This Row],[Coluna72]]</f>
        <v>#REF!</v>
      </c>
      <c r="U786" s="10">
        <f>SUM(Tabela2[[#This Row],[Coluna9]],Tabela2[[#This Row],[Coluna10]])</f>
        <v>2000</v>
      </c>
      <c r="V786" s="2" t="str">
        <f>Tabela2[[#This Row],[Coluna4]]</f>
        <v>05/11/2025</v>
      </c>
      <c r="W786" s="2" t="str">
        <f>Tabela2[[#This Row],[Coluna6]]</f>
        <v>05/11/2025</v>
      </c>
    </row>
    <row r="787" spans="2:23" x14ac:dyDescent="0.2">
      <c r="B787" t="s">
        <v>18</v>
      </c>
      <c r="C787" t="s">
        <v>95</v>
      </c>
      <c r="D787" t="s">
        <v>19</v>
      </c>
      <c r="E787" s="8" t="s">
        <v>44</v>
      </c>
      <c r="F787" t="s">
        <v>15</v>
      </c>
      <c r="G787" s="8" t="s">
        <v>47</v>
      </c>
      <c r="H787" t="s">
        <v>98</v>
      </c>
      <c r="I787" t="e">
        <f>VLOOKUP(Tabela2[[#This Row],[Coluna7]],[1]!Tabela1[#All],2,0)</f>
        <v>#REF!</v>
      </c>
      <c r="J787" t="s">
        <v>228</v>
      </c>
      <c r="K787">
        <v>300</v>
      </c>
      <c r="N787" t="s">
        <v>134</v>
      </c>
      <c r="Q787" s="10" t="str">
        <f>Tabela2[[#This Row],[Coluna5]]</f>
        <v>10/2025</v>
      </c>
      <c r="R787" s="10" t="str">
        <f>IF(Tabela2[[#This Row],[Coluna9]]&gt;0,"Entrada","Saída")</f>
        <v>Entrada</v>
      </c>
      <c r="S787" s="10" t="str">
        <f>Tabela2[[#This Row],[Coluna8]]</f>
        <v>2/17</v>
      </c>
      <c r="T787" s="10" t="e">
        <f>Tabela2[[#This Row],[Coluna72]]</f>
        <v>#REF!</v>
      </c>
      <c r="U787" s="10">
        <f>SUM(Tabela2[[#This Row],[Coluna9]],Tabela2[[#This Row],[Coluna10]])</f>
        <v>300</v>
      </c>
      <c r="V787" s="2" t="str">
        <f>Tabela2[[#This Row],[Coluna4]]</f>
        <v>06/11/2025</v>
      </c>
      <c r="W787" s="2" t="str">
        <f>Tabela2[[#This Row],[Coluna6]]</f>
        <v>10/11/2025</v>
      </c>
    </row>
    <row r="788" spans="2:23" x14ac:dyDescent="0.2">
      <c r="B788" t="s">
        <v>18</v>
      </c>
      <c r="C788" t="s">
        <v>95</v>
      </c>
      <c r="D788" t="s">
        <v>19</v>
      </c>
      <c r="E788" s="8" t="s">
        <v>44</v>
      </c>
      <c r="F788" t="s">
        <v>15</v>
      </c>
      <c r="G788" s="8" t="s">
        <v>190</v>
      </c>
      <c r="H788" t="s">
        <v>98</v>
      </c>
      <c r="I788" t="e">
        <f>VLOOKUP(Tabela2[[#This Row],[Coluna7]],[1]!Tabela1[#All],2,0)</f>
        <v>#REF!</v>
      </c>
      <c r="J788" t="s">
        <v>229</v>
      </c>
      <c r="K788">
        <v>600</v>
      </c>
      <c r="N788" t="s">
        <v>136</v>
      </c>
      <c r="Q788" s="10" t="str">
        <f>Tabela2[[#This Row],[Coluna5]]</f>
        <v>10/2025</v>
      </c>
      <c r="R788" s="10" t="str">
        <f>IF(Tabela2[[#This Row],[Coluna9]]&gt;0,"Entrada","Saída")</f>
        <v>Entrada</v>
      </c>
      <c r="S788" s="10" t="str">
        <f>Tabela2[[#This Row],[Coluna8]]</f>
        <v>2/13</v>
      </c>
      <c r="T788" s="10" t="e">
        <f>Tabela2[[#This Row],[Coluna72]]</f>
        <v>#REF!</v>
      </c>
      <c r="U788" s="10">
        <f>SUM(Tabela2[[#This Row],[Coluna9]],Tabela2[[#This Row],[Coluna10]])</f>
        <v>600</v>
      </c>
      <c r="V788" s="2" t="str">
        <f>Tabela2[[#This Row],[Coluna4]]</f>
        <v>06/11/2025</v>
      </c>
      <c r="W788" s="2" t="str">
        <f>Tabela2[[#This Row],[Coluna6]]</f>
        <v>22/10/2025</v>
      </c>
    </row>
    <row r="789" spans="2:23" x14ac:dyDescent="0.2">
      <c r="B789" t="s">
        <v>18</v>
      </c>
      <c r="C789" t="s">
        <v>95</v>
      </c>
      <c r="D789" t="s">
        <v>19</v>
      </c>
      <c r="E789" s="8" t="s">
        <v>44</v>
      </c>
      <c r="F789" t="s">
        <v>15</v>
      </c>
      <c r="G789" s="8" t="s">
        <v>52</v>
      </c>
      <c r="H789" t="s">
        <v>98</v>
      </c>
      <c r="I789" t="e">
        <f>VLOOKUP(Tabela2[[#This Row],[Coluna7]],[1]!Tabela1[#All],2,0)</f>
        <v>#REF!</v>
      </c>
      <c r="J789" t="s">
        <v>230</v>
      </c>
      <c r="K789">
        <v>420</v>
      </c>
      <c r="M789" t="s">
        <v>138</v>
      </c>
      <c r="N789" t="s">
        <v>139</v>
      </c>
      <c r="Q789" s="10" t="str">
        <f>Tabela2[[#This Row],[Coluna5]]</f>
        <v>10/2025</v>
      </c>
      <c r="R789" s="10" t="str">
        <f>IF(Tabela2[[#This Row],[Coluna9]]&gt;0,"Entrada","Saída")</f>
        <v>Entrada</v>
      </c>
      <c r="S789" s="10" t="str">
        <f>Tabela2[[#This Row],[Coluna8]]</f>
        <v>2/7</v>
      </c>
      <c r="T789" s="10" t="e">
        <f>Tabela2[[#This Row],[Coluna72]]</f>
        <v>#REF!</v>
      </c>
      <c r="U789" s="10">
        <f>SUM(Tabela2[[#This Row],[Coluna9]],Tabela2[[#This Row],[Coluna10]])</f>
        <v>420</v>
      </c>
      <c r="V789" s="2" t="str">
        <f>Tabela2[[#This Row],[Coluna4]]</f>
        <v>06/11/2025</v>
      </c>
      <c r="W789" s="2" t="str">
        <f>Tabela2[[#This Row],[Coluna6]]</f>
        <v>03/11/2025</v>
      </c>
    </row>
    <row r="790" spans="2:23" x14ac:dyDescent="0.2">
      <c r="B790" t="s">
        <v>18</v>
      </c>
      <c r="C790" t="s">
        <v>95</v>
      </c>
      <c r="D790" t="s">
        <v>19</v>
      </c>
      <c r="E790" s="8" t="s">
        <v>44</v>
      </c>
      <c r="F790" t="s">
        <v>42</v>
      </c>
      <c r="G790" s="8" t="s">
        <v>44</v>
      </c>
      <c r="H790" t="s">
        <v>98</v>
      </c>
      <c r="I790" t="e">
        <f>VLOOKUP(Tabela2[[#This Row],[Coluna7]],[1]!Tabela1[#All],2,0)</f>
        <v>#REF!</v>
      </c>
      <c r="K790">
        <v>200</v>
      </c>
      <c r="N790" t="s">
        <v>155</v>
      </c>
      <c r="Q790" s="10" t="str">
        <f>Tabela2[[#This Row],[Coluna5]]</f>
        <v>11/2025</v>
      </c>
      <c r="R790" s="10" t="str">
        <f>IF(Tabela2[[#This Row],[Coluna9]]&gt;0,"Entrada","Saída")</f>
        <v>Entrada</v>
      </c>
      <c r="S790" s="10">
        <f>Tabela2[[#This Row],[Coluna8]]</f>
        <v>0</v>
      </c>
      <c r="T790" s="10" t="e">
        <f>Tabela2[[#This Row],[Coluna72]]</f>
        <v>#REF!</v>
      </c>
      <c r="U790" s="10">
        <f>SUM(Tabela2[[#This Row],[Coluna9]],Tabela2[[#This Row],[Coluna10]])</f>
        <v>200</v>
      </c>
      <c r="V790" s="2" t="str">
        <f>Tabela2[[#This Row],[Coluna4]]</f>
        <v>06/11/2025</v>
      </c>
      <c r="W790" s="2" t="str">
        <f>Tabela2[[#This Row],[Coluna6]]</f>
        <v>06/11/2025</v>
      </c>
    </row>
    <row r="791" spans="2:23" x14ac:dyDescent="0.2">
      <c r="B791" t="s">
        <v>18</v>
      </c>
      <c r="C791" t="s">
        <v>125</v>
      </c>
      <c r="D791" t="s">
        <v>19</v>
      </c>
      <c r="E791" s="8" t="s">
        <v>44</v>
      </c>
      <c r="F791" t="s">
        <v>42</v>
      </c>
      <c r="G791" s="8" t="s">
        <v>44</v>
      </c>
      <c r="H791" t="s">
        <v>98</v>
      </c>
      <c r="I791" t="e">
        <f>VLOOKUP(Tabela2[[#This Row],[Coluna7]],[1]!Tabela1[#All],2,0)</f>
        <v>#REF!</v>
      </c>
      <c r="J791" t="s">
        <v>165</v>
      </c>
      <c r="K791">
        <v>400</v>
      </c>
      <c r="M791" t="s">
        <v>123</v>
      </c>
      <c r="N791" t="s">
        <v>124</v>
      </c>
      <c r="Q791" s="10" t="str">
        <f>Tabela2[[#This Row],[Coluna5]]</f>
        <v>11/2025</v>
      </c>
      <c r="R791" s="10" t="str">
        <f>IF(Tabela2[[#This Row],[Coluna9]]&gt;0,"Entrada","Saída")</f>
        <v>Entrada</v>
      </c>
      <c r="S791" s="10" t="str">
        <f>Tabela2[[#This Row],[Coluna8]]</f>
        <v>1/3</v>
      </c>
      <c r="T791" s="10" t="e">
        <f>Tabela2[[#This Row],[Coluna72]]</f>
        <v>#REF!</v>
      </c>
      <c r="U791" s="10">
        <f>SUM(Tabela2[[#This Row],[Coluna9]],Tabela2[[#This Row],[Coluna10]])</f>
        <v>400</v>
      </c>
      <c r="V791" s="2" t="str">
        <f>Tabela2[[#This Row],[Coluna4]]</f>
        <v>06/11/2025</v>
      </c>
      <c r="W791" s="2" t="str">
        <f>Tabela2[[#This Row],[Coluna6]]</f>
        <v>06/11/2025</v>
      </c>
    </row>
    <row r="792" spans="2:23" x14ac:dyDescent="0.2">
      <c r="B792" t="s">
        <v>18</v>
      </c>
      <c r="C792" t="s">
        <v>95</v>
      </c>
      <c r="D792" t="s">
        <v>19</v>
      </c>
      <c r="E792" s="8" t="s">
        <v>231</v>
      </c>
      <c r="F792" t="s">
        <v>15</v>
      </c>
      <c r="G792" s="8" t="s">
        <v>231</v>
      </c>
      <c r="H792" t="s">
        <v>98</v>
      </c>
      <c r="I792" t="e">
        <f>VLOOKUP(Tabela2[[#This Row],[Coluna7]],[1]!Tabela1[#All],2,0)</f>
        <v>#REF!</v>
      </c>
      <c r="J792" t="s">
        <v>232</v>
      </c>
      <c r="K792">
        <v>1000</v>
      </c>
      <c r="M792" t="s">
        <v>152</v>
      </c>
      <c r="N792" t="s">
        <v>153</v>
      </c>
      <c r="Q792" s="10" t="str">
        <f>Tabela2[[#This Row],[Coluna5]]</f>
        <v>10/2025</v>
      </c>
      <c r="R792" s="10" t="str">
        <f>IF(Tabela2[[#This Row],[Coluna9]]&gt;0,"Entrada","Saída")</f>
        <v>Entrada</v>
      </c>
      <c r="S792" s="10" t="str">
        <f>Tabela2[[#This Row],[Coluna8]]</f>
        <v>2/5</v>
      </c>
      <c r="T792" s="10" t="e">
        <f>Tabela2[[#This Row],[Coluna72]]</f>
        <v>#REF!</v>
      </c>
      <c r="U792" s="10">
        <f>SUM(Tabela2[[#This Row],[Coluna9]],Tabela2[[#This Row],[Coluna10]])</f>
        <v>1000</v>
      </c>
      <c r="V792" s="2" t="str">
        <f>Tabela2[[#This Row],[Coluna4]]</f>
        <v>07/11/2025</v>
      </c>
      <c r="W792" s="2" t="str">
        <f>Tabela2[[#This Row],[Coluna6]]</f>
        <v>07/11/2025</v>
      </c>
    </row>
    <row r="793" spans="2:23" x14ac:dyDescent="0.2">
      <c r="B793" t="s">
        <v>18</v>
      </c>
      <c r="C793" t="s">
        <v>95</v>
      </c>
      <c r="D793" t="s">
        <v>19</v>
      </c>
      <c r="E793" s="8" t="s">
        <v>231</v>
      </c>
      <c r="F793" t="s">
        <v>15</v>
      </c>
      <c r="G793" s="8" t="s">
        <v>231</v>
      </c>
      <c r="H793" t="s">
        <v>98</v>
      </c>
      <c r="I793" t="e">
        <f>VLOOKUP(Tabela2[[#This Row],[Coluna7]],[1]!Tabela1[#All],2,0)</f>
        <v>#REF!</v>
      </c>
      <c r="J793" t="s">
        <v>213</v>
      </c>
      <c r="K793">
        <v>634</v>
      </c>
      <c r="N793" t="s">
        <v>154</v>
      </c>
      <c r="Q793" s="10" t="str">
        <f>Tabela2[[#This Row],[Coluna5]]</f>
        <v>10/2025</v>
      </c>
      <c r="R793" s="10" t="str">
        <f>IF(Tabela2[[#This Row],[Coluna9]]&gt;0,"Entrada","Saída")</f>
        <v>Entrada</v>
      </c>
      <c r="S793" s="10" t="str">
        <f>Tabela2[[#This Row],[Coluna8]]</f>
        <v>2/9</v>
      </c>
      <c r="T793" s="10" t="e">
        <f>Tabela2[[#This Row],[Coluna72]]</f>
        <v>#REF!</v>
      </c>
      <c r="U793" s="10">
        <f>SUM(Tabela2[[#This Row],[Coluna9]],Tabela2[[#This Row],[Coluna10]])</f>
        <v>634</v>
      </c>
      <c r="V793" s="2" t="str">
        <f>Tabela2[[#This Row],[Coluna4]]</f>
        <v>07/11/2025</v>
      </c>
      <c r="W793" s="2" t="str">
        <f>Tabela2[[#This Row],[Coluna6]]</f>
        <v>07/11/2025</v>
      </c>
    </row>
    <row r="794" spans="2:23" x14ac:dyDescent="0.2">
      <c r="B794" t="s">
        <v>27</v>
      </c>
      <c r="C794" t="s">
        <v>200</v>
      </c>
      <c r="D794" t="s">
        <v>19</v>
      </c>
      <c r="E794" s="8" t="s">
        <v>231</v>
      </c>
      <c r="F794" t="s">
        <v>42</v>
      </c>
      <c r="G794" s="8" t="s">
        <v>231</v>
      </c>
      <c r="H794" t="s">
        <v>98</v>
      </c>
      <c r="I794" t="e">
        <f>VLOOKUP(Tabela2[[#This Row],[Coluna7]],[1]!Tabela1[#All],2,0)</f>
        <v>#REF!</v>
      </c>
      <c r="J794" t="s">
        <v>206</v>
      </c>
      <c r="K794">
        <v>545</v>
      </c>
      <c r="N794" t="s">
        <v>202</v>
      </c>
      <c r="Q794" s="10" t="str">
        <f>Tabela2[[#This Row],[Coluna5]]</f>
        <v>11/2025</v>
      </c>
      <c r="R794" s="10" t="str">
        <f>IF(Tabela2[[#This Row],[Coluna9]]&gt;0,"Entrada","Saída")</f>
        <v>Entrada</v>
      </c>
      <c r="S794" s="10" t="str">
        <f>Tabela2[[#This Row],[Coluna8]]</f>
        <v>1/12</v>
      </c>
      <c r="T794" s="10" t="e">
        <f>Tabela2[[#This Row],[Coluna72]]</f>
        <v>#REF!</v>
      </c>
      <c r="U794" s="10">
        <f>SUM(Tabela2[[#This Row],[Coluna9]],Tabela2[[#This Row],[Coluna10]])</f>
        <v>545</v>
      </c>
      <c r="V794" s="2" t="str">
        <f>Tabela2[[#This Row],[Coluna4]]</f>
        <v>07/11/2025</v>
      </c>
      <c r="W794" s="2" t="str">
        <f>Tabela2[[#This Row],[Coluna6]]</f>
        <v>07/11/2025</v>
      </c>
    </row>
    <row r="795" spans="2:23" x14ac:dyDescent="0.2">
      <c r="B795" t="s">
        <v>27</v>
      </c>
      <c r="C795" t="s">
        <v>125</v>
      </c>
      <c r="D795" t="s">
        <v>19</v>
      </c>
      <c r="E795" s="8" t="s">
        <v>231</v>
      </c>
      <c r="F795" t="s">
        <v>42</v>
      </c>
      <c r="G795" s="8" t="s">
        <v>231</v>
      </c>
      <c r="H795" t="s">
        <v>98</v>
      </c>
      <c r="I795" t="e">
        <f>VLOOKUP(Tabela2[[#This Row],[Coluna7]],[1]!Tabela1[#All],2,0)</f>
        <v>#REF!</v>
      </c>
      <c r="K795">
        <v>1000</v>
      </c>
      <c r="M795" t="s">
        <v>140</v>
      </c>
      <c r="N795" t="s">
        <v>141</v>
      </c>
      <c r="Q795" s="10" t="str">
        <f>Tabela2[[#This Row],[Coluna5]]</f>
        <v>11/2025</v>
      </c>
      <c r="R795" s="10" t="str">
        <f>IF(Tabela2[[#This Row],[Coluna9]]&gt;0,"Entrada","Saída")</f>
        <v>Entrada</v>
      </c>
      <c r="S795" s="10">
        <f>Tabela2[[#This Row],[Coluna8]]</f>
        <v>0</v>
      </c>
      <c r="T795" s="10" t="e">
        <f>Tabela2[[#This Row],[Coluna72]]</f>
        <v>#REF!</v>
      </c>
      <c r="U795" s="10">
        <f>SUM(Tabela2[[#This Row],[Coluna9]],Tabela2[[#This Row],[Coluna10]])</f>
        <v>1000</v>
      </c>
      <c r="V795" s="2" t="str">
        <f>Tabela2[[#This Row],[Coluna4]]</f>
        <v>07/11/2025</v>
      </c>
      <c r="W795" s="2" t="str">
        <f>Tabela2[[#This Row],[Coluna6]]</f>
        <v>07/11/2025</v>
      </c>
    </row>
    <row r="796" spans="2:23" x14ac:dyDescent="0.2">
      <c r="B796" t="s">
        <v>12</v>
      </c>
      <c r="C796" t="s">
        <v>125</v>
      </c>
      <c r="D796" t="s">
        <v>19</v>
      </c>
      <c r="E796" s="8" t="s">
        <v>231</v>
      </c>
      <c r="F796" t="s">
        <v>42</v>
      </c>
      <c r="G796" s="8" t="s">
        <v>231</v>
      </c>
      <c r="H796" t="s">
        <v>104</v>
      </c>
      <c r="I796" t="e">
        <f>VLOOKUP(Tabela2[[#This Row],[Coluna7]],[1]!Tabela1[#All],2,0)</f>
        <v>#REF!</v>
      </c>
      <c r="K796">
        <v>5406</v>
      </c>
      <c r="M796" t="s">
        <v>233</v>
      </c>
      <c r="N796" t="s">
        <v>234</v>
      </c>
      <c r="Q796" s="10" t="str">
        <f>Tabela2[[#This Row],[Coluna5]]</f>
        <v>11/2025</v>
      </c>
      <c r="R796" s="10" t="str">
        <f>IF(Tabela2[[#This Row],[Coluna9]]&gt;0,"Entrada","Saída")</f>
        <v>Entrada</v>
      </c>
      <c r="S796" s="10">
        <f>Tabela2[[#This Row],[Coluna8]]</f>
        <v>0</v>
      </c>
      <c r="T796" s="10" t="e">
        <f>Tabela2[[#This Row],[Coluna72]]</f>
        <v>#REF!</v>
      </c>
      <c r="U796" s="10">
        <f>SUM(Tabela2[[#This Row],[Coluna9]],Tabela2[[#This Row],[Coluna10]])</f>
        <v>5406</v>
      </c>
      <c r="V796" s="2" t="str">
        <f>Tabela2[[#This Row],[Coluna4]]</f>
        <v>07/11/2025</v>
      </c>
      <c r="W796" s="2" t="str">
        <f>Tabela2[[#This Row],[Coluna6]]</f>
        <v>07/11/2025</v>
      </c>
    </row>
    <row r="797" spans="2:23" x14ac:dyDescent="0.2">
      <c r="B797" t="s">
        <v>12</v>
      </c>
      <c r="C797" t="s">
        <v>125</v>
      </c>
      <c r="D797" t="s">
        <v>19</v>
      </c>
      <c r="E797" s="8" t="s">
        <v>231</v>
      </c>
      <c r="F797" t="s">
        <v>42</v>
      </c>
      <c r="G797" s="8" t="s">
        <v>231</v>
      </c>
      <c r="H797" t="s">
        <v>104</v>
      </c>
      <c r="I797" t="e">
        <f>VLOOKUP(Tabela2[[#This Row],[Coluna7]],[1]!Tabela1[#All],2,0)</f>
        <v>#REF!</v>
      </c>
      <c r="K797">
        <v>1595</v>
      </c>
      <c r="M797" t="s">
        <v>235</v>
      </c>
      <c r="N797" t="s">
        <v>236</v>
      </c>
      <c r="Q797" s="10" t="str">
        <f>Tabela2[[#This Row],[Coluna5]]</f>
        <v>11/2025</v>
      </c>
      <c r="R797" s="10" t="str">
        <f>IF(Tabela2[[#This Row],[Coluna9]]&gt;0,"Entrada","Saída")</f>
        <v>Entrada</v>
      </c>
      <c r="S797" s="10">
        <f>Tabela2[[#This Row],[Coluna8]]</f>
        <v>0</v>
      </c>
      <c r="T797" s="10" t="e">
        <f>Tabela2[[#This Row],[Coluna72]]</f>
        <v>#REF!</v>
      </c>
      <c r="U797" s="10">
        <f>SUM(Tabela2[[#This Row],[Coluna9]],Tabela2[[#This Row],[Coluna10]])</f>
        <v>1595</v>
      </c>
      <c r="V797" s="2" t="str">
        <f>Tabela2[[#This Row],[Coluna4]]</f>
        <v>07/11/2025</v>
      </c>
      <c r="W797" s="2" t="str">
        <f>Tabela2[[#This Row],[Coluna6]]</f>
        <v>07/11/2025</v>
      </c>
    </row>
    <row r="798" spans="2:23" x14ac:dyDescent="0.2">
      <c r="B798" t="s">
        <v>27</v>
      </c>
      <c r="C798" t="s">
        <v>95</v>
      </c>
      <c r="D798" t="s">
        <v>19</v>
      </c>
      <c r="E798" s="8" t="s">
        <v>231</v>
      </c>
      <c r="F798" t="s">
        <v>42</v>
      </c>
      <c r="G798" s="8" t="s">
        <v>231</v>
      </c>
      <c r="H798" t="s">
        <v>98</v>
      </c>
      <c r="I798" t="e">
        <f>VLOOKUP(Tabela2[[#This Row],[Coluna7]],[1]!Tabela1[#All],2,0)</f>
        <v>#REF!</v>
      </c>
      <c r="J798" t="s">
        <v>212</v>
      </c>
      <c r="K798">
        <v>500</v>
      </c>
      <c r="N798" t="s">
        <v>173</v>
      </c>
      <c r="Q798" s="10" t="str">
        <f>Tabela2[[#This Row],[Coluna5]]</f>
        <v>11/2025</v>
      </c>
      <c r="R798" s="10" t="str">
        <f>IF(Tabela2[[#This Row],[Coluna9]]&gt;0,"Entrada","Saída")</f>
        <v>Entrada</v>
      </c>
      <c r="S798" s="10" t="str">
        <f>Tabela2[[#This Row],[Coluna8]]</f>
        <v>DEPOSITO EM DINHEIRO</v>
      </c>
      <c r="T798" s="10" t="e">
        <f>Tabela2[[#This Row],[Coluna72]]</f>
        <v>#REF!</v>
      </c>
      <c r="U798" s="10">
        <f>SUM(Tabela2[[#This Row],[Coluna9]],Tabela2[[#This Row],[Coluna10]])</f>
        <v>500</v>
      </c>
      <c r="V798" s="2" t="str">
        <f>Tabela2[[#This Row],[Coluna4]]</f>
        <v>07/11/2025</v>
      </c>
      <c r="W798" s="2" t="str">
        <f>Tabela2[[#This Row],[Coluna6]]</f>
        <v>07/11/2025</v>
      </c>
    </row>
    <row r="799" spans="2:23" x14ac:dyDescent="0.2">
      <c r="B799" t="s">
        <v>27</v>
      </c>
      <c r="C799" t="s">
        <v>95</v>
      </c>
      <c r="D799" t="s">
        <v>19</v>
      </c>
      <c r="E799" s="8" t="s">
        <v>47</v>
      </c>
      <c r="F799" t="s">
        <v>15</v>
      </c>
      <c r="G799" s="8" t="s">
        <v>231</v>
      </c>
      <c r="H799" t="s">
        <v>98</v>
      </c>
      <c r="I799" t="e">
        <f>VLOOKUP(Tabela2[[#This Row],[Coluna7]],[1]!Tabela1[#All],2,0)</f>
        <v>#REF!</v>
      </c>
      <c r="J799" t="s">
        <v>237</v>
      </c>
      <c r="K799">
        <v>500</v>
      </c>
      <c r="M799" t="s">
        <v>160</v>
      </c>
      <c r="N799" t="s">
        <v>161</v>
      </c>
      <c r="Q799" s="10" t="str">
        <f>Tabela2[[#This Row],[Coluna5]]</f>
        <v>10/2025</v>
      </c>
      <c r="R799" s="10" t="str">
        <f>IF(Tabela2[[#This Row],[Coluna9]]&gt;0,"Entrada","Saída")</f>
        <v>Entrada</v>
      </c>
      <c r="S799" s="10" t="str">
        <f>Tabela2[[#This Row],[Coluna8]]</f>
        <v>2/14</v>
      </c>
      <c r="T799" s="10" t="e">
        <f>Tabela2[[#This Row],[Coluna72]]</f>
        <v>#REF!</v>
      </c>
      <c r="U799" s="10">
        <f>SUM(Tabela2[[#This Row],[Coluna9]],Tabela2[[#This Row],[Coluna10]])</f>
        <v>500</v>
      </c>
      <c r="V799" s="2" t="str">
        <f>Tabela2[[#This Row],[Coluna4]]</f>
        <v>10/11/2025</v>
      </c>
      <c r="W799" s="2" t="str">
        <f>Tabela2[[#This Row],[Coluna6]]</f>
        <v>07/11/2025</v>
      </c>
    </row>
    <row r="800" spans="2:23" x14ac:dyDescent="0.2">
      <c r="B800" t="s">
        <v>27</v>
      </c>
      <c r="C800" t="s">
        <v>95</v>
      </c>
      <c r="D800" t="s">
        <v>19</v>
      </c>
      <c r="E800" s="8" t="s">
        <v>47</v>
      </c>
      <c r="F800" t="s">
        <v>15</v>
      </c>
      <c r="G800" s="8" t="s">
        <v>47</v>
      </c>
      <c r="H800" t="s">
        <v>98</v>
      </c>
      <c r="I800" t="e">
        <f>VLOOKUP(Tabela2[[#This Row],[Coluna7]],[1]!Tabela1[#All],2,0)</f>
        <v>#REF!</v>
      </c>
      <c r="J800" t="s">
        <v>213</v>
      </c>
      <c r="K800">
        <v>500</v>
      </c>
      <c r="N800" t="s">
        <v>164</v>
      </c>
      <c r="Q800" s="10" t="str">
        <f>Tabela2[[#This Row],[Coluna5]]</f>
        <v>10/2025</v>
      </c>
      <c r="R800" s="10" t="str">
        <f>IF(Tabela2[[#This Row],[Coluna9]]&gt;0,"Entrada","Saída")</f>
        <v>Entrada</v>
      </c>
      <c r="S800" s="10" t="str">
        <f>Tabela2[[#This Row],[Coluna8]]</f>
        <v>2/9</v>
      </c>
      <c r="T800" s="10" t="e">
        <f>Tabela2[[#This Row],[Coluna72]]</f>
        <v>#REF!</v>
      </c>
      <c r="U800" s="10">
        <f>SUM(Tabela2[[#This Row],[Coluna9]],Tabela2[[#This Row],[Coluna10]])</f>
        <v>500</v>
      </c>
      <c r="V800" s="2" t="str">
        <f>Tabela2[[#This Row],[Coluna4]]</f>
        <v>10/11/2025</v>
      </c>
      <c r="W800" s="2" t="str">
        <f>Tabela2[[#This Row],[Coluna6]]</f>
        <v>10/11/2025</v>
      </c>
    </row>
    <row r="801" spans="2:23" x14ac:dyDescent="0.2">
      <c r="B801" t="s">
        <v>27</v>
      </c>
      <c r="C801" t="s">
        <v>125</v>
      </c>
      <c r="D801" t="s">
        <v>19</v>
      </c>
      <c r="E801" s="8" t="s">
        <v>47</v>
      </c>
      <c r="F801" t="s">
        <v>15</v>
      </c>
      <c r="G801" s="8" t="s">
        <v>47</v>
      </c>
      <c r="H801" t="s">
        <v>98</v>
      </c>
      <c r="I801" t="e">
        <f>VLOOKUP(Tabela2[[#This Row],[Coluna7]],[1]!Tabela1[#All],2,0)</f>
        <v>#REF!</v>
      </c>
      <c r="J801" t="s">
        <v>238</v>
      </c>
      <c r="K801">
        <v>320</v>
      </c>
      <c r="N801" t="s">
        <v>166</v>
      </c>
      <c r="Q801" s="10" t="str">
        <f>Tabela2[[#This Row],[Coluna5]]</f>
        <v>10/2025</v>
      </c>
      <c r="R801" s="10" t="str">
        <f>IF(Tabela2[[#This Row],[Coluna9]]&gt;0,"Entrada","Saída")</f>
        <v>Entrada</v>
      </c>
      <c r="S801" s="10" t="str">
        <f>Tabela2[[#This Row],[Coluna8]]</f>
        <v>2/3</v>
      </c>
      <c r="T801" s="10" t="e">
        <f>Tabela2[[#This Row],[Coluna72]]</f>
        <v>#REF!</v>
      </c>
      <c r="U801" s="10">
        <f>SUM(Tabela2[[#This Row],[Coluna9]],Tabela2[[#This Row],[Coluna10]])</f>
        <v>320</v>
      </c>
      <c r="V801" s="2" t="str">
        <f>Tabela2[[#This Row],[Coluna4]]</f>
        <v>10/11/2025</v>
      </c>
      <c r="W801" s="2" t="str">
        <f>Tabela2[[#This Row],[Coluna6]]</f>
        <v>10/11/2025</v>
      </c>
    </row>
    <row r="802" spans="2:23" x14ac:dyDescent="0.2">
      <c r="B802" t="s">
        <v>71</v>
      </c>
      <c r="C802" t="s">
        <v>95</v>
      </c>
      <c r="D802" t="s">
        <v>19</v>
      </c>
      <c r="E802" s="8" t="s">
        <v>47</v>
      </c>
      <c r="F802" t="s">
        <v>42</v>
      </c>
      <c r="G802" s="8" t="s">
        <v>47</v>
      </c>
      <c r="H802" t="s">
        <v>156</v>
      </c>
      <c r="I802" t="e">
        <f>VLOOKUP(Tabela2[[#This Row],[Coluna7]],[1]!Tabela1[#All],2,0)</f>
        <v>#REF!</v>
      </c>
      <c r="J802" t="s">
        <v>239</v>
      </c>
      <c r="K802">
        <v>500</v>
      </c>
      <c r="Q802" s="10" t="str">
        <f>Tabela2[[#This Row],[Coluna5]]</f>
        <v>11/2025</v>
      </c>
      <c r="R802" s="10" t="str">
        <f>IF(Tabela2[[#This Row],[Coluna9]]&gt;0,"Entrada","Saída")</f>
        <v>Entrada</v>
      </c>
      <c r="S802" s="10" t="str">
        <f>Tabela2[[#This Row],[Coluna8]]</f>
        <v>FRANCISCO SALES - ALUGUEL</v>
      </c>
      <c r="T802" s="10" t="e">
        <f>Tabela2[[#This Row],[Coluna72]]</f>
        <v>#REF!</v>
      </c>
      <c r="U802" s="10">
        <f>SUM(Tabela2[[#This Row],[Coluna9]],Tabela2[[#This Row],[Coluna10]])</f>
        <v>500</v>
      </c>
      <c r="V802" s="2" t="str">
        <f>Tabela2[[#This Row],[Coluna4]]</f>
        <v>10/11/2025</v>
      </c>
      <c r="W802" s="2" t="str">
        <f>Tabela2[[#This Row],[Coluna6]]</f>
        <v>10/11/2025</v>
      </c>
    </row>
    <row r="803" spans="2:23" x14ac:dyDescent="0.2">
      <c r="B803" t="s">
        <v>27</v>
      </c>
      <c r="C803" t="s">
        <v>95</v>
      </c>
      <c r="D803" t="s">
        <v>19</v>
      </c>
      <c r="E803" s="8" t="s">
        <v>46</v>
      </c>
      <c r="F803" t="s">
        <v>42</v>
      </c>
      <c r="G803" s="8" t="s">
        <v>46</v>
      </c>
      <c r="H803" t="s">
        <v>162</v>
      </c>
      <c r="I803" t="e">
        <f>VLOOKUP(Tabela2[[#This Row],[Coluna7]],[1]!Tabela1[#All],2,0)</f>
        <v>#REF!</v>
      </c>
      <c r="J803" t="s">
        <v>220</v>
      </c>
      <c r="K803">
        <v>0.04</v>
      </c>
      <c r="Q803" s="10" t="str">
        <f>Tabela2[[#This Row],[Coluna5]]</f>
        <v>11/2025</v>
      </c>
      <c r="R803" s="10" t="str">
        <f>IF(Tabela2[[#This Row],[Coluna9]]&gt;0,"Entrada","Saída")</f>
        <v>Entrada</v>
      </c>
      <c r="S803" s="10" t="str">
        <f>Tabela2[[#This Row],[Coluna8]]</f>
        <v>RENTABILIDADE</v>
      </c>
      <c r="T803" s="10" t="e">
        <f>Tabela2[[#This Row],[Coluna72]]</f>
        <v>#REF!</v>
      </c>
      <c r="U803" s="10">
        <f>SUM(Tabela2[[#This Row],[Coluna9]],Tabela2[[#This Row],[Coluna10]])</f>
        <v>0.04</v>
      </c>
      <c r="V803" s="2" t="str">
        <f>Tabela2[[#This Row],[Coluna4]]</f>
        <v>11/11/2025</v>
      </c>
      <c r="W803" s="2" t="str">
        <f>Tabela2[[#This Row],[Coluna6]]</f>
        <v>11/11/2025</v>
      </c>
    </row>
    <row r="804" spans="2:23" x14ac:dyDescent="0.2">
      <c r="B804" t="s">
        <v>12</v>
      </c>
      <c r="C804" t="s">
        <v>125</v>
      </c>
      <c r="D804" t="s">
        <v>19</v>
      </c>
      <c r="E804" s="8" t="s">
        <v>48</v>
      </c>
      <c r="F804" t="s">
        <v>42</v>
      </c>
      <c r="G804" s="8" t="s">
        <v>48</v>
      </c>
      <c r="H804" t="s">
        <v>107</v>
      </c>
      <c r="I804" t="e">
        <f>VLOOKUP(Tabela2[[#This Row],[Coluna7]],[1]!Tabela1[#All],2,0)</f>
        <v>#REF!</v>
      </c>
      <c r="K804">
        <v>18299.86</v>
      </c>
      <c r="M804" t="s">
        <v>240</v>
      </c>
      <c r="N804" t="s">
        <v>241</v>
      </c>
      <c r="Q804" s="10" t="str">
        <f>Tabela2[[#This Row],[Coluna5]]</f>
        <v>11/2025</v>
      </c>
      <c r="R804" s="10" t="str">
        <f>IF(Tabela2[[#This Row],[Coluna9]]&gt;0,"Entrada","Saída")</f>
        <v>Entrada</v>
      </c>
      <c r="S804" s="10">
        <f>Tabela2[[#This Row],[Coluna8]]</f>
        <v>0</v>
      </c>
      <c r="T804" s="10" t="e">
        <f>Tabela2[[#This Row],[Coluna72]]</f>
        <v>#REF!</v>
      </c>
      <c r="U804" s="10">
        <f>SUM(Tabela2[[#This Row],[Coluna9]],Tabela2[[#This Row],[Coluna10]])</f>
        <v>18299.86</v>
      </c>
      <c r="V804" s="2" t="str">
        <f>Tabela2[[#This Row],[Coluna4]]</f>
        <v>12/11/2025</v>
      </c>
      <c r="W804" s="2" t="str">
        <f>Tabela2[[#This Row],[Coluna6]]</f>
        <v>12/11/2025</v>
      </c>
    </row>
    <row r="805" spans="2:23" x14ac:dyDescent="0.2">
      <c r="B805" t="s">
        <v>12</v>
      </c>
      <c r="C805" t="s">
        <v>125</v>
      </c>
      <c r="D805" t="s">
        <v>19</v>
      </c>
      <c r="E805" s="8" t="s">
        <v>51</v>
      </c>
      <c r="F805" t="s">
        <v>42</v>
      </c>
      <c r="G805" s="8" t="s">
        <v>51</v>
      </c>
      <c r="H805" t="s">
        <v>104</v>
      </c>
      <c r="I805" t="e">
        <f>VLOOKUP(Tabela2[[#This Row],[Coluna7]],[1]!Tabela1[#All],2,0)</f>
        <v>#REF!</v>
      </c>
      <c r="K805">
        <v>3115</v>
      </c>
      <c r="M805" t="s">
        <v>242</v>
      </c>
      <c r="N805" t="s">
        <v>243</v>
      </c>
      <c r="Q805" s="10" t="str">
        <f>Tabela2[[#This Row],[Coluna5]]</f>
        <v>11/2025</v>
      </c>
      <c r="R805" s="10" t="str">
        <f>IF(Tabela2[[#This Row],[Coluna9]]&gt;0,"Entrada","Saída")</f>
        <v>Entrada</v>
      </c>
      <c r="S805" s="10">
        <f>Tabela2[[#This Row],[Coluna8]]</f>
        <v>0</v>
      </c>
      <c r="T805" s="10" t="e">
        <f>Tabela2[[#This Row],[Coluna72]]</f>
        <v>#REF!</v>
      </c>
      <c r="U805" s="10">
        <f>SUM(Tabela2[[#This Row],[Coluna9]],Tabela2[[#This Row],[Coluna10]])</f>
        <v>3115</v>
      </c>
      <c r="V805" s="2" t="str">
        <f>Tabela2[[#This Row],[Coluna4]]</f>
        <v>13/11/2025</v>
      </c>
      <c r="W805" s="2" t="str">
        <f>Tabela2[[#This Row],[Coluna6]]</f>
        <v>13/11/2025</v>
      </c>
    </row>
    <row r="806" spans="2:23" x14ac:dyDescent="0.2">
      <c r="B806" t="s">
        <v>71</v>
      </c>
      <c r="C806" t="s">
        <v>125</v>
      </c>
      <c r="D806" t="s">
        <v>19</v>
      </c>
      <c r="E806" s="8" t="s">
        <v>51</v>
      </c>
      <c r="F806" t="s">
        <v>42</v>
      </c>
      <c r="G806" s="8" t="s">
        <v>51</v>
      </c>
      <c r="H806" t="s">
        <v>104</v>
      </c>
      <c r="I806" t="e">
        <f>VLOOKUP(Tabela2[[#This Row],[Coluna7]],[1]!Tabela1[#All],2,0)</f>
        <v>#REF!</v>
      </c>
      <c r="K806">
        <v>5000</v>
      </c>
      <c r="M806" t="s">
        <v>242</v>
      </c>
      <c r="N806" t="s">
        <v>243</v>
      </c>
      <c r="Q806" s="10" t="str">
        <f>Tabela2[[#This Row],[Coluna5]]</f>
        <v>11/2025</v>
      </c>
      <c r="R806" s="10" t="str">
        <f>IF(Tabela2[[#This Row],[Coluna9]]&gt;0,"Entrada","Saída")</f>
        <v>Entrada</v>
      </c>
      <c r="S806" s="10">
        <f>Tabela2[[#This Row],[Coluna8]]</f>
        <v>0</v>
      </c>
      <c r="T806" s="10" t="e">
        <f>Tabela2[[#This Row],[Coluna72]]</f>
        <v>#REF!</v>
      </c>
      <c r="U806" s="10">
        <f>SUM(Tabela2[[#This Row],[Coluna9]],Tabela2[[#This Row],[Coluna10]])</f>
        <v>5000</v>
      </c>
      <c r="V806" s="2" t="str">
        <f>Tabela2[[#This Row],[Coluna4]]</f>
        <v>13/11/2025</v>
      </c>
      <c r="W806" s="2" t="str">
        <f>Tabela2[[#This Row],[Coluna6]]</f>
        <v>13/11/2025</v>
      </c>
    </row>
    <row r="807" spans="2:23" x14ac:dyDescent="0.2">
      <c r="B807" t="s">
        <v>27</v>
      </c>
      <c r="C807" t="s">
        <v>95</v>
      </c>
      <c r="D807" t="s">
        <v>19</v>
      </c>
      <c r="E807" s="8" t="s">
        <v>54</v>
      </c>
      <c r="F807" t="s">
        <v>42</v>
      </c>
      <c r="G807" s="8" t="s">
        <v>48</v>
      </c>
      <c r="H807" t="s">
        <v>98</v>
      </c>
      <c r="I807" t="e">
        <f>VLOOKUP(Tabela2[[#This Row],[Coluna7]],[1]!Tabela1[#All],2,0)</f>
        <v>#REF!</v>
      </c>
      <c r="J807" t="s">
        <v>206</v>
      </c>
      <c r="K807">
        <v>900</v>
      </c>
      <c r="M807" t="s">
        <v>176</v>
      </c>
      <c r="N807" t="s">
        <v>177</v>
      </c>
      <c r="Q807" s="10" t="str">
        <f>Tabela2[[#This Row],[Coluna5]]</f>
        <v>11/2025</v>
      </c>
      <c r="R807" s="10" t="str">
        <f>IF(Tabela2[[#This Row],[Coluna9]]&gt;0,"Entrada","Saída")</f>
        <v>Entrada</v>
      </c>
      <c r="S807" s="10" t="str">
        <f>Tabela2[[#This Row],[Coluna8]]</f>
        <v>1/12</v>
      </c>
      <c r="T807" s="10" t="e">
        <f>Tabela2[[#This Row],[Coluna72]]</f>
        <v>#REF!</v>
      </c>
      <c r="U807" s="10">
        <f>SUM(Tabela2[[#This Row],[Coluna9]],Tabela2[[#This Row],[Coluna10]])</f>
        <v>900</v>
      </c>
      <c r="V807" s="2" t="str">
        <f>Tabela2[[#This Row],[Coluna4]]</f>
        <v>14/11/2025</v>
      </c>
      <c r="W807" s="2" t="str">
        <f>Tabela2[[#This Row],[Coluna6]]</f>
        <v>12/11/2025</v>
      </c>
    </row>
    <row r="808" spans="2:23" x14ac:dyDescent="0.2">
      <c r="B808" t="s">
        <v>215</v>
      </c>
      <c r="C808" t="s">
        <v>200</v>
      </c>
      <c r="D808" t="s">
        <v>19</v>
      </c>
      <c r="E808" s="8" t="s">
        <v>54</v>
      </c>
      <c r="F808" t="s">
        <v>42</v>
      </c>
      <c r="G808" s="8" t="s">
        <v>54</v>
      </c>
      <c r="H808" t="s">
        <v>107</v>
      </c>
      <c r="I808" t="e">
        <f>VLOOKUP(Tabela2[[#This Row],[Coluna7]],[1]!Tabela1[#All],2,0)</f>
        <v>#REF!</v>
      </c>
      <c r="J808" t="s">
        <v>244</v>
      </c>
      <c r="K808">
        <v>948</v>
      </c>
      <c r="M808" t="s">
        <v>146</v>
      </c>
      <c r="N808" t="s">
        <v>147</v>
      </c>
      <c r="Q808" s="10" t="str">
        <f>Tabela2[[#This Row],[Coluna5]]</f>
        <v>11/2025</v>
      </c>
      <c r="R808" s="10" t="str">
        <f>IF(Tabela2[[#This Row],[Coluna9]]&gt;0,"Entrada","Saída")</f>
        <v>Entrada</v>
      </c>
      <c r="S808" s="10" t="str">
        <f>Tabela2[[#This Row],[Coluna8]]</f>
        <v>COBRANÇA 677749987</v>
      </c>
      <c r="T808" s="10" t="e">
        <f>Tabela2[[#This Row],[Coluna72]]</f>
        <v>#REF!</v>
      </c>
      <c r="U808" s="10">
        <f>SUM(Tabela2[[#This Row],[Coluna9]],Tabela2[[#This Row],[Coluna10]])</f>
        <v>948</v>
      </c>
      <c r="V808" s="2" t="str">
        <f>Tabela2[[#This Row],[Coluna4]]</f>
        <v>14/11/2025</v>
      </c>
      <c r="W808" s="2" t="str">
        <f>Tabela2[[#This Row],[Coluna6]]</f>
        <v>14/11/2025</v>
      </c>
    </row>
    <row r="809" spans="2:23" x14ac:dyDescent="0.2">
      <c r="B809" t="s">
        <v>27</v>
      </c>
      <c r="C809" t="s">
        <v>245</v>
      </c>
      <c r="D809" t="s">
        <v>19</v>
      </c>
      <c r="E809" s="8" t="s">
        <v>56</v>
      </c>
      <c r="F809" t="s">
        <v>42</v>
      </c>
      <c r="G809" s="8" t="s">
        <v>56</v>
      </c>
      <c r="H809" t="s">
        <v>107</v>
      </c>
      <c r="I809" t="e">
        <f>VLOOKUP(Tabela2[[#This Row],[Coluna7]],[1]!Tabela1[#All],2,0)</f>
        <v>#REF!</v>
      </c>
      <c r="J809" t="s">
        <v>120</v>
      </c>
      <c r="K809">
        <v>600</v>
      </c>
      <c r="M809" t="s">
        <v>187</v>
      </c>
      <c r="N809" t="s">
        <v>188</v>
      </c>
      <c r="Q809" s="10" t="str">
        <f>Tabela2[[#This Row],[Coluna5]]</f>
        <v>11/2025</v>
      </c>
      <c r="R809" s="10" t="str">
        <f>IF(Tabela2[[#This Row],[Coluna9]]&gt;0,"Entrada","Saída")</f>
        <v>Entrada</v>
      </c>
      <c r="S809" s="10" t="str">
        <f>Tabela2[[#This Row],[Coluna8]]</f>
        <v>1/8</v>
      </c>
      <c r="T809" s="10" t="e">
        <f>Tabela2[[#This Row],[Coluna72]]</f>
        <v>#REF!</v>
      </c>
      <c r="U809" s="10">
        <f>SUM(Tabela2[[#This Row],[Coluna9]],Tabela2[[#This Row],[Coluna10]])</f>
        <v>600</v>
      </c>
      <c r="V809" s="2" t="str">
        <f>Tabela2[[#This Row],[Coluna4]]</f>
        <v>17/11/2025</v>
      </c>
      <c r="W809" s="2" t="str">
        <f>Tabela2[[#This Row],[Coluna6]]</f>
        <v>17/11/2025</v>
      </c>
    </row>
    <row r="810" spans="2:23" x14ac:dyDescent="0.2">
      <c r="B810" t="s">
        <v>27</v>
      </c>
      <c r="C810" t="s">
        <v>125</v>
      </c>
      <c r="D810" t="s">
        <v>19</v>
      </c>
      <c r="E810" s="8" t="s">
        <v>56</v>
      </c>
      <c r="F810" t="s">
        <v>42</v>
      </c>
      <c r="G810" s="8" t="s">
        <v>56</v>
      </c>
      <c r="H810" t="s">
        <v>107</v>
      </c>
      <c r="I810" t="e">
        <f>VLOOKUP(Tabela2[[#This Row],[Coluna7]],[1]!Tabela1[#All],2,0)</f>
        <v>#REF!</v>
      </c>
      <c r="J810" t="s">
        <v>246</v>
      </c>
      <c r="K810">
        <v>6531.91</v>
      </c>
      <c r="M810" t="s">
        <v>247</v>
      </c>
      <c r="N810" t="s">
        <v>248</v>
      </c>
      <c r="Q810" s="10" t="str">
        <f>Tabela2[[#This Row],[Coluna5]]</f>
        <v>11/2025</v>
      </c>
      <c r="R810" s="10" t="str">
        <f>IF(Tabela2[[#This Row],[Coluna9]]&gt;0,"Entrada","Saída")</f>
        <v>Entrada</v>
      </c>
      <c r="S810" s="10" t="str">
        <f>Tabela2[[#This Row],[Coluna8]]</f>
        <v>VALOR ORIGINAL: R$ 6.240,79</v>
      </c>
      <c r="T810" s="10" t="e">
        <f>Tabela2[[#This Row],[Coluna72]]</f>
        <v>#REF!</v>
      </c>
      <c r="U810" s="10">
        <f>SUM(Tabela2[[#This Row],[Coluna9]],Tabela2[[#This Row],[Coluna10]])</f>
        <v>6531.91</v>
      </c>
      <c r="V810" s="2" t="str">
        <f>Tabela2[[#This Row],[Coluna4]]</f>
        <v>17/11/2025</v>
      </c>
      <c r="W810" s="2" t="str">
        <f>Tabela2[[#This Row],[Coluna6]]</f>
        <v>17/11/2025</v>
      </c>
    </row>
    <row r="811" spans="2:23" x14ac:dyDescent="0.2">
      <c r="B811" t="s">
        <v>27</v>
      </c>
      <c r="C811" t="s">
        <v>125</v>
      </c>
      <c r="D811" t="s">
        <v>19</v>
      </c>
      <c r="E811" s="8" t="s">
        <v>56</v>
      </c>
      <c r="F811" t="s">
        <v>42</v>
      </c>
      <c r="G811" s="8" t="s">
        <v>56</v>
      </c>
      <c r="H811" t="s">
        <v>181</v>
      </c>
      <c r="I811" t="e">
        <f>VLOOKUP(Tabela2[[#This Row],[Coluna7]],[1]!Tabela1[#All],2,0)</f>
        <v>#REF!</v>
      </c>
      <c r="J811" t="s">
        <v>249</v>
      </c>
      <c r="K811">
        <v>2177.29</v>
      </c>
      <c r="M811" t="s">
        <v>247</v>
      </c>
      <c r="N811" t="s">
        <v>248</v>
      </c>
      <c r="Q811" s="10" t="str">
        <f>Tabela2[[#This Row],[Coluna5]]</f>
        <v>11/2025</v>
      </c>
      <c r="R811" s="10" t="str">
        <f>IF(Tabela2[[#This Row],[Coluna9]]&gt;0,"Entrada","Saída")</f>
        <v>Entrada</v>
      </c>
      <c r="S811" s="10" t="str">
        <f>Tabela2[[#This Row],[Coluna8]]</f>
        <v>VALOR ORIGINAL: R$ 2.080,26</v>
      </c>
      <c r="T811" s="10" t="e">
        <f>Tabela2[[#This Row],[Coluna72]]</f>
        <v>#REF!</v>
      </c>
      <c r="U811" s="10">
        <f>SUM(Tabela2[[#This Row],[Coluna9]],Tabela2[[#This Row],[Coluna10]])</f>
        <v>2177.29</v>
      </c>
      <c r="V811" s="2" t="str">
        <f>Tabela2[[#This Row],[Coluna4]]</f>
        <v>17/11/2025</v>
      </c>
      <c r="W811" s="2" t="str">
        <f>Tabela2[[#This Row],[Coluna6]]</f>
        <v>17/11/2025</v>
      </c>
    </row>
    <row r="812" spans="2:23" x14ac:dyDescent="0.2">
      <c r="B812" t="s">
        <v>12</v>
      </c>
      <c r="C812" t="s">
        <v>125</v>
      </c>
      <c r="D812" t="s">
        <v>19</v>
      </c>
      <c r="E812" s="8" t="s">
        <v>56</v>
      </c>
      <c r="F812" t="s">
        <v>42</v>
      </c>
      <c r="G812" s="8" t="s">
        <v>56</v>
      </c>
      <c r="H812" t="s">
        <v>107</v>
      </c>
      <c r="I812" t="e">
        <f>VLOOKUP(Tabela2[[#This Row],[Coluna7]],[1]!Tabela1[#All],2,0)</f>
        <v>#REF!</v>
      </c>
      <c r="J812" t="s">
        <v>250</v>
      </c>
      <c r="K812">
        <v>8763.7999999999993</v>
      </c>
      <c r="M812" t="s">
        <v>251</v>
      </c>
      <c r="N812" t="s">
        <v>252</v>
      </c>
      <c r="Q812" s="10" t="str">
        <f>Tabela2[[#This Row],[Coluna5]]</f>
        <v>11/2025</v>
      </c>
      <c r="R812" s="10" t="str">
        <f>IF(Tabela2[[#This Row],[Coluna9]]&gt;0,"Entrada","Saída")</f>
        <v>Entrada</v>
      </c>
      <c r="S812" s="10" t="str">
        <f>Tabela2[[#This Row],[Coluna8]]</f>
        <v>VALOR ORIGINAL: R$ 8.403,33</v>
      </c>
      <c r="T812" s="10" t="e">
        <f>Tabela2[[#This Row],[Coluna72]]</f>
        <v>#REF!</v>
      </c>
      <c r="U812" s="10">
        <f>SUM(Tabela2[[#This Row],[Coluna9]],Tabela2[[#This Row],[Coluna10]])</f>
        <v>8763.7999999999993</v>
      </c>
      <c r="V812" s="2" t="str">
        <f>Tabela2[[#This Row],[Coluna4]]</f>
        <v>17/11/2025</v>
      </c>
      <c r="W812" s="2" t="str">
        <f>Tabela2[[#This Row],[Coluna6]]</f>
        <v>17/11/2025</v>
      </c>
    </row>
    <row r="813" spans="2:23" x14ac:dyDescent="0.2">
      <c r="B813" t="s">
        <v>12</v>
      </c>
      <c r="C813" t="s">
        <v>200</v>
      </c>
      <c r="D813" t="s">
        <v>19</v>
      </c>
      <c r="E813" s="8" t="s">
        <v>49</v>
      </c>
      <c r="F813" t="s">
        <v>42</v>
      </c>
      <c r="G813" s="8" t="s">
        <v>49</v>
      </c>
      <c r="H813" t="s">
        <v>98</v>
      </c>
      <c r="I813" t="e">
        <f>VLOOKUP(Tabela2[[#This Row],[Coluna7]],[1]!Tabela1[#All],2,0)</f>
        <v>#REF!</v>
      </c>
      <c r="K813">
        <v>500</v>
      </c>
      <c r="N813" t="s">
        <v>189</v>
      </c>
      <c r="Q813" s="10" t="str">
        <f>Tabela2[[#This Row],[Coluna5]]</f>
        <v>11/2025</v>
      </c>
      <c r="R813" s="10" t="str">
        <f>IF(Tabela2[[#This Row],[Coluna9]]&gt;0,"Entrada","Saída")</f>
        <v>Entrada</v>
      </c>
      <c r="S813" s="10">
        <f>Tabela2[[#This Row],[Coluna8]]</f>
        <v>0</v>
      </c>
      <c r="T813" s="10" t="e">
        <f>Tabela2[[#This Row],[Coluna72]]</f>
        <v>#REF!</v>
      </c>
      <c r="U813" s="10">
        <f>SUM(Tabela2[[#This Row],[Coluna9]],Tabela2[[#This Row],[Coluna10]])</f>
        <v>500</v>
      </c>
      <c r="V813" s="2" t="str">
        <f>Tabela2[[#This Row],[Coluna4]]</f>
        <v>18/11/2025</v>
      </c>
      <c r="W813" s="2" t="str">
        <f>Tabela2[[#This Row],[Coluna6]]</f>
        <v>18/11/2025</v>
      </c>
    </row>
    <row r="814" spans="2:23" x14ac:dyDescent="0.2">
      <c r="B814" t="s">
        <v>27</v>
      </c>
      <c r="C814" t="s">
        <v>125</v>
      </c>
      <c r="D814" t="s">
        <v>19</v>
      </c>
      <c r="E814" s="8" t="s">
        <v>59</v>
      </c>
      <c r="F814" t="s">
        <v>42</v>
      </c>
      <c r="G814" s="8" t="s">
        <v>59</v>
      </c>
      <c r="H814" t="s">
        <v>104</v>
      </c>
      <c r="I814" t="e">
        <f>VLOOKUP(Tabela2[[#This Row],[Coluna7]],[1]!Tabela1[#All],2,0)</f>
        <v>#REF!</v>
      </c>
      <c r="K814">
        <v>740</v>
      </c>
      <c r="M814" t="s">
        <v>179</v>
      </c>
      <c r="N814" t="s">
        <v>180</v>
      </c>
      <c r="Q814" s="10" t="str">
        <f>Tabela2[[#This Row],[Coluna5]]</f>
        <v>11/2025</v>
      </c>
      <c r="R814" s="10" t="str">
        <f>IF(Tabela2[[#This Row],[Coluna9]]&gt;0,"Entrada","Saída")</f>
        <v>Entrada</v>
      </c>
      <c r="S814" s="10">
        <f>Tabela2[[#This Row],[Coluna8]]</f>
        <v>0</v>
      </c>
      <c r="T814" s="10" t="e">
        <f>Tabela2[[#This Row],[Coluna72]]</f>
        <v>#REF!</v>
      </c>
      <c r="U814" s="10">
        <f>SUM(Tabela2[[#This Row],[Coluna9]],Tabela2[[#This Row],[Coluna10]])</f>
        <v>740</v>
      </c>
      <c r="V814" s="2" t="str">
        <f>Tabela2[[#This Row],[Coluna4]]</f>
        <v>19/11/2025</v>
      </c>
      <c r="W814" s="2" t="str">
        <f>Tabela2[[#This Row],[Coluna6]]</f>
        <v>19/11/2025</v>
      </c>
    </row>
    <row r="815" spans="2:23" x14ac:dyDescent="0.2">
      <c r="B815" t="s">
        <v>27</v>
      </c>
      <c r="C815" t="s">
        <v>200</v>
      </c>
      <c r="D815" t="s">
        <v>19</v>
      </c>
      <c r="E815" s="8" t="s">
        <v>253</v>
      </c>
      <c r="F815" t="s">
        <v>42</v>
      </c>
      <c r="G815" s="8" t="s">
        <v>253</v>
      </c>
      <c r="H815" t="s">
        <v>104</v>
      </c>
      <c r="I815" t="e">
        <f>VLOOKUP(Tabela2[[#This Row],[Coluna7]],[1]!Tabela1[#All],2,0)</f>
        <v>#REF!</v>
      </c>
      <c r="K815">
        <v>5000</v>
      </c>
      <c r="M815" t="s">
        <v>254</v>
      </c>
      <c r="N815" t="s">
        <v>255</v>
      </c>
      <c r="Q815" s="10" t="str">
        <f>Tabela2[[#This Row],[Coluna5]]</f>
        <v>11/2025</v>
      </c>
      <c r="R815" s="10" t="str">
        <f>IF(Tabela2[[#This Row],[Coluna9]]&gt;0,"Entrada","Saída")</f>
        <v>Entrada</v>
      </c>
      <c r="S815" s="10">
        <f>Tabela2[[#This Row],[Coluna8]]</f>
        <v>0</v>
      </c>
      <c r="T815" s="10" t="e">
        <f>Tabela2[[#This Row],[Coluna72]]</f>
        <v>#REF!</v>
      </c>
      <c r="U815" s="10">
        <f>SUM(Tabela2[[#This Row],[Coluna9]],Tabela2[[#This Row],[Coluna10]])</f>
        <v>5000</v>
      </c>
      <c r="V815" s="2" t="str">
        <f>Tabela2[[#This Row],[Coluna4]]</f>
        <v>21/11/2025</v>
      </c>
      <c r="W815" s="2" t="str">
        <f>Tabela2[[#This Row],[Coluna6]]</f>
        <v>21/11/2025</v>
      </c>
    </row>
    <row r="816" spans="2:23" x14ac:dyDescent="0.2">
      <c r="B816" t="s">
        <v>27</v>
      </c>
      <c r="C816" t="s">
        <v>95</v>
      </c>
      <c r="D816" t="s">
        <v>19</v>
      </c>
      <c r="E816" s="8" t="s">
        <v>253</v>
      </c>
      <c r="F816" t="s">
        <v>42</v>
      </c>
      <c r="G816" s="8" t="s">
        <v>253</v>
      </c>
      <c r="H816" t="s">
        <v>162</v>
      </c>
      <c r="I816" t="e">
        <f>VLOOKUP(Tabela2[[#This Row],[Coluna7]],[1]!Tabela1[#All],2,0)</f>
        <v>#REF!</v>
      </c>
      <c r="J816" t="s">
        <v>27</v>
      </c>
      <c r="K816">
        <v>0.06</v>
      </c>
      <c r="Q816" s="10" t="str">
        <f>Tabela2[[#This Row],[Coluna5]]</f>
        <v>11/2025</v>
      </c>
      <c r="R816" s="10" t="str">
        <f>IF(Tabela2[[#This Row],[Coluna9]]&gt;0,"Entrada","Saída")</f>
        <v>Entrada</v>
      </c>
      <c r="S816" s="10" t="str">
        <f>Tabela2[[#This Row],[Coluna8]]</f>
        <v>BRADESCO</v>
      </c>
      <c r="T816" s="10" t="e">
        <f>Tabela2[[#This Row],[Coluna72]]</f>
        <v>#REF!</v>
      </c>
      <c r="U816" s="10">
        <f>SUM(Tabela2[[#This Row],[Coluna9]],Tabela2[[#This Row],[Coluna10]])</f>
        <v>0.06</v>
      </c>
      <c r="V816" s="2" t="str">
        <f>Tabela2[[#This Row],[Coluna4]]</f>
        <v>21/11/2025</v>
      </c>
      <c r="W816" s="2" t="str">
        <f>Tabela2[[#This Row],[Coluna6]]</f>
        <v>21/11/2025</v>
      </c>
    </row>
    <row r="817" spans="2:23" x14ac:dyDescent="0.2">
      <c r="B817" t="s">
        <v>18</v>
      </c>
      <c r="C817" t="s">
        <v>95</v>
      </c>
      <c r="D817" t="s">
        <v>19</v>
      </c>
      <c r="E817" s="8" t="s">
        <v>61</v>
      </c>
      <c r="F817" t="s">
        <v>15</v>
      </c>
      <c r="G817" s="8" t="s">
        <v>256</v>
      </c>
      <c r="H817" t="s">
        <v>111</v>
      </c>
      <c r="I817" t="e">
        <f>VLOOKUP(Tabela2[[#This Row],[Coluna7]],[1]!Tabela1[#All],2,0)</f>
        <v>#REF!</v>
      </c>
      <c r="J817" t="s">
        <v>232</v>
      </c>
      <c r="K817">
        <v>2000</v>
      </c>
      <c r="M817" t="s">
        <v>192</v>
      </c>
      <c r="N817" t="s">
        <v>193</v>
      </c>
      <c r="Q817" s="10" t="str">
        <f>Tabela2[[#This Row],[Coluna5]]</f>
        <v>10/2025</v>
      </c>
      <c r="R817" s="10" t="str">
        <f>IF(Tabela2[[#This Row],[Coluna9]]&gt;0,"Entrada","Saída")</f>
        <v>Entrada</v>
      </c>
      <c r="S817" s="10" t="str">
        <f>Tabela2[[#This Row],[Coluna8]]</f>
        <v>2/5</v>
      </c>
      <c r="T817" s="10" t="e">
        <f>Tabela2[[#This Row],[Coluna72]]</f>
        <v>#REF!</v>
      </c>
      <c r="U817" s="10">
        <f>SUM(Tabela2[[#This Row],[Coluna9]],Tabela2[[#This Row],[Coluna10]])</f>
        <v>2000</v>
      </c>
      <c r="V817" s="2" t="str">
        <f>Tabela2[[#This Row],[Coluna4]]</f>
        <v>22/11/2025</v>
      </c>
      <c r="W817" s="2" t="str">
        <f>Tabela2[[#This Row],[Coluna6]]</f>
        <v>25/11/2025</v>
      </c>
    </row>
    <row r="818" spans="2:23" x14ac:dyDescent="0.2">
      <c r="B818" t="s">
        <v>18</v>
      </c>
      <c r="C818" t="s">
        <v>125</v>
      </c>
      <c r="D818" t="s">
        <v>19</v>
      </c>
      <c r="E818" s="8" t="s">
        <v>62</v>
      </c>
      <c r="F818" t="s">
        <v>15</v>
      </c>
      <c r="G818" s="8" t="s">
        <v>257</v>
      </c>
      <c r="H818" t="s">
        <v>98</v>
      </c>
      <c r="I818" t="e">
        <f>VLOOKUP(Tabela2[[#This Row],[Coluna7]],[1]!Tabela1[#All],2,0)</f>
        <v>#REF!</v>
      </c>
      <c r="J818" t="s">
        <v>258</v>
      </c>
      <c r="K818">
        <v>225</v>
      </c>
      <c r="N818" t="s">
        <v>129</v>
      </c>
      <c r="Q818" s="10" t="str">
        <f>Tabela2[[#This Row],[Coluna5]]</f>
        <v>10/2025</v>
      </c>
      <c r="R818" s="10" t="str">
        <f>IF(Tabela2[[#This Row],[Coluna9]]&gt;0,"Entrada","Saída")</f>
        <v>Entrada</v>
      </c>
      <c r="S818" s="10" t="str">
        <f>Tabela2[[#This Row],[Coluna8]]</f>
        <v>2/2</v>
      </c>
      <c r="T818" s="10" t="e">
        <f>Tabela2[[#This Row],[Coluna72]]</f>
        <v>#REF!</v>
      </c>
      <c r="U818" s="10">
        <f>SUM(Tabela2[[#This Row],[Coluna9]],Tabela2[[#This Row],[Coluna10]])</f>
        <v>225</v>
      </c>
      <c r="V818" s="2" t="str">
        <f>Tabela2[[#This Row],[Coluna4]]</f>
        <v>24/11/2025</v>
      </c>
      <c r="W818" s="2" t="str">
        <f>Tabela2[[#This Row],[Coluna6]]</f>
        <v>26/11/2025</v>
      </c>
    </row>
    <row r="819" spans="2:23" x14ac:dyDescent="0.2">
      <c r="B819" t="s">
        <v>27</v>
      </c>
      <c r="C819" t="s">
        <v>125</v>
      </c>
      <c r="D819" t="s">
        <v>19</v>
      </c>
      <c r="E819" s="8" t="s">
        <v>62</v>
      </c>
      <c r="F819" t="s">
        <v>42</v>
      </c>
      <c r="G819" s="8" t="s">
        <v>62</v>
      </c>
      <c r="H819" t="s">
        <v>104</v>
      </c>
      <c r="I819" t="e">
        <f>VLOOKUP(Tabela2[[#This Row],[Coluna7]],[1]!Tabela1[#All],2,0)</f>
        <v>#REF!</v>
      </c>
      <c r="K819">
        <v>1761</v>
      </c>
      <c r="M819" t="s">
        <v>259</v>
      </c>
      <c r="N819" t="s">
        <v>260</v>
      </c>
      <c r="Q819" s="10" t="str">
        <f>Tabela2[[#This Row],[Coluna5]]</f>
        <v>11/2025</v>
      </c>
      <c r="R819" s="10" t="str">
        <f>IF(Tabela2[[#This Row],[Coluna9]]&gt;0,"Entrada","Saída")</f>
        <v>Entrada</v>
      </c>
      <c r="S819" s="10">
        <f>Tabela2[[#This Row],[Coluna8]]</f>
        <v>0</v>
      </c>
      <c r="T819" s="10" t="e">
        <f>Tabela2[[#This Row],[Coluna72]]</f>
        <v>#REF!</v>
      </c>
      <c r="U819" s="10">
        <f>SUM(Tabela2[[#This Row],[Coluna9]],Tabela2[[#This Row],[Coluna10]])</f>
        <v>1761</v>
      </c>
      <c r="V819" s="2" t="str">
        <f>Tabela2[[#This Row],[Coluna4]]</f>
        <v>24/11/2025</v>
      </c>
      <c r="W819" s="2" t="str">
        <f>Tabela2[[#This Row],[Coluna6]]</f>
        <v>24/11/2025</v>
      </c>
    </row>
    <row r="820" spans="2:23" x14ac:dyDescent="0.2">
      <c r="B820" t="s">
        <v>27</v>
      </c>
      <c r="C820" t="s">
        <v>95</v>
      </c>
      <c r="D820" t="s">
        <v>19</v>
      </c>
      <c r="E820" s="8" t="s">
        <v>62</v>
      </c>
      <c r="F820" t="s">
        <v>42</v>
      </c>
      <c r="G820" s="8" t="s">
        <v>62</v>
      </c>
      <c r="H820" t="s">
        <v>162</v>
      </c>
      <c r="I820" t="e">
        <f>VLOOKUP(Tabela2[[#This Row],[Coluna7]],[1]!Tabela1[#All],2,0)</f>
        <v>#REF!</v>
      </c>
      <c r="J820" t="s">
        <v>27</v>
      </c>
      <c r="K820">
        <v>0.06</v>
      </c>
      <c r="Q820" s="10" t="str">
        <f>Tabela2[[#This Row],[Coluna5]]</f>
        <v>11/2025</v>
      </c>
      <c r="R820" s="10" t="str">
        <f>IF(Tabela2[[#This Row],[Coluna9]]&gt;0,"Entrada","Saída")</f>
        <v>Entrada</v>
      </c>
      <c r="S820" s="10" t="str">
        <f>Tabela2[[#This Row],[Coluna8]]</f>
        <v>BRADESCO</v>
      </c>
      <c r="T820" s="10" t="e">
        <f>Tabela2[[#This Row],[Coluna72]]</f>
        <v>#REF!</v>
      </c>
      <c r="U820" s="10">
        <f>SUM(Tabela2[[#This Row],[Coluna9]],Tabela2[[#This Row],[Coluna10]])</f>
        <v>0.06</v>
      </c>
      <c r="V820" s="2" t="str">
        <f>Tabela2[[#This Row],[Coluna4]]</f>
        <v>24/11/2025</v>
      </c>
      <c r="W820" s="2" t="str">
        <f>Tabela2[[#This Row],[Coluna6]]</f>
        <v>24/11/2025</v>
      </c>
    </row>
    <row r="821" spans="2:23" x14ac:dyDescent="0.2">
      <c r="B821" t="s">
        <v>18</v>
      </c>
      <c r="C821" t="s">
        <v>95</v>
      </c>
      <c r="D821" t="s">
        <v>19</v>
      </c>
      <c r="E821" s="8" t="s">
        <v>256</v>
      </c>
      <c r="F821" t="s">
        <v>15</v>
      </c>
      <c r="G821" s="8" t="s">
        <v>44</v>
      </c>
      <c r="H821" t="s">
        <v>98</v>
      </c>
      <c r="I821" t="e">
        <f>VLOOKUP(Tabela2[[#This Row],[Coluna7]],[1]!Tabela1[#All],2,0)</f>
        <v>#REF!</v>
      </c>
      <c r="J821" t="s">
        <v>261</v>
      </c>
      <c r="K821">
        <v>530</v>
      </c>
      <c r="N821" t="s">
        <v>199</v>
      </c>
      <c r="Q821" s="10" t="str">
        <f>Tabela2[[#This Row],[Coluna5]]</f>
        <v>10/2025</v>
      </c>
      <c r="R821" s="10" t="str">
        <f>IF(Tabela2[[#This Row],[Coluna9]]&gt;0,"Entrada","Saída")</f>
        <v>Entrada</v>
      </c>
      <c r="S821" s="10" t="str">
        <f>Tabela2[[#This Row],[Coluna8]]</f>
        <v>2/18</v>
      </c>
      <c r="T821" s="10" t="e">
        <f>Tabela2[[#This Row],[Coluna72]]</f>
        <v>#REF!</v>
      </c>
      <c r="U821" s="10">
        <f>SUM(Tabela2[[#This Row],[Coluna9]],Tabela2[[#This Row],[Coluna10]])</f>
        <v>530</v>
      </c>
      <c r="V821" s="2" t="str">
        <f>Tabela2[[#This Row],[Coluna4]]</f>
        <v>25/11/2025</v>
      </c>
      <c r="W821" s="2" t="str">
        <f>Tabela2[[#This Row],[Coluna6]]</f>
        <v>06/11/2025</v>
      </c>
    </row>
    <row r="822" spans="2:23" x14ac:dyDescent="0.2">
      <c r="B822" t="s">
        <v>215</v>
      </c>
      <c r="C822" t="s">
        <v>125</v>
      </c>
      <c r="D822" t="s">
        <v>19</v>
      </c>
      <c r="E822" s="8" t="s">
        <v>256</v>
      </c>
      <c r="F822" t="s">
        <v>42</v>
      </c>
      <c r="G822" s="8" t="s">
        <v>256</v>
      </c>
      <c r="H822" t="s">
        <v>104</v>
      </c>
      <c r="I822" t="e">
        <f>VLOOKUP(Tabela2[[#This Row],[Coluna7]],[1]!Tabela1[#All],2,0)</f>
        <v>#REF!</v>
      </c>
      <c r="J822" t="s">
        <v>215</v>
      </c>
      <c r="K822">
        <v>1823</v>
      </c>
      <c r="M822" t="s">
        <v>262</v>
      </c>
      <c r="N822" t="s">
        <v>147</v>
      </c>
      <c r="Q822" s="10" t="str">
        <f>Tabela2[[#This Row],[Coluna5]]</f>
        <v>11/2025</v>
      </c>
      <c r="R822" s="10" t="str">
        <f>IF(Tabela2[[#This Row],[Coluna9]]&gt;0,"Entrada","Saída")</f>
        <v>Entrada</v>
      </c>
      <c r="S822" s="10" t="str">
        <f>Tabela2[[#This Row],[Coluna8]]</f>
        <v>ASAAS</v>
      </c>
      <c r="T822" s="10" t="e">
        <f>Tabela2[[#This Row],[Coluna72]]</f>
        <v>#REF!</v>
      </c>
      <c r="U822" s="10">
        <f>SUM(Tabela2[[#This Row],[Coluna9]],Tabela2[[#This Row],[Coluna10]])</f>
        <v>1823</v>
      </c>
      <c r="V822" s="2" t="str">
        <f>Tabela2[[#This Row],[Coluna4]]</f>
        <v>25/11/2025</v>
      </c>
      <c r="W822" s="2" t="str">
        <f>Tabela2[[#This Row],[Coluna6]]</f>
        <v>25/11/2025</v>
      </c>
    </row>
    <row r="823" spans="2:23" x14ac:dyDescent="0.2">
      <c r="B823" t="s">
        <v>71</v>
      </c>
      <c r="C823" t="s">
        <v>125</v>
      </c>
      <c r="D823" t="s">
        <v>19</v>
      </c>
      <c r="E823" s="8" t="s">
        <v>256</v>
      </c>
      <c r="F823" t="s">
        <v>42</v>
      </c>
      <c r="G823" s="8" t="s">
        <v>256</v>
      </c>
      <c r="H823" t="s">
        <v>104</v>
      </c>
      <c r="I823" t="e">
        <f>VLOOKUP(Tabela2[[#This Row],[Coluna7]],[1]!Tabela1[#All],2,0)</f>
        <v>#REF!</v>
      </c>
      <c r="K823">
        <v>13375</v>
      </c>
      <c r="M823" t="s">
        <v>263</v>
      </c>
      <c r="N823" t="s">
        <v>264</v>
      </c>
      <c r="Q823" s="10" t="str">
        <f>Tabela2[[#This Row],[Coluna5]]</f>
        <v>11/2025</v>
      </c>
      <c r="R823" s="10" t="str">
        <f>IF(Tabela2[[#This Row],[Coluna9]]&gt;0,"Entrada","Saída")</f>
        <v>Entrada</v>
      </c>
      <c r="S823" s="10">
        <f>Tabela2[[#This Row],[Coluna8]]</f>
        <v>0</v>
      </c>
      <c r="T823" s="10" t="e">
        <f>Tabela2[[#This Row],[Coluna72]]</f>
        <v>#REF!</v>
      </c>
      <c r="U823" s="10">
        <f>SUM(Tabela2[[#This Row],[Coluna9]],Tabela2[[#This Row],[Coluna10]])</f>
        <v>13375</v>
      </c>
      <c r="V823" s="2" t="str">
        <f>Tabela2[[#This Row],[Coluna4]]</f>
        <v>25/11/2025</v>
      </c>
      <c r="W823" s="2" t="str">
        <f>Tabela2[[#This Row],[Coluna6]]</f>
        <v>25/11/2025</v>
      </c>
    </row>
    <row r="824" spans="2:23" x14ac:dyDescent="0.2">
      <c r="B824" t="s">
        <v>27</v>
      </c>
      <c r="C824" t="s">
        <v>95</v>
      </c>
      <c r="D824" t="s">
        <v>19</v>
      </c>
      <c r="E824" s="8" t="s">
        <v>257</v>
      </c>
      <c r="F824" t="s">
        <v>42</v>
      </c>
      <c r="G824" s="8" t="s">
        <v>257</v>
      </c>
      <c r="H824" t="s">
        <v>162</v>
      </c>
      <c r="I824" t="e">
        <f>VLOOKUP(Tabela2[[#This Row],[Coluna7]],[1]!Tabela1[#All],2,0)</f>
        <v>#REF!</v>
      </c>
      <c r="J824" t="s">
        <v>220</v>
      </c>
      <c r="K824">
        <v>0.04</v>
      </c>
      <c r="Q824" s="10" t="str">
        <f>Tabela2[[#This Row],[Coluna5]]</f>
        <v>11/2025</v>
      </c>
      <c r="R824" s="10" t="str">
        <f>IF(Tabela2[[#This Row],[Coluna9]]&gt;0,"Entrada","Saída")</f>
        <v>Entrada</v>
      </c>
      <c r="S824" s="10" t="str">
        <f>Tabela2[[#This Row],[Coluna8]]</f>
        <v>RENTABILIDADE</v>
      </c>
      <c r="T824" s="10" t="e">
        <f>Tabela2[[#This Row],[Coluna72]]</f>
        <v>#REF!</v>
      </c>
      <c r="U824" s="10">
        <f>SUM(Tabela2[[#This Row],[Coluna9]],Tabela2[[#This Row],[Coluna10]])</f>
        <v>0.04</v>
      </c>
      <c r="V824" s="2" t="str">
        <f>Tabela2[[#This Row],[Coluna4]]</f>
        <v>26/11/2025</v>
      </c>
      <c r="W824" s="2" t="str">
        <f>Tabela2[[#This Row],[Coluna6]]</f>
        <v>26/11/2025</v>
      </c>
    </row>
    <row r="825" spans="2:23" x14ac:dyDescent="0.2">
      <c r="B825" t="s">
        <v>71</v>
      </c>
      <c r="C825" t="s">
        <v>125</v>
      </c>
      <c r="D825" t="s">
        <v>19</v>
      </c>
      <c r="E825" s="8" t="s">
        <v>265</v>
      </c>
      <c r="F825" t="s">
        <v>42</v>
      </c>
      <c r="G825" s="8" t="s">
        <v>256</v>
      </c>
      <c r="H825" t="s">
        <v>104</v>
      </c>
      <c r="I825" t="e">
        <f>VLOOKUP(Tabela2[[#This Row],[Coluna7]],[1]!Tabela1[#All],2,0)</f>
        <v>#REF!</v>
      </c>
      <c r="J825" t="s">
        <v>266</v>
      </c>
      <c r="K825">
        <v>3000</v>
      </c>
      <c r="M825" t="s">
        <v>267</v>
      </c>
      <c r="N825" t="s">
        <v>268</v>
      </c>
      <c r="Q825" s="10" t="str">
        <f>Tabela2[[#This Row],[Coluna5]]</f>
        <v>11/2025</v>
      </c>
      <c r="R825" s="10" t="str">
        <f>IF(Tabela2[[#This Row],[Coluna9]]&gt;0,"Entrada","Saída")</f>
        <v>Entrada</v>
      </c>
      <c r="S825" s="10" t="str">
        <f>Tabela2[[#This Row],[Coluna8]]</f>
        <v>PAGAMENTO PARCIAL</v>
      </c>
      <c r="T825" s="10" t="e">
        <f>Tabela2[[#This Row],[Coluna72]]</f>
        <v>#REF!</v>
      </c>
      <c r="U825" s="10">
        <f>SUM(Tabela2[[#This Row],[Coluna9]],Tabela2[[#This Row],[Coluna10]])</f>
        <v>3000</v>
      </c>
      <c r="V825" s="2" t="str">
        <f>Tabela2[[#This Row],[Coluna4]]</f>
        <v>27/11/2025</v>
      </c>
      <c r="W825" s="2" t="str">
        <f>Tabela2[[#This Row],[Coluna6]]</f>
        <v>25/11/2025</v>
      </c>
    </row>
    <row r="826" spans="2:23" x14ac:dyDescent="0.2">
      <c r="B826" t="s">
        <v>27</v>
      </c>
      <c r="C826" t="s">
        <v>200</v>
      </c>
      <c r="D826" t="s">
        <v>19</v>
      </c>
      <c r="E826" s="8" t="s">
        <v>269</v>
      </c>
      <c r="F826" t="s">
        <v>42</v>
      </c>
      <c r="G826" s="8" t="s">
        <v>63</v>
      </c>
      <c r="H826" t="s">
        <v>104</v>
      </c>
      <c r="I826" t="e">
        <f>VLOOKUP(Tabela2[[#This Row],[Coluna7]],[1]!Tabela1[#All],2,0)</f>
        <v>#REF!</v>
      </c>
      <c r="K826">
        <v>6000</v>
      </c>
      <c r="N826" t="s">
        <v>270</v>
      </c>
      <c r="Q826" s="10" t="str">
        <f>Tabela2[[#This Row],[Coluna5]]</f>
        <v>11/2025</v>
      </c>
      <c r="R826" s="10" t="str">
        <f>IF(Tabela2[[#This Row],[Coluna9]]&gt;0,"Entrada","Saída")</f>
        <v>Entrada</v>
      </c>
      <c r="S826" s="10">
        <f>Tabela2[[#This Row],[Coluna8]]</f>
        <v>0</v>
      </c>
      <c r="T826" s="10" t="e">
        <f>Tabela2[[#This Row],[Coluna72]]</f>
        <v>#REF!</v>
      </c>
      <c r="U826" s="10">
        <f>SUM(Tabela2[[#This Row],[Coluna9]],Tabela2[[#This Row],[Coluna10]])</f>
        <v>6000</v>
      </c>
      <c r="V826" s="2" t="str">
        <f>Tabela2[[#This Row],[Coluna4]]</f>
        <v>28/11/2025</v>
      </c>
      <c r="W826" s="2" t="str">
        <f>Tabela2[[#This Row],[Coluna6]]</f>
        <v>01/12/2025</v>
      </c>
    </row>
    <row r="827" spans="2:23" x14ac:dyDescent="0.2">
      <c r="B827" t="s">
        <v>27</v>
      </c>
      <c r="C827" t="s">
        <v>110</v>
      </c>
      <c r="D827" t="s">
        <v>19</v>
      </c>
      <c r="E827" s="8" t="s">
        <v>269</v>
      </c>
      <c r="F827" t="s">
        <v>42</v>
      </c>
      <c r="G827" s="8" t="s">
        <v>269</v>
      </c>
      <c r="H827" t="s">
        <v>181</v>
      </c>
      <c r="I827" t="e">
        <f>VLOOKUP(Tabela2[[#This Row],[Coluna7]],[1]!Tabela1[#All],2,0)</f>
        <v>#REF!</v>
      </c>
      <c r="K827">
        <v>1000</v>
      </c>
      <c r="M827" t="s">
        <v>271</v>
      </c>
      <c r="N827" t="s">
        <v>272</v>
      </c>
      <c r="Q827" s="10" t="str">
        <f>Tabela2[[#This Row],[Coluna5]]</f>
        <v>11/2025</v>
      </c>
      <c r="R827" s="10" t="str">
        <f>IF(Tabela2[[#This Row],[Coluna9]]&gt;0,"Entrada","Saída")</f>
        <v>Entrada</v>
      </c>
      <c r="S827" s="10">
        <f>Tabela2[[#This Row],[Coluna8]]</f>
        <v>0</v>
      </c>
      <c r="T827" s="10" t="e">
        <f>Tabela2[[#This Row],[Coluna72]]</f>
        <v>#REF!</v>
      </c>
      <c r="U827" s="10">
        <f>SUM(Tabela2[[#This Row],[Coluna9]],Tabela2[[#This Row],[Coluna10]])</f>
        <v>1000</v>
      </c>
      <c r="V827" s="2" t="str">
        <f>Tabela2[[#This Row],[Coluna4]]</f>
        <v>28/11/2025</v>
      </c>
      <c r="W827" s="2" t="str">
        <f>Tabela2[[#This Row],[Coluna6]]</f>
        <v>28/11/2025</v>
      </c>
    </row>
    <row r="828" spans="2:23" x14ac:dyDescent="0.2">
      <c r="B828" t="s">
        <v>12</v>
      </c>
      <c r="C828" t="s">
        <v>95</v>
      </c>
      <c r="D828" t="s">
        <v>19</v>
      </c>
      <c r="E828" s="8" t="s">
        <v>269</v>
      </c>
      <c r="F828" t="s">
        <v>42</v>
      </c>
      <c r="G828" s="8" t="s">
        <v>269</v>
      </c>
      <c r="H828" t="s">
        <v>211</v>
      </c>
      <c r="I828" t="e">
        <f>VLOOKUP(Tabela2[[#This Row],[Coluna7]],[1]!Tabela1[#All],2,0)</f>
        <v>#REF!</v>
      </c>
      <c r="J828" t="s">
        <v>273</v>
      </c>
      <c r="K828">
        <v>516</v>
      </c>
      <c r="Q828" s="10" t="str">
        <f>Tabela2[[#This Row],[Coluna5]]</f>
        <v>11/2025</v>
      </c>
      <c r="R828" s="10" t="str">
        <f>IF(Tabela2[[#This Row],[Coluna9]]&gt;0,"Entrada","Saída")</f>
        <v>Entrada</v>
      </c>
      <c r="S828" s="10" t="str">
        <f>Tabela2[[#This Row],[Coluna8]]</f>
        <v>DEPÓSITO EM DINEIRO</v>
      </c>
      <c r="T828" s="10" t="e">
        <f>Tabela2[[#This Row],[Coluna72]]</f>
        <v>#REF!</v>
      </c>
      <c r="U828" s="10">
        <f>SUM(Tabela2[[#This Row],[Coluna9]],Tabela2[[#This Row],[Coluna10]])</f>
        <v>516</v>
      </c>
      <c r="V828" s="2" t="str">
        <f>Tabela2[[#This Row],[Coluna4]]</f>
        <v>28/11/2025</v>
      </c>
      <c r="W828" s="2" t="str">
        <f>Tabela2[[#This Row],[Coluna6]]</f>
        <v>28/11/2025</v>
      </c>
    </row>
    <row r="829" spans="2:23" x14ac:dyDescent="0.2">
      <c r="B829" t="s">
        <v>18</v>
      </c>
      <c r="C829" t="s">
        <v>95</v>
      </c>
      <c r="D829" t="s">
        <v>19</v>
      </c>
      <c r="E829" s="8" t="s">
        <v>274</v>
      </c>
      <c r="F829" t="s">
        <v>15</v>
      </c>
      <c r="G829" s="8" t="s">
        <v>62</v>
      </c>
      <c r="H829" t="s">
        <v>98</v>
      </c>
      <c r="I829" t="e">
        <f>VLOOKUP(Tabela2[[#This Row],[Coluna7]],[1]!Tabela1[#All],2,0)</f>
        <v>#REF!</v>
      </c>
      <c r="J829" t="s">
        <v>275</v>
      </c>
      <c r="K829">
        <v>450</v>
      </c>
      <c r="M829" t="s">
        <v>204</v>
      </c>
      <c r="N829" t="s">
        <v>205</v>
      </c>
      <c r="Q829" s="10" t="str">
        <f>Tabela2[[#This Row],[Coluna5]]</f>
        <v>10/2025</v>
      </c>
      <c r="R829" s="10" t="str">
        <f>IF(Tabela2[[#This Row],[Coluna9]]&gt;0,"Entrada","Saída")</f>
        <v>Entrada</v>
      </c>
      <c r="S829" s="10" t="str">
        <f>Tabela2[[#This Row],[Coluna8]]</f>
        <v>2/20</v>
      </c>
      <c r="T829" s="10" t="e">
        <f>Tabela2[[#This Row],[Coluna72]]</f>
        <v>#REF!</v>
      </c>
      <c r="U829" s="10">
        <f>SUM(Tabela2[[#This Row],[Coluna9]],Tabela2[[#This Row],[Coluna10]])</f>
        <v>450</v>
      </c>
      <c r="V829" s="2" t="str">
        <f>Tabela2[[#This Row],[Coluna4]]</f>
        <v>29/11/2025</v>
      </c>
      <c r="W829" s="2" t="str">
        <f>Tabela2[[#This Row],[Coluna6]]</f>
        <v>24/11/2025</v>
      </c>
    </row>
    <row r="830" spans="2:23" x14ac:dyDescent="0.2">
      <c r="B830" t="s">
        <v>18</v>
      </c>
      <c r="C830" t="s">
        <v>95</v>
      </c>
      <c r="D830" t="s">
        <v>19</v>
      </c>
      <c r="E830" s="8" t="s">
        <v>274</v>
      </c>
      <c r="F830" t="s">
        <v>15</v>
      </c>
      <c r="G830" s="8" t="s">
        <v>62</v>
      </c>
      <c r="H830" t="s">
        <v>98</v>
      </c>
      <c r="I830" t="e">
        <f>VLOOKUP(Tabela2[[#This Row],[Coluna7]],[1]!Tabela1[#All],2,0)</f>
        <v>#REF!</v>
      </c>
      <c r="J830" t="s">
        <v>276</v>
      </c>
      <c r="K830">
        <v>319</v>
      </c>
      <c r="N830" t="s">
        <v>207</v>
      </c>
      <c r="Q830" s="10" t="str">
        <f>Tabela2[[#This Row],[Coluna5]]</f>
        <v>10/2025</v>
      </c>
      <c r="R830" s="10" t="str">
        <f>IF(Tabela2[[#This Row],[Coluna9]]&gt;0,"Entrada","Saída")</f>
        <v>Entrada</v>
      </c>
      <c r="S830" s="10" t="str">
        <f>Tabela2[[#This Row],[Coluna8]]</f>
        <v>2/12</v>
      </c>
      <c r="T830" s="10" t="e">
        <f>Tabela2[[#This Row],[Coluna72]]</f>
        <v>#REF!</v>
      </c>
      <c r="U830" s="10">
        <f>SUM(Tabela2[[#This Row],[Coluna9]],Tabela2[[#This Row],[Coluna10]])</f>
        <v>319</v>
      </c>
      <c r="V830" s="2" t="str">
        <f>Tabela2[[#This Row],[Coluna4]]</f>
        <v>29/11/2025</v>
      </c>
      <c r="W830" s="2" t="str">
        <f>Tabela2[[#This Row],[Coluna6]]</f>
        <v>24/11/2025</v>
      </c>
    </row>
    <row r="831" spans="2:23" x14ac:dyDescent="0.2">
      <c r="B831" t="s">
        <v>18</v>
      </c>
      <c r="C831" t="s">
        <v>125</v>
      </c>
      <c r="D831" t="s">
        <v>19</v>
      </c>
      <c r="E831" s="8" t="s">
        <v>274</v>
      </c>
      <c r="F831" t="s">
        <v>42</v>
      </c>
      <c r="G831" s="8" t="s">
        <v>52</v>
      </c>
      <c r="H831" t="s">
        <v>98</v>
      </c>
      <c r="I831" t="e">
        <f>VLOOKUP(Tabela2[[#This Row],[Coluna7]],[1]!Tabela1[#All],2,0)</f>
        <v>#REF!</v>
      </c>
      <c r="J831" t="s">
        <v>277</v>
      </c>
      <c r="K831">
        <v>490</v>
      </c>
      <c r="N831" t="s">
        <v>103</v>
      </c>
      <c r="Q831" s="10" t="str">
        <f>Tabela2[[#This Row],[Coluna5]]</f>
        <v>11/2025</v>
      </c>
      <c r="R831" s="10" t="str">
        <f>IF(Tabela2[[#This Row],[Coluna9]]&gt;0,"Entrada","Saída")</f>
        <v>Entrada</v>
      </c>
      <c r="S831" s="10" t="str">
        <f>Tabela2[[#This Row],[Coluna8]]</f>
        <v>PARC 3</v>
      </c>
      <c r="T831" s="10" t="e">
        <f>Tabela2[[#This Row],[Coluna72]]</f>
        <v>#REF!</v>
      </c>
      <c r="U831" s="10">
        <f>SUM(Tabela2[[#This Row],[Coluna9]],Tabela2[[#This Row],[Coluna10]])</f>
        <v>490</v>
      </c>
      <c r="V831" s="2" t="str">
        <f>Tabela2[[#This Row],[Coluna4]]</f>
        <v>29/11/2025</v>
      </c>
      <c r="W831" s="2" t="str">
        <f>Tabela2[[#This Row],[Coluna6]]</f>
        <v>03/11/2025</v>
      </c>
    </row>
    <row r="832" spans="2:23" x14ac:dyDescent="0.2">
      <c r="B832" t="s">
        <v>27</v>
      </c>
      <c r="C832" t="s">
        <v>200</v>
      </c>
      <c r="D832" t="s">
        <v>19</v>
      </c>
      <c r="E832" s="8" t="s">
        <v>274</v>
      </c>
      <c r="F832" t="s">
        <v>15</v>
      </c>
      <c r="H832" t="s">
        <v>98</v>
      </c>
      <c r="I832" t="e">
        <f>VLOOKUP(Tabela2[[#This Row],[Coluna7]],[1]!Tabela1[#All],2,0)</f>
        <v>#REF!</v>
      </c>
      <c r="J832" t="s">
        <v>232</v>
      </c>
      <c r="K832">
        <v>225</v>
      </c>
      <c r="M832" t="s">
        <v>209</v>
      </c>
      <c r="N832" t="s">
        <v>210</v>
      </c>
      <c r="Q832" s="10" t="str">
        <f>Tabela2[[#This Row],[Coluna5]]</f>
        <v>10/2025</v>
      </c>
      <c r="R832" s="10" t="str">
        <f>IF(Tabela2[[#This Row],[Coluna9]]&gt;0,"Entrada","Saída")</f>
        <v>Entrada</v>
      </c>
      <c r="S832" s="10" t="str">
        <f>Tabela2[[#This Row],[Coluna8]]</f>
        <v>2/5</v>
      </c>
      <c r="T832" s="10" t="e">
        <f>Tabela2[[#This Row],[Coluna72]]</f>
        <v>#REF!</v>
      </c>
      <c r="U832" s="10">
        <f>SUM(Tabela2[[#This Row],[Coluna9]],Tabela2[[#This Row],[Coluna10]])</f>
        <v>225</v>
      </c>
      <c r="V832" s="2" t="str">
        <f>Tabela2[[#This Row],[Coluna4]]</f>
        <v>29/11/2025</v>
      </c>
      <c r="W832" s="2">
        <f>Tabela2[[#This Row],[Coluna6]]</f>
        <v>0</v>
      </c>
    </row>
    <row r="833" spans="2:23" x14ac:dyDescent="0.2">
      <c r="B833" t="s">
        <v>27</v>
      </c>
      <c r="C833" t="s">
        <v>95</v>
      </c>
      <c r="D833" t="s">
        <v>19</v>
      </c>
      <c r="E833" s="8" t="s">
        <v>278</v>
      </c>
      <c r="F833" t="s">
        <v>15</v>
      </c>
      <c r="G833" s="8" t="s">
        <v>63</v>
      </c>
      <c r="H833" t="s">
        <v>107</v>
      </c>
      <c r="I833" t="e">
        <f>VLOOKUP(Tabela2[[#This Row],[Coluna7]],[1]!Tabela1[#All],2,0)</f>
        <v>#REF!</v>
      </c>
      <c r="K833">
        <v>9080</v>
      </c>
      <c r="M833" t="s">
        <v>279</v>
      </c>
      <c r="N833" t="s">
        <v>280</v>
      </c>
      <c r="Q833" s="10" t="str">
        <f>Tabela2[[#This Row],[Coluna5]]</f>
        <v>10/2025</v>
      </c>
      <c r="R833" s="10" t="str">
        <f>IF(Tabela2[[#This Row],[Coluna9]]&gt;0,"Entrada","Saída")</f>
        <v>Entrada</v>
      </c>
      <c r="S833" s="10">
        <f>Tabela2[[#This Row],[Coluna8]]</f>
        <v>0</v>
      </c>
      <c r="T833" s="10" t="e">
        <f>Tabela2[[#This Row],[Coluna72]]</f>
        <v>#REF!</v>
      </c>
      <c r="U833" s="10">
        <f>SUM(Tabela2[[#This Row],[Coluna9]],Tabela2[[#This Row],[Coluna10]])</f>
        <v>9080</v>
      </c>
      <c r="V833" s="2" t="str">
        <f>Tabela2[[#This Row],[Coluna4]]</f>
        <v>30/11/2025</v>
      </c>
      <c r="W833" s="2" t="str">
        <f>Tabela2[[#This Row],[Coluna6]]</f>
        <v>01/12/2025</v>
      </c>
    </row>
    <row r="834" spans="2:23" x14ac:dyDescent="0.2">
      <c r="B834" t="s">
        <v>18</v>
      </c>
      <c r="C834" t="s">
        <v>95</v>
      </c>
      <c r="D834" t="s">
        <v>19</v>
      </c>
      <c r="E834" s="8" t="s">
        <v>278</v>
      </c>
      <c r="F834" t="s">
        <v>15</v>
      </c>
      <c r="G834" s="8" t="s">
        <v>73</v>
      </c>
      <c r="H834" t="s">
        <v>98</v>
      </c>
      <c r="I834" t="e">
        <f>VLOOKUP(Tabela2[[#This Row],[Coluna7]],[1]!Tabela1[#All],2,0)</f>
        <v>#REF!</v>
      </c>
      <c r="J834" t="s">
        <v>281</v>
      </c>
      <c r="K834">
        <v>375</v>
      </c>
      <c r="M834" t="s">
        <v>100</v>
      </c>
      <c r="N834" t="s">
        <v>101</v>
      </c>
      <c r="Q834" s="10" t="str">
        <f>Tabela2[[#This Row],[Coluna5]]</f>
        <v>10/2025</v>
      </c>
      <c r="R834" s="10" t="str">
        <f>IF(Tabela2[[#This Row],[Coluna9]]&gt;0,"Entrada","Saída")</f>
        <v>Entrada</v>
      </c>
      <c r="S834" s="10" t="str">
        <f>Tabela2[[#This Row],[Coluna8]]</f>
        <v>3/9</v>
      </c>
      <c r="T834" s="10" t="e">
        <f>Tabela2[[#This Row],[Coluna72]]</f>
        <v>#REF!</v>
      </c>
      <c r="U834" s="10">
        <f>SUM(Tabela2[[#This Row],[Coluna9]],Tabela2[[#This Row],[Coluna10]])</f>
        <v>375</v>
      </c>
      <c r="V834" s="2" t="str">
        <f>Tabela2[[#This Row],[Coluna4]]</f>
        <v>30/11/2025</v>
      </c>
      <c r="W834" s="2" t="str">
        <f>Tabela2[[#This Row],[Coluna6]]</f>
        <v>11/12/2025</v>
      </c>
    </row>
    <row r="835" spans="2:23" x14ac:dyDescent="0.2">
      <c r="B835" t="s">
        <v>27</v>
      </c>
      <c r="C835" t="s">
        <v>125</v>
      </c>
      <c r="D835" t="s">
        <v>19</v>
      </c>
      <c r="E835" s="8" t="s">
        <v>278</v>
      </c>
      <c r="F835" t="s">
        <v>42</v>
      </c>
      <c r="G835" s="8" t="s">
        <v>282</v>
      </c>
      <c r="H835" t="s">
        <v>98</v>
      </c>
      <c r="I835" t="e">
        <f>VLOOKUP(Tabela2[[#This Row],[Coluna7]],[1]!Tabela1[#All],2,0)</f>
        <v>#REF!</v>
      </c>
      <c r="J835" t="s">
        <v>283</v>
      </c>
      <c r="K835">
        <v>500</v>
      </c>
      <c r="M835" t="s">
        <v>226</v>
      </c>
      <c r="N835" t="s">
        <v>227</v>
      </c>
      <c r="Q835" s="10" t="str">
        <f>Tabela2[[#This Row],[Coluna5]]</f>
        <v>11/2025</v>
      </c>
      <c r="R835" s="10" t="str">
        <f>IF(Tabela2[[#This Row],[Coluna9]]&gt;0,"Entrada","Saída")</f>
        <v>Entrada</v>
      </c>
      <c r="S835" s="10" t="str">
        <f>Tabela2[[#This Row],[Coluna8]]</f>
        <v>1/10</v>
      </c>
      <c r="T835" s="10" t="e">
        <f>Tabela2[[#This Row],[Coluna72]]</f>
        <v>#REF!</v>
      </c>
      <c r="U835" s="10">
        <f>SUM(Tabela2[[#This Row],[Coluna9]],Tabela2[[#This Row],[Coluna10]])</f>
        <v>500</v>
      </c>
      <c r="V835" s="2" t="str">
        <f>Tabela2[[#This Row],[Coluna4]]</f>
        <v>30/11/2025</v>
      </c>
      <c r="W835" s="2" t="str">
        <f>Tabela2[[#This Row],[Coluna6]]</f>
        <v>02/12/2025</v>
      </c>
    </row>
    <row r="836" spans="2:23" x14ac:dyDescent="0.2">
      <c r="B836" t="s">
        <v>71</v>
      </c>
      <c r="C836" t="s">
        <v>125</v>
      </c>
      <c r="D836" t="s">
        <v>19</v>
      </c>
      <c r="E836" s="8" t="s">
        <v>63</v>
      </c>
      <c r="F836" t="s">
        <v>64</v>
      </c>
      <c r="G836" s="8" t="s">
        <v>66</v>
      </c>
      <c r="H836" t="s">
        <v>98</v>
      </c>
      <c r="I836" t="e">
        <f>VLOOKUP(Tabela2[[#This Row],[Coluna7]],[1]!Tabela1[#All],2,0)</f>
        <v>#REF!</v>
      </c>
      <c r="J836" t="s">
        <v>203</v>
      </c>
      <c r="K836">
        <v>500</v>
      </c>
      <c r="N836" t="s">
        <v>284</v>
      </c>
      <c r="Q836" s="10" t="str">
        <f>Tabela2[[#This Row],[Coluna5]]</f>
        <v>12/2025</v>
      </c>
      <c r="R836" s="10" t="str">
        <f>IF(Tabela2[[#This Row],[Coluna9]]&gt;0,"Entrada","Saída")</f>
        <v>Entrada</v>
      </c>
      <c r="S836" s="10" t="str">
        <f>Tabela2[[#This Row],[Coluna8]]</f>
        <v>1/20</v>
      </c>
      <c r="T836" s="10" t="e">
        <f>Tabela2[[#This Row],[Coluna72]]</f>
        <v>#REF!</v>
      </c>
      <c r="U836" s="10">
        <f>SUM(Tabela2[[#This Row],[Coluna9]],Tabela2[[#This Row],[Coluna10]])</f>
        <v>500</v>
      </c>
      <c r="V836" s="2" t="str">
        <f>Tabela2[[#This Row],[Coluna4]]</f>
        <v>01/12/2025</v>
      </c>
      <c r="W836" s="2" t="str">
        <f>Tabela2[[#This Row],[Coluna6]]</f>
        <v>04/12/2025</v>
      </c>
    </row>
    <row r="837" spans="2:23" x14ac:dyDescent="0.2">
      <c r="B837" t="s">
        <v>18</v>
      </c>
      <c r="C837" t="s">
        <v>125</v>
      </c>
      <c r="D837" t="s">
        <v>19</v>
      </c>
      <c r="E837" s="8" t="s">
        <v>282</v>
      </c>
      <c r="F837" t="s">
        <v>42</v>
      </c>
      <c r="G837" s="8" t="s">
        <v>282</v>
      </c>
      <c r="H837" t="s">
        <v>98</v>
      </c>
      <c r="I837" t="e">
        <f>VLOOKUP(Tabela2[[#This Row],[Coluna7]],[1]!Tabela1[#All],2,0)</f>
        <v>#REF!</v>
      </c>
      <c r="J837" t="s">
        <v>232</v>
      </c>
      <c r="K837">
        <v>300</v>
      </c>
      <c r="M837" t="s">
        <v>116</v>
      </c>
      <c r="N837" t="s">
        <v>117</v>
      </c>
      <c r="Q837" s="10" t="str">
        <f>Tabela2[[#This Row],[Coluna5]]</f>
        <v>11/2025</v>
      </c>
      <c r="R837" s="10" t="str">
        <f>IF(Tabela2[[#This Row],[Coluna9]]&gt;0,"Entrada","Saída")</f>
        <v>Entrada</v>
      </c>
      <c r="S837" s="10" t="str">
        <f>Tabela2[[#This Row],[Coluna8]]</f>
        <v>2/5</v>
      </c>
      <c r="T837" s="10" t="e">
        <f>Tabela2[[#This Row],[Coluna72]]</f>
        <v>#REF!</v>
      </c>
      <c r="U837" s="10">
        <f>SUM(Tabela2[[#This Row],[Coluna9]],Tabela2[[#This Row],[Coluna10]])</f>
        <v>300</v>
      </c>
      <c r="V837" s="2" t="str">
        <f>Tabela2[[#This Row],[Coluna4]]</f>
        <v>02/12/2025</v>
      </c>
      <c r="W837" s="2" t="str">
        <f>Tabela2[[#This Row],[Coluna6]]</f>
        <v>02/12/2025</v>
      </c>
    </row>
    <row r="838" spans="2:23" x14ac:dyDescent="0.2">
      <c r="B838" t="s">
        <v>215</v>
      </c>
      <c r="C838" t="s">
        <v>125</v>
      </c>
      <c r="D838" t="s">
        <v>19</v>
      </c>
      <c r="E838" s="8" t="s">
        <v>282</v>
      </c>
      <c r="F838" t="s">
        <v>64</v>
      </c>
      <c r="G838" s="8" t="s">
        <v>63</v>
      </c>
      <c r="H838" t="s">
        <v>104</v>
      </c>
      <c r="I838" t="e">
        <f>VLOOKUP(Tabela2[[#This Row],[Coluna7]],[1]!Tabela1[#All],2,0)</f>
        <v>#REF!</v>
      </c>
      <c r="K838">
        <v>456</v>
      </c>
      <c r="N838" t="s">
        <v>285</v>
      </c>
      <c r="Q838" s="10" t="str">
        <f>Tabela2[[#This Row],[Coluna5]]</f>
        <v>12/2025</v>
      </c>
      <c r="R838" s="10" t="str">
        <f>IF(Tabela2[[#This Row],[Coluna9]]&gt;0,"Entrada","Saída")</f>
        <v>Entrada</v>
      </c>
      <c r="S838" s="10">
        <f>Tabela2[[#This Row],[Coluna8]]</f>
        <v>0</v>
      </c>
      <c r="T838" s="10" t="e">
        <f>Tabela2[[#This Row],[Coluna72]]</f>
        <v>#REF!</v>
      </c>
      <c r="U838" s="10">
        <f>SUM(Tabela2[[#This Row],[Coluna9]],Tabela2[[#This Row],[Coluna10]])</f>
        <v>456</v>
      </c>
      <c r="V838" s="2" t="str">
        <f>Tabela2[[#This Row],[Coluna4]]</f>
        <v>02/12/2025</v>
      </c>
      <c r="W838" s="2" t="str">
        <f>Tabela2[[#This Row],[Coluna6]]</f>
        <v>01/12/2025</v>
      </c>
    </row>
    <row r="839" spans="2:23" x14ac:dyDescent="0.2">
      <c r="B839" t="s">
        <v>12</v>
      </c>
      <c r="C839" t="s">
        <v>110</v>
      </c>
      <c r="D839" t="s">
        <v>19</v>
      </c>
      <c r="E839" s="8" t="s">
        <v>282</v>
      </c>
      <c r="F839" t="s">
        <v>64</v>
      </c>
      <c r="G839" s="8" t="s">
        <v>282</v>
      </c>
      <c r="H839" t="s">
        <v>107</v>
      </c>
      <c r="I839" t="e">
        <f>VLOOKUP(Tabela2[[#This Row],[Coluna7]],[1]!Tabela1[#All],2,0)</f>
        <v>#REF!</v>
      </c>
      <c r="K839">
        <v>2000</v>
      </c>
      <c r="M839" t="s">
        <v>271</v>
      </c>
      <c r="N839" t="s">
        <v>272</v>
      </c>
      <c r="Q839" s="10" t="str">
        <f>Tabela2[[#This Row],[Coluna5]]</f>
        <v>12/2025</v>
      </c>
      <c r="R839" s="10" t="str">
        <f>IF(Tabela2[[#This Row],[Coluna9]]&gt;0,"Entrada","Saída")</f>
        <v>Entrada</v>
      </c>
      <c r="S839" s="10">
        <f>Tabela2[[#This Row],[Coluna8]]</f>
        <v>0</v>
      </c>
      <c r="T839" s="10" t="e">
        <f>Tabela2[[#This Row],[Coluna72]]</f>
        <v>#REF!</v>
      </c>
      <c r="U839" s="10">
        <f>SUM(Tabela2[[#This Row],[Coluna9]],Tabela2[[#This Row],[Coluna10]])</f>
        <v>2000</v>
      </c>
      <c r="V839" s="2" t="str">
        <f>Tabela2[[#This Row],[Coluna4]]</f>
        <v>02/12/2025</v>
      </c>
      <c r="W839" s="2" t="str">
        <f>Tabela2[[#This Row],[Coluna6]]</f>
        <v>02/12/2025</v>
      </c>
    </row>
    <row r="840" spans="2:23" x14ac:dyDescent="0.2">
      <c r="B840" t="s">
        <v>12</v>
      </c>
      <c r="C840" t="s">
        <v>95</v>
      </c>
      <c r="D840" t="s">
        <v>19</v>
      </c>
      <c r="E840" s="8" t="s">
        <v>65</v>
      </c>
      <c r="F840" t="s">
        <v>15</v>
      </c>
      <c r="G840" s="8" t="s">
        <v>265</v>
      </c>
      <c r="H840" t="s">
        <v>98</v>
      </c>
      <c r="I840" t="e">
        <f>VLOOKUP(Tabela2[[#This Row],[Coluna7]],[1]!Tabela1[#All],2,0)</f>
        <v>#REF!</v>
      </c>
      <c r="J840" t="s">
        <v>286</v>
      </c>
      <c r="K840">
        <v>180</v>
      </c>
      <c r="N840" t="s">
        <v>121</v>
      </c>
      <c r="Q840" s="10" t="str">
        <f>Tabela2[[#This Row],[Coluna5]]</f>
        <v>10/2025</v>
      </c>
      <c r="R840" s="10" t="str">
        <f>IF(Tabela2[[#This Row],[Coluna9]]&gt;0,"Entrada","Saída")</f>
        <v>Entrada</v>
      </c>
      <c r="S840" s="10" t="str">
        <f>Tabela2[[#This Row],[Coluna8]]</f>
        <v>3/8</v>
      </c>
      <c r="T840" s="10" t="e">
        <f>Tabela2[[#This Row],[Coluna72]]</f>
        <v>#REF!</v>
      </c>
      <c r="U840" s="10">
        <f>SUM(Tabela2[[#This Row],[Coluna9]],Tabela2[[#This Row],[Coluna10]])</f>
        <v>180</v>
      </c>
      <c r="V840" s="2" t="str">
        <f>Tabela2[[#This Row],[Coluna4]]</f>
        <v>03/12/2025</v>
      </c>
      <c r="W840" s="2" t="str">
        <f>Tabela2[[#This Row],[Coluna6]]</f>
        <v>27/11/2025</v>
      </c>
    </row>
    <row r="841" spans="2:23" x14ac:dyDescent="0.2">
      <c r="B841" t="s">
        <v>18</v>
      </c>
      <c r="C841" t="s">
        <v>125</v>
      </c>
      <c r="D841" t="s">
        <v>19</v>
      </c>
      <c r="E841" s="8" t="s">
        <v>65</v>
      </c>
      <c r="F841" t="s">
        <v>42</v>
      </c>
      <c r="G841" s="8" t="s">
        <v>66</v>
      </c>
      <c r="H841" t="s">
        <v>98</v>
      </c>
      <c r="I841" t="e">
        <f>VLOOKUP(Tabela2[[#This Row],[Coluna7]],[1]!Tabela1[#All],2,0)</f>
        <v>#REF!</v>
      </c>
      <c r="J841" t="s">
        <v>232</v>
      </c>
      <c r="K841">
        <v>420</v>
      </c>
      <c r="N841" t="s">
        <v>132</v>
      </c>
      <c r="Q841" s="10" t="str">
        <f>Tabela2[[#This Row],[Coluna5]]</f>
        <v>11/2025</v>
      </c>
      <c r="R841" s="10" t="str">
        <f>IF(Tabela2[[#This Row],[Coluna9]]&gt;0,"Entrada","Saída")</f>
        <v>Entrada</v>
      </c>
      <c r="S841" s="10" t="str">
        <f>Tabela2[[#This Row],[Coluna8]]</f>
        <v>2/5</v>
      </c>
      <c r="T841" s="10" t="e">
        <f>Tabela2[[#This Row],[Coluna72]]</f>
        <v>#REF!</v>
      </c>
      <c r="U841" s="10">
        <f>SUM(Tabela2[[#This Row],[Coluna9]],Tabela2[[#This Row],[Coluna10]])</f>
        <v>420</v>
      </c>
      <c r="V841" s="2" t="str">
        <f>Tabela2[[#This Row],[Coluna4]]</f>
        <v>03/12/2025</v>
      </c>
      <c r="W841" s="2" t="str">
        <f>Tabela2[[#This Row],[Coluna6]]</f>
        <v>04/12/2025</v>
      </c>
    </row>
    <row r="842" spans="2:23" x14ac:dyDescent="0.2">
      <c r="B842" t="s">
        <v>27</v>
      </c>
      <c r="C842" t="s">
        <v>110</v>
      </c>
      <c r="D842" t="s">
        <v>19</v>
      </c>
      <c r="E842" s="8" t="s">
        <v>65</v>
      </c>
      <c r="F842" t="s">
        <v>15</v>
      </c>
      <c r="G842" s="8" t="s">
        <v>63</v>
      </c>
      <c r="H842" t="s">
        <v>111</v>
      </c>
      <c r="I842" t="e">
        <f>VLOOKUP(Tabela2[[#This Row],[Coluna7]],[1]!Tabela1[#All],2,0)</f>
        <v>#REF!</v>
      </c>
      <c r="J842" t="s">
        <v>287</v>
      </c>
      <c r="K842">
        <v>500</v>
      </c>
      <c r="N842" t="s">
        <v>113</v>
      </c>
      <c r="Q842" s="10" t="str">
        <f>Tabela2[[#This Row],[Coluna5]]</f>
        <v>10/2025</v>
      </c>
      <c r="R842" s="10" t="str">
        <f>IF(Tabela2[[#This Row],[Coluna9]]&gt;0,"Entrada","Saída")</f>
        <v>Entrada</v>
      </c>
      <c r="S842" s="10" t="str">
        <f>Tabela2[[#This Row],[Coluna8]]</f>
        <v>3/6</v>
      </c>
      <c r="T842" s="10" t="e">
        <f>Tabela2[[#This Row],[Coluna72]]</f>
        <v>#REF!</v>
      </c>
      <c r="U842" s="10">
        <f>SUM(Tabela2[[#This Row],[Coluna9]],Tabela2[[#This Row],[Coluna10]])</f>
        <v>500</v>
      </c>
      <c r="V842" s="2" t="str">
        <f>Tabela2[[#This Row],[Coluna4]]</f>
        <v>03/12/2025</v>
      </c>
      <c r="W842" s="2" t="str">
        <f>Tabela2[[#This Row],[Coluna6]]</f>
        <v>01/12/2025</v>
      </c>
    </row>
    <row r="843" spans="2:23" x14ac:dyDescent="0.2">
      <c r="B843" t="s">
        <v>18</v>
      </c>
      <c r="C843" t="s">
        <v>125</v>
      </c>
      <c r="D843" t="s">
        <v>19</v>
      </c>
      <c r="E843" s="8" t="s">
        <v>65</v>
      </c>
      <c r="F843" t="s">
        <v>64</v>
      </c>
      <c r="G843" s="8" t="s">
        <v>63</v>
      </c>
      <c r="H843" t="s">
        <v>98</v>
      </c>
      <c r="I843" t="e">
        <f>VLOOKUP(Tabela2[[#This Row],[Coluna7]],[1]!Tabela1[#All],2,0)</f>
        <v>#REF!</v>
      </c>
      <c r="J843" t="s">
        <v>288</v>
      </c>
      <c r="K843">
        <v>490</v>
      </c>
      <c r="N843" t="s">
        <v>103</v>
      </c>
      <c r="Q843" s="10" t="str">
        <f>Tabela2[[#This Row],[Coluna5]]</f>
        <v>12/2025</v>
      </c>
      <c r="R843" s="10" t="str">
        <f>IF(Tabela2[[#This Row],[Coluna9]]&gt;0,"Entrada","Saída")</f>
        <v>Entrada</v>
      </c>
      <c r="S843" s="10" t="str">
        <f>Tabela2[[#This Row],[Coluna8]]</f>
        <v>PARC 4</v>
      </c>
      <c r="T843" s="10" t="e">
        <f>Tabela2[[#This Row],[Coluna72]]</f>
        <v>#REF!</v>
      </c>
      <c r="U843" s="10">
        <f>SUM(Tabela2[[#This Row],[Coluna9]],Tabela2[[#This Row],[Coluna10]])</f>
        <v>490</v>
      </c>
      <c r="V843" s="2" t="str">
        <f>Tabela2[[#This Row],[Coluna4]]</f>
        <v>03/12/2025</v>
      </c>
      <c r="W843" s="2" t="str">
        <f>Tabela2[[#This Row],[Coluna6]]</f>
        <v>01/12/2025</v>
      </c>
    </row>
    <row r="844" spans="2:23" x14ac:dyDescent="0.2">
      <c r="B844" t="s">
        <v>27</v>
      </c>
      <c r="C844" t="s">
        <v>95</v>
      </c>
      <c r="D844" t="s">
        <v>19</v>
      </c>
      <c r="E844" s="8" t="s">
        <v>65</v>
      </c>
      <c r="F844" t="s">
        <v>64</v>
      </c>
      <c r="G844" s="8" t="s">
        <v>65</v>
      </c>
      <c r="H844" t="s">
        <v>162</v>
      </c>
      <c r="I844" t="e">
        <f>VLOOKUP(Tabela2[[#This Row],[Coluna7]],[1]!Tabela1[#All],2,0)</f>
        <v>#REF!</v>
      </c>
      <c r="K844">
        <v>0.28000000000000003</v>
      </c>
      <c r="Q844" s="10" t="str">
        <f>Tabela2[[#This Row],[Coluna5]]</f>
        <v>12/2025</v>
      </c>
      <c r="R844" s="10" t="str">
        <f>IF(Tabela2[[#This Row],[Coluna9]]&gt;0,"Entrada","Saída")</f>
        <v>Entrada</v>
      </c>
      <c r="S844" s="10">
        <f>Tabela2[[#This Row],[Coluna8]]</f>
        <v>0</v>
      </c>
      <c r="T844" s="10" t="e">
        <f>Tabela2[[#This Row],[Coluna72]]</f>
        <v>#REF!</v>
      </c>
      <c r="U844" s="10">
        <f>SUM(Tabela2[[#This Row],[Coluna9]],Tabela2[[#This Row],[Coluna10]])</f>
        <v>0.28000000000000003</v>
      </c>
      <c r="V844" s="2" t="str">
        <f>Tabela2[[#This Row],[Coluna4]]</f>
        <v>03/12/2025</v>
      </c>
      <c r="W844" s="2" t="str">
        <f>Tabela2[[#This Row],[Coluna6]]</f>
        <v>03/12/2025</v>
      </c>
    </row>
    <row r="845" spans="2:23" x14ac:dyDescent="0.2">
      <c r="B845" t="s">
        <v>18</v>
      </c>
      <c r="C845" t="s">
        <v>95</v>
      </c>
      <c r="D845" t="s">
        <v>19</v>
      </c>
      <c r="E845" s="8" t="s">
        <v>66</v>
      </c>
      <c r="F845" t="s">
        <v>42</v>
      </c>
      <c r="G845" s="8" t="s">
        <v>63</v>
      </c>
      <c r="H845" t="s">
        <v>98</v>
      </c>
      <c r="I845" t="e">
        <f>VLOOKUP(Tabela2[[#This Row],[Coluna7]],[1]!Tabela1[#All],2,0)</f>
        <v>#REF!</v>
      </c>
      <c r="J845" t="s">
        <v>238</v>
      </c>
      <c r="K845">
        <v>420</v>
      </c>
      <c r="N845" t="s">
        <v>131</v>
      </c>
      <c r="Q845" s="10" t="str">
        <f>Tabela2[[#This Row],[Coluna5]]</f>
        <v>11/2025</v>
      </c>
      <c r="R845" s="10" t="str">
        <f>IF(Tabela2[[#This Row],[Coluna9]]&gt;0,"Entrada","Saída")</f>
        <v>Entrada</v>
      </c>
      <c r="S845" s="10" t="str">
        <f>Tabela2[[#This Row],[Coluna8]]</f>
        <v>2/3</v>
      </c>
      <c r="T845" s="10" t="e">
        <f>Tabela2[[#This Row],[Coluna72]]</f>
        <v>#REF!</v>
      </c>
      <c r="U845" s="10">
        <f>SUM(Tabela2[[#This Row],[Coluna9]],Tabela2[[#This Row],[Coluna10]])</f>
        <v>420</v>
      </c>
      <c r="V845" s="2" t="str">
        <f>Tabela2[[#This Row],[Coluna4]]</f>
        <v>04/12/2025</v>
      </c>
      <c r="W845" s="2" t="str">
        <f>Tabela2[[#This Row],[Coluna6]]</f>
        <v>01/12/2025</v>
      </c>
    </row>
    <row r="846" spans="2:23" x14ac:dyDescent="0.2">
      <c r="B846" t="s">
        <v>27</v>
      </c>
      <c r="C846" t="s">
        <v>95</v>
      </c>
      <c r="D846" t="s">
        <v>19</v>
      </c>
      <c r="E846" s="8" t="s">
        <v>66</v>
      </c>
      <c r="F846" t="s">
        <v>64</v>
      </c>
      <c r="G846" s="8" t="s">
        <v>66</v>
      </c>
      <c r="H846" t="s">
        <v>162</v>
      </c>
      <c r="I846" t="e">
        <f>VLOOKUP(Tabela2[[#This Row],[Coluna7]],[1]!Tabela1[#All],2,0)</f>
        <v>#REF!</v>
      </c>
      <c r="K846">
        <v>0.03</v>
      </c>
      <c r="Q846" s="10" t="str">
        <f>Tabela2[[#This Row],[Coluna5]]</f>
        <v>12/2025</v>
      </c>
      <c r="R846" s="10" t="str">
        <f>IF(Tabela2[[#This Row],[Coluna9]]&gt;0,"Entrada","Saída")</f>
        <v>Entrada</v>
      </c>
      <c r="S846" s="10">
        <f>Tabela2[[#This Row],[Coluna8]]</f>
        <v>0</v>
      </c>
      <c r="T846" s="10" t="e">
        <f>Tabela2[[#This Row],[Coluna72]]</f>
        <v>#REF!</v>
      </c>
      <c r="U846" s="10">
        <f>SUM(Tabela2[[#This Row],[Coluna9]],Tabela2[[#This Row],[Coluna10]])</f>
        <v>0.03</v>
      </c>
      <c r="V846" s="2" t="str">
        <f>Tabela2[[#This Row],[Coluna4]]</f>
        <v>04/12/2025</v>
      </c>
      <c r="W846" s="2" t="str">
        <f>Tabela2[[#This Row],[Coluna6]]</f>
        <v>04/12/2025</v>
      </c>
    </row>
    <row r="847" spans="2:23" x14ac:dyDescent="0.2">
      <c r="B847" t="s">
        <v>27</v>
      </c>
      <c r="C847" t="s">
        <v>95</v>
      </c>
      <c r="D847" t="s">
        <v>19</v>
      </c>
      <c r="E847" s="8" t="s">
        <v>289</v>
      </c>
      <c r="F847" t="s">
        <v>42</v>
      </c>
      <c r="G847" s="8" t="s">
        <v>289</v>
      </c>
      <c r="H847" t="s">
        <v>98</v>
      </c>
      <c r="I847" t="e">
        <f>VLOOKUP(Tabela2[[#This Row],[Coluna7]],[1]!Tabela1[#All],2,0)</f>
        <v>#REF!</v>
      </c>
      <c r="J847" t="s">
        <v>238</v>
      </c>
      <c r="K847">
        <v>270</v>
      </c>
      <c r="M847" t="s">
        <v>118</v>
      </c>
      <c r="N847" t="s">
        <v>119</v>
      </c>
      <c r="Q847" s="10" t="str">
        <f>Tabela2[[#This Row],[Coluna5]]</f>
        <v>11/2025</v>
      </c>
      <c r="R847" s="10" t="str">
        <f>IF(Tabela2[[#This Row],[Coluna9]]&gt;0,"Entrada","Saída")</f>
        <v>Entrada</v>
      </c>
      <c r="S847" s="10" t="str">
        <f>Tabela2[[#This Row],[Coluna8]]</f>
        <v>2/3</v>
      </c>
      <c r="T847" s="10" t="e">
        <f>Tabela2[[#This Row],[Coluna72]]</f>
        <v>#REF!</v>
      </c>
      <c r="U847" s="10">
        <f>SUM(Tabela2[[#This Row],[Coluna9]],Tabela2[[#This Row],[Coluna10]])</f>
        <v>270</v>
      </c>
      <c r="V847" s="2" t="str">
        <f>Tabela2[[#This Row],[Coluna4]]</f>
        <v>05/12/2025</v>
      </c>
      <c r="W847" s="2" t="str">
        <f>Tabela2[[#This Row],[Coluna6]]</f>
        <v>05/12/2025</v>
      </c>
    </row>
    <row r="848" spans="2:23" x14ac:dyDescent="0.2">
      <c r="B848" t="s">
        <v>215</v>
      </c>
      <c r="C848" t="s">
        <v>222</v>
      </c>
      <c r="D848" t="s">
        <v>19</v>
      </c>
      <c r="E848" s="8" t="s">
        <v>289</v>
      </c>
      <c r="F848" t="s">
        <v>42</v>
      </c>
      <c r="G848" s="8" t="s">
        <v>289</v>
      </c>
      <c r="H848" t="s">
        <v>98</v>
      </c>
      <c r="I848" t="e">
        <f>VLOOKUP(Tabela2[[#This Row],[Coluna7]],[1]!Tabela1[#All],2,0)</f>
        <v>#REF!</v>
      </c>
      <c r="J848" t="s">
        <v>290</v>
      </c>
      <c r="K848">
        <v>200</v>
      </c>
      <c r="M848" t="s">
        <v>224</v>
      </c>
      <c r="N848" t="s">
        <v>225</v>
      </c>
      <c r="Q848" s="10" t="str">
        <f>Tabela2[[#This Row],[Coluna5]]</f>
        <v>11/2025</v>
      </c>
      <c r="R848" s="10" t="str">
        <f>IF(Tabela2[[#This Row],[Coluna9]]&gt;0,"Entrada","Saída")</f>
        <v>Entrada</v>
      </c>
      <c r="S848" s="10" t="str">
        <f>Tabela2[[#This Row],[Coluna8]]</f>
        <v>2/15 HONORARIOS INICIAIS</v>
      </c>
      <c r="T848" s="10" t="e">
        <f>Tabela2[[#This Row],[Coluna72]]</f>
        <v>#REF!</v>
      </c>
      <c r="U848" s="10">
        <f>SUM(Tabela2[[#This Row],[Coluna9]],Tabela2[[#This Row],[Coluna10]])</f>
        <v>200</v>
      </c>
      <c r="V848" s="2" t="str">
        <f>Tabela2[[#This Row],[Coluna4]]</f>
        <v>05/12/2025</v>
      </c>
      <c r="W848" s="2" t="str">
        <f>Tabela2[[#This Row],[Coluna6]]</f>
        <v>05/12/2025</v>
      </c>
    </row>
    <row r="849" spans="2:23" x14ac:dyDescent="0.2">
      <c r="B849" t="s">
        <v>27</v>
      </c>
      <c r="C849" t="s">
        <v>125</v>
      </c>
      <c r="D849" t="s">
        <v>19</v>
      </c>
      <c r="E849" s="8" t="s">
        <v>289</v>
      </c>
      <c r="F849" t="s">
        <v>64</v>
      </c>
      <c r="G849" s="8" t="s">
        <v>289</v>
      </c>
      <c r="H849" t="s">
        <v>104</v>
      </c>
      <c r="I849" t="e">
        <f>VLOOKUP(Tabela2[[#This Row],[Coluna7]],[1]!Tabela1[#All],2,0)</f>
        <v>#REF!</v>
      </c>
      <c r="J849" t="s">
        <v>291</v>
      </c>
      <c r="K849">
        <v>2428</v>
      </c>
      <c r="M849" t="s">
        <v>267</v>
      </c>
      <c r="N849" t="s">
        <v>268</v>
      </c>
      <c r="Q849" s="10" t="str">
        <f>Tabela2[[#This Row],[Coluna5]]</f>
        <v>12/2025</v>
      </c>
      <c r="R849" s="10" t="str">
        <f>IF(Tabela2[[#This Row],[Coluna9]]&gt;0,"Entrada","Saída")</f>
        <v>Entrada</v>
      </c>
      <c r="S849" s="10" t="str">
        <f>Tabela2[[#This Row],[Coluna8]]</f>
        <v>COMPLEMENTO DA IMPLANTAÇÃO</v>
      </c>
      <c r="T849" s="10" t="e">
        <f>Tabela2[[#This Row],[Coluna72]]</f>
        <v>#REF!</v>
      </c>
      <c r="U849" s="10">
        <f>SUM(Tabela2[[#This Row],[Coluna9]],Tabela2[[#This Row],[Coluna10]])</f>
        <v>2428</v>
      </c>
      <c r="V849" s="2" t="str">
        <f>Tabela2[[#This Row],[Coluna4]]</f>
        <v>05/12/2025</v>
      </c>
      <c r="W849" s="2" t="str">
        <f>Tabela2[[#This Row],[Coluna6]]</f>
        <v>05/12/2025</v>
      </c>
    </row>
    <row r="850" spans="2:23" x14ac:dyDescent="0.2">
      <c r="B850" t="s">
        <v>18</v>
      </c>
      <c r="C850" t="s">
        <v>95</v>
      </c>
      <c r="D850" t="s">
        <v>19</v>
      </c>
      <c r="E850" s="8" t="s">
        <v>67</v>
      </c>
      <c r="F850" t="s">
        <v>15</v>
      </c>
      <c r="G850" s="8" t="s">
        <v>292</v>
      </c>
      <c r="H850" t="s">
        <v>98</v>
      </c>
      <c r="I850" t="e">
        <f>VLOOKUP(Tabela2[[#This Row],[Coluna7]],[1]!Tabela1[#All],2,0)</f>
        <v>#REF!</v>
      </c>
      <c r="J850" t="s">
        <v>293</v>
      </c>
      <c r="K850">
        <v>300</v>
      </c>
      <c r="N850" t="s">
        <v>134</v>
      </c>
      <c r="Q850" s="10" t="str">
        <f>Tabela2[[#This Row],[Coluna5]]</f>
        <v>10/2025</v>
      </c>
      <c r="R850" s="10" t="str">
        <f>IF(Tabela2[[#This Row],[Coluna9]]&gt;0,"Entrada","Saída")</f>
        <v>Entrada</v>
      </c>
      <c r="S850" s="10" t="str">
        <f>Tabela2[[#This Row],[Coluna8]]</f>
        <v>3/17</v>
      </c>
      <c r="T850" s="10" t="e">
        <f>Tabela2[[#This Row],[Coluna72]]</f>
        <v>#REF!</v>
      </c>
      <c r="U850" s="10">
        <f>SUM(Tabela2[[#This Row],[Coluna9]],Tabela2[[#This Row],[Coluna10]])</f>
        <v>300</v>
      </c>
      <c r="V850" s="2" t="str">
        <f>Tabela2[[#This Row],[Coluna4]]</f>
        <v>06/12/2025</v>
      </c>
      <c r="W850" s="2" t="str">
        <f>Tabela2[[#This Row],[Coluna6]]</f>
        <v>09/12/2025</v>
      </c>
    </row>
    <row r="851" spans="2:23" x14ac:dyDescent="0.2">
      <c r="B851" t="s">
        <v>71</v>
      </c>
      <c r="C851" t="s">
        <v>95</v>
      </c>
      <c r="D851" t="s">
        <v>19</v>
      </c>
      <c r="E851" s="8" t="s">
        <v>67</v>
      </c>
      <c r="F851" t="s">
        <v>15</v>
      </c>
      <c r="G851" s="8" t="s">
        <v>62</v>
      </c>
      <c r="H851" t="s">
        <v>98</v>
      </c>
      <c r="I851" t="e">
        <f>VLOOKUP(Tabela2[[#This Row],[Coluna7]],[1]!Tabela1[#All],2,0)</f>
        <v>#REF!</v>
      </c>
      <c r="J851" t="s">
        <v>294</v>
      </c>
      <c r="K851">
        <v>600</v>
      </c>
      <c r="N851" t="s">
        <v>136</v>
      </c>
      <c r="Q851" s="10" t="str">
        <f>Tabela2[[#This Row],[Coluna5]]</f>
        <v>10/2025</v>
      </c>
      <c r="R851" s="10" t="str">
        <f>IF(Tabela2[[#This Row],[Coluna9]]&gt;0,"Entrada","Saída")</f>
        <v>Entrada</v>
      </c>
      <c r="S851" s="10" t="str">
        <f>Tabela2[[#This Row],[Coluna8]]</f>
        <v>3/13</v>
      </c>
      <c r="T851" s="10" t="e">
        <f>Tabela2[[#This Row],[Coluna72]]</f>
        <v>#REF!</v>
      </c>
      <c r="U851" s="10">
        <f>SUM(Tabela2[[#This Row],[Coluna9]],Tabela2[[#This Row],[Coluna10]])</f>
        <v>600</v>
      </c>
      <c r="V851" s="2" t="str">
        <f>Tabela2[[#This Row],[Coluna4]]</f>
        <v>06/12/2025</v>
      </c>
      <c r="W851" s="2" t="str">
        <f>Tabela2[[#This Row],[Coluna6]]</f>
        <v>24/11/2025</v>
      </c>
    </row>
    <row r="852" spans="2:23" x14ac:dyDescent="0.2">
      <c r="B852" t="s">
        <v>18</v>
      </c>
      <c r="C852" t="s">
        <v>95</v>
      </c>
      <c r="D852" t="s">
        <v>19</v>
      </c>
      <c r="E852" s="8" t="s">
        <v>67</v>
      </c>
      <c r="F852" t="s">
        <v>15</v>
      </c>
      <c r="G852" s="8" t="s">
        <v>289</v>
      </c>
      <c r="H852" t="s">
        <v>98</v>
      </c>
      <c r="I852" t="e">
        <f>VLOOKUP(Tabela2[[#This Row],[Coluna7]],[1]!Tabela1[#All],2,0)</f>
        <v>#REF!</v>
      </c>
      <c r="J852" t="s">
        <v>295</v>
      </c>
      <c r="K852">
        <v>420</v>
      </c>
      <c r="M852" t="s">
        <v>138</v>
      </c>
      <c r="N852" t="s">
        <v>139</v>
      </c>
      <c r="Q852" s="10" t="str">
        <f>Tabela2[[#This Row],[Coluna5]]</f>
        <v>10/2025</v>
      </c>
      <c r="R852" s="10" t="str">
        <f>IF(Tabela2[[#This Row],[Coluna9]]&gt;0,"Entrada","Saída")</f>
        <v>Entrada</v>
      </c>
      <c r="S852" s="10" t="str">
        <f>Tabela2[[#This Row],[Coluna8]]</f>
        <v>3/7</v>
      </c>
      <c r="T852" s="10" t="e">
        <f>Tabela2[[#This Row],[Coluna72]]</f>
        <v>#REF!</v>
      </c>
      <c r="U852" s="10">
        <f>SUM(Tabela2[[#This Row],[Coluna9]],Tabela2[[#This Row],[Coluna10]])</f>
        <v>420</v>
      </c>
      <c r="V852" s="2" t="str">
        <f>Tabela2[[#This Row],[Coluna4]]</f>
        <v>06/12/2025</v>
      </c>
      <c r="W852" s="2" t="str">
        <f>Tabela2[[#This Row],[Coluna6]]</f>
        <v>05/12/2025</v>
      </c>
    </row>
    <row r="853" spans="2:23" x14ac:dyDescent="0.2">
      <c r="B853" t="s">
        <v>18</v>
      </c>
      <c r="C853" t="s">
        <v>125</v>
      </c>
      <c r="D853" t="s">
        <v>19</v>
      </c>
      <c r="E853" s="8" t="s">
        <v>67</v>
      </c>
      <c r="F853" t="s">
        <v>42</v>
      </c>
      <c r="G853" s="8" t="s">
        <v>289</v>
      </c>
      <c r="H853" t="s">
        <v>98</v>
      </c>
      <c r="I853" t="e">
        <f>VLOOKUP(Tabela2[[#This Row],[Coluna7]],[1]!Tabela1[#All],2,0)</f>
        <v>#REF!</v>
      </c>
      <c r="J853" t="s">
        <v>238</v>
      </c>
      <c r="K853">
        <v>400</v>
      </c>
      <c r="M853" t="s">
        <v>123</v>
      </c>
      <c r="N853" t="s">
        <v>124</v>
      </c>
      <c r="Q853" s="10" t="str">
        <f>Tabela2[[#This Row],[Coluna5]]</f>
        <v>11/2025</v>
      </c>
      <c r="R853" s="10" t="str">
        <f>IF(Tabela2[[#This Row],[Coluna9]]&gt;0,"Entrada","Saída")</f>
        <v>Entrada</v>
      </c>
      <c r="S853" s="10" t="str">
        <f>Tabela2[[#This Row],[Coluna8]]</f>
        <v>2/3</v>
      </c>
      <c r="T853" s="10" t="e">
        <f>Tabela2[[#This Row],[Coluna72]]</f>
        <v>#REF!</v>
      </c>
      <c r="U853" s="10">
        <f>SUM(Tabela2[[#This Row],[Coluna9]],Tabela2[[#This Row],[Coluna10]])</f>
        <v>400</v>
      </c>
      <c r="V853" s="2" t="str">
        <f>Tabela2[[#This Row],[Coluna4]]</f>
        <v>06/12/2025</v>
      </c>
      <c r="W853" s="2" t="str">
        <f>Tabela2[[#This Row],[Coluna6]]</f>
        <v>05/12/2025</v>
      </c>
    </row>
    <row r="854" spans="2:23" x14ac:dyDescent="0.2">
      <c r="B854" t="s">
        <v>18</v>
      </c>
      <c r="C854" t="s">
        <v>95</v>
      </c>
      <c r="D854" t="s">
        <v>19</v>
      </c>
      <c r="E854" s="8" t="s">
        <v>296</v>
      </c>
      <c r="F854" t="s">
        <v>15</v>
      </c>
      <c r="G854" s="8" t="s">
        <v>68</v>
      </c>
      <c r="H854" t="s">
        <v>98</v>
      </c>
      <c r="I854" t="e">
        <f>VLOOKUP(Tabela2[[#This Row],[Coluna7]],[1]!Tabela1[#All],2,0)</f>
        <v>#REF!</v>
      </c>
      <c r="J854" t="s">
        <v>297</v>
      </c>
      <c r="K854">
        <v>1000</v>
      </c>
      <c r="M854" t="s">
        <v>152</v>
      </c>
      <c r="N854" t="s">
        <v>153</v>
      </c>
      <c r="Q854" s="10" t="str">
        <f>Tabela2[[#This Row],[Coluna5]]</f>
        <v>10/2025</v>
      </c>
      <c r="R854" s="10" t="str">
        <f>IF(Tabela2[[#This Row],[Coluna9]]&gt;0,"Entrada","Saída")</f>
        <v>Entrada</v>
      </c>
      <c r="S854" s="10" t="str">
        <f>Tabela2[[#This Row],[Coluna8]]</f>
        <v>3/5</v>
      </c>
      <c r="T854" s="10" t="e">
        <f>Tabela2[[#This Row],[Coluna72]]</f>
        <v>#REF!</v>
      </c>
      <c r="U854" s="10">
        <f>SUM(Tabela2[[#This Row],[Coluna9]],Tabela2[[#This Row],[Coluna10]])</f>
        <v>1000</v>
      </c>
      <c r="V854" s="2" t="str">
        <f>Tabela2[[#This Row],[Coluna4]]</f>
        <v>07/12/2025</v>
      </c>
      <c r="W854" s="2" t="str">
        <f>Tabela2[[#This Row],[Coluna6]]</f>
        <v>08/12/2025</v>
      </c>
    </row>
    <row r="855" spans="2:23" x14ac:dyDescent="0.2">
      <c r="B855" t="s">
        <v>18</v>
      </c>
      <c r="C855" t="s">
        <v>95</v>
      </c>
      <c r="D855" t="s">
        <v>19</v>
      </c>
      <c r="E855" s="8" t="s">
        <v>296</v>
      </c>
      <c r="F855" t="s">
        <v>15</v>
      </c>
      <c r="G855" s="8" t="s">
        <v>68</v>
      </c>
      <c r="H855" t="s">
        <v>98</v>
      </c>
      <c r="I855" t="e">
        <f>VLOOKUP(Tabela2[[#This Row],[Coluna7]],[1]!Tabela1[#All],2,0)</f>
        <v>#REF!</v>
      </c>
      <c r="J855" t="s">
        <v>281</v>
      </c>
      <c r="K855">
        <v>634</v>
      </c>
      <c r="N855" t="s">
        <v>154</v>
      </c>
      <c r="Q855" s="10" t="str">
        <f>Tabela2[[#This Row],[Coluna5]]</f>
        <v>10/2025</v>
      </c>
      <c r="R855" s="10" t="str">
        <f>IF(Tabela2[[#This Row],[Coluna9]]&gt;0,"Entrada","Saída")</f>
        <v>Entrada</v>
      </c>
      <c r="S855" s="10" t="str">
        <f>Tabela2[[#This Row],[Coluna8]]</f>
        <v>3/9</v>
      </c>
      <c r="T855" s="10" t="e">
        <f>Tabela2[[#This Row],[Coluna72]]</f>
        <v>#REF!</v>
      </c>
      <c r="U855" s="10">
        <f>SUM(Tabela2[[#This Row],[Coluna9]],Tabela2[[#This Row],[Coluna10]])</f>
        <v>634</v>
      </c>
      <c r="V855" s="2" t="str">
        <f>Tabela2[[#This Row],[Coluna4]]</f>
        <v>07/12/2025</v>
      </c>
      <c r="W855" s="2" t="str">
        <f>Tabela2[[#This Row],[Coluna6]]</f>
        <v>08/12/2025</v>
      </c>
    </row>
    <row r="856" spans="2:23" x14ac:dyDescent="0.2">
      <c r="B856" t="s">
        <v>71</v>
      </c>
      <c r="C856" t="s">
        <v>200</v>
      </c>
      <c r="D856" t="s">
        <v>19</v>
      </c>
      <c r="E856" s="8" t="s">
        <v>296</v>
      </c>
      <c r="F856" t="s">
        <v>42</v>
      </c>
      <c r="G856" s="8" t="s">
        <v>66</v>
      </c>
      <c r="H856" t="s">
        <v>98</v>
      </c>
      <c r="I856" t="e">
        <f>VLOOKUP(Tabela2[[#This Row],[Coluna7]],[1]!Tabela1[#All],2,0)</f>
        <v>#REF!</v>
      </c>
      <c r="J856" t="s">
        <v>276</v>
      </c>
      <c r="K856">
        <v>500</v>
      </c>
      <c r="N856" t="s">
        <v>202</v>
      </c>
      <c r="Q856" s="10" t="str">
        <f>Tabela2[[#This Row],[Coluna5]]</f>
        <v>11/2025</v>
      </c>
      <c r="R856" s="10" t="str">
        <f>IF(Tabela2[[#This Row],[Coluna9]]&gt;0,"Entrada","Saída")</f>
        <v>Entrada</v>
      </c>
      <c r="S856" s="10" t="str">
        <f>Tabela2[[#This Row],[Coluna8]]</f>
        <v>2/12</v>
      </c>
      <c r="T856" s="10" t="e">
        <f>Tabela2[[#This Row],[Coluna72]]</f>
        <v>#REF!</v>
      </c>
      <c r="U856" s="10">
        <f>SUM(Tabela2[[#This Row],[Coluna9]],Tabela2[[#This Row],[Coluna10]])</f>
        <v>500</v>
      </c>
      <c r="V856" s="2" t="str">
        <f>Tabela2[[#This Row],[Coluna4]]</f>
        <v>07/12/2025</v>
      </c>
      <c r="W856" s="2" t="str">
        <f>Tabela2[[#This Row],[Coluna6]]</f>
        <v>04/12/2025</v>
      </c>
    </row>
    <row r="857" spans="2:23" x14ac:dyDescent="0.2">
      <c r="B857" t="s">
        <v>27</v>
      </c>
      <c r="C857" t="s">
        <v>125</v>
      </c>
      <c r="D857" t="s">
        <v>19</v>
      </c>
      <c r="E857" s="8" t="s">
        <v>68</v>
      </c>
      <c r="F857" t="s">
        <v>64</v>
      </c>
      <c r="G857" s="8" t="s">
        <v>292</v>
      </c>
      <c r="H857" t="s">
        <v>98</v>
      </c>
      <c r="I857" t="e">
        <f>VLOOKUP(Tabela2[[#This Row],[Coluna7]],[1]!Tabela1[#All],2,0)</f>
        <v>#REF!</v>
      </c>
      <c r="K857">
        <v>1000</v>
      </c>
      <c r="M857" t="s">
        <v>140</v>
      </c>
      <c r="N857" t="s">
        <v>141</v>
      </c>
      <c r="Q857" s="10" t="str">
        <f>Tabela2[[#This Row],[Coluna5]]</f>
        <v>12/2025</v>
      </c>
      <c r="R857" s="10" t="str">
        <f>IF(Tabela2[[#This Row],[Coluna9]]&gt;0,"Entrada","Saída")</f>
        <v>Entrada</v>
      </c>
      <c r="S857" s="10">
        <f>Tabela2[[#This Row],[Coluna8]]</f>
        <v>0</v>
      </c>
      <c r="T857" s="10" t="e">
        <f>Tabela2[[#This Row],[Coluna72]]</f>
        <v>#REF!</v>
      </c>
      <c r="U857" s="10">
        <f>SUM(Tabela2[[#This Row],[Coluna9]],Tabela2[[#This Row],[Coluna10]])</f>
        <v>1000</v>
      </c>
      <c r="V857" s="2" t="str">
        <f>Tabela2[[#This Row],[Coluna4]]</f>
        <v>08/12/2025</v>
      </c>
      <c r="W857" s="2" t="str">
        <f>Tabela2[[#This Row],[Coluna6]]</f>
        <v>09/12/2025</v>
      </c>
    </row>
    <row r="858" spans="2:23" x14ac:dyDescent="0.2">
      <c r="B858" t="s">
        <v>27</v>
      </c>
      <c r="C858" t="s">
        <v>125</v>
      </c>
      <c r="D858" t="s">
        <v>19</v>
      </c>
      <c r="E858" s="8" t="s">
        <v>292</v>
      </c>
      <c r="F858" t="s">
        <v>64</v>
      </c>
      <c r="G858" s="8" t="s">
        <v>292</v>
      </c>
      <c r="H858" t="s">
        <v>104</v>
      </c>
      <c r="I858" t="e">
        <f>VLOOKUP(Tabela2[[#This Row],[Coluna7]],[1]!Tabela1[#All],2,0)</f>
        <v>#REF!</v>
      </c>
      <c r="J858" t="s">
        <v>298</v>
      </c>
      <c r="K858">
        <v>4000</v>
      </c>
      <c r="M858" t="s">
        <v>299</v>
      </c>
      <c r="N858" t="s">
        <v>300</v>
      </c>
      <c r="Q858" s="10" t="str">
        <f>Tabela2[[#This Row],[Coluna5]]</f>
        <v>12/2025</v>
      </c>
      <c r="R858" s="10" t="str">
        <f>IF(Tabela2[[#This Row],[Coluna9]]&gt;0,"Entrada","Saída")</f>
        <v>Entrada</v>
      </c>
      <c r="S858" s="10" t="str">
        <f>Tabela2[[#This Row],[Coluna8]]</f>
        <v>(R$ 1900; R$ 1900; R$ 100; R$ 100)</v>
      </c>
      <c r="T858" s="10" t="e">
        <f>Tabela2[[#This Row],[Coluna72]]</f>
        <v>#REF!</v>
      </c>
      <c r="U858" s="10">
        <f>SUM(Tabela2[[#This Row],[Coluna9]],Tabela2[[#This Row],[Coluna10]])</f>
        <v>4000</v>
      </c>
      <c r="V858" s="2" t="str">
        <f>Tabela2[[#This Row],[Coluna4]]</f>
        <v>09/12/2025</v>
      </c>
      <c r="W858" s="2" t="str">
        <f>Tabela2[[#This Row],[Coluna6]]</f>
        <v>09/12/2025</v>
      </c>
    </row>
    <row r="859" spans="2:23" x14ac:dyDescent="0.2">
      <c r="B859" t="s">
        <v>27</v>
      </c>
      <c r="C859" t="s">
        <v>95</v>
      </c>
      <c r="D859" t="s">
        <v>19</v>
      </c>
      <c r="E859" s="8" t="s">
        <v>69</v>
      </c>
      <c r="F859" t="s">
        <v>15</v>
      </c>
      <c r="G859" s="8" t="s">
        <v>292</v>
      </c>
      <c r="H859" t="s">
        <v>98</v>
      </c>
      <c r="I859" t="e">
        <f>VLOOKUP(Tabela2[[#This Row],[Coluna7]],[1]!Tabela1[#All],2,0)</f>
        <v>#REF!</v>
      </c>
      <c r="J859" t="s">
        <v>281</v>
      </c>
      <c r="K859">
        <v>500</v>
      </c>
      <c r="N859" t="s">
        <v>164</v>
      </c>
      <c r="Q859" s="10" t="str">
        <f>Tabela2[[#This Row],[Coluna5]]</f>
        <v>10/2025</v>
      </c>
      <c r="R859" s="10" t="str">
        <f>IF(Tabela2[[#This Row],[Coluna9]]&gt;0,"Entrada","Saída")</f>
        <v>Entrada</v>
      </c>
      <c r="S859" s="10" t="str">
        <f>Tabela2[[#This Row],[Coluna8]]</f>
        <v>3/9</v>
      </c>
      <c r="T859" s="10" t="e">
        <f>Tabela2[[#This Row],[Coluna72]]</f>
        <v>#REF!</v>
      </c>
      <c r="U859" s="10">
        <f>SUM(Tabela2[[#This Row],[Coluna9]],Tabela2[[#This Row],[Coluna10]])</f>
        <v>500</v>
      </c>
      <c r="V859" s="2" t="str">
        <f>Tabela2[[#This Row],[Coluna4]]</f>
        <v>10/12/2025</v>
      </c>
      <c r="W859" s="2" t="str">
        <f>Tabela2[[#This Row],[Coluna6]]</f>
        <v>09/12/2025</v>
      </c>
    </row>
    <row r="860" spans="2:23" x14ac:dyDescent="0.2">
      <c r="B860" t="s">
        <v>27</v>
      </c>
      <c r="C860" t="s">
        <v>125</v>
      </c>
      <c r="D860" t="s">
        <v>19</v>
      </c>
      <c r="E860" s="8" t="s">
        <v>69</v>
      </c>
      <c r="F860" t="s">
        <v>15</v>
      </c>
      <c r="G860" s="8" t="s">
        <v>292</v>
      </c>
      <c r="H860" t="s">
        <v>98</v>
      </c>
      <c r="I860" t="e">
        <f>VLOOKUP(Tabela2[[#This Row],[Coluna7]],[1]!Tabela1[#All],2,0)</f>
        <v>#REF!</v>
      </c>
      <c r="J860" t="s">
        <v>302</v>
      </c>
      <c r="K860">
        <v>320</v>
      </c>
      <c r="N860" t="s">
        <v>166</v>
      </c>
      <c r="Q860" s="10" t="str">
        <f>Tabela2[[#This Row],[Coluna5]]</f>
        <v>10/2025</v>
      </c>
      <c r="R860" s="10" t="str">
        <f>IF(Tabela2[[#This Row],[Coluna9]]&gt;0,"Entrada","Saída")</f>
        <v>Entrada</v>
      </c>
      <c r="S860" s="10" t="str">
        <f>Tabela2[[#This Row],[Coluna8]]</f>
        <v>3/3</v>
      </c>
      <c r="T860" s="10" t="e">
        <f>Tabela2[[#This Row],[Coluna72]]</f>
        <v>#REF!</v>
      </c>
      <c r="U860" s="10">
        <f>SUM(Tabela2[[#This Row],[Coluna9]],Tabela2[[#This Row],[Coluna10]])</f>
        <v>320</v>
      </c>
      <c r="V860" s="2" t="str">
        <f>Tabela2[[#This Row],[Coluna4]]</f>
        <v>10/12/2025</v>
      </c>
      <c r="W860" s="2" t="str">
        <f>Tabela2[[#This Row],[Coluna6]]</f>
        <v>09/12/2025</v>
      </c>
    </row>
    <row r="861" spans="2:23" x14ac:dyDescent="0.2">
      <c r="B861" t="s">
        <v>71</v>
      </c>
      <c r="C861" t="s">
        <v>95</v>
      </c>
      <c r="D861" t="s">
        <v>19</v>
      </c>
      <c r="E861" s="8" t="s">
        <v>69</v>
      </c>
      <c r="F861" t="s">
        <v>64</v>
      </c>
      <c r="G861" s="8" t="s">
        <v>69</v>
      </c>
      <c r="H861" t="s">
        <v>156</v>
      </c>
      <c r="I861" t="e">
        <f>VLOOKUP(Tabela2[[#This Row],[Coluna7]],[1]!Tabela1[#All],2,0)</f>
        <v>#REF!</v>
      </c>
      <c r="J861" t="s">
        <v>239</v>
      </c>
      <c r="K861">
        <v>500</v>
      </c>
      <c r="Q861" s="10" t="str">
        <f>Tabela2[[#This Row],[Coluna5]]</f>
        <v>12/2025</v>
      </c>
      <c r="R861" s="10" t="str">
        <f>IF(Tabela2[[#This Row],[Coluna9]]&gt;0,"Entrada","Saída")</f>
        <v>Entrada</v>
      </c>
      <c r="S861" s="10" t="str">
        <f>Tabela2[[#This Row],[Coluna8]]</f>
        <v>FRANCISCO SALES - ALUGUEL</v>
      </c>
      <c r="T861" s="10" t="e">
        <f>Tabela2[[#This Row],[Coluna72]]</f>
        <v>#REF!</v>
      </c>
      <c r="U861" s="10">
        <f>SUM(Tabela2[[#This Row],[Coluna9]],Tabela2[[#This Row],[Coluna10]])</f>
        <v>500</v>
      </c>
      <c r="V861" s="2" t="str">
        <f>Tabela2[[#This Row],[Coluna4]]</f>
        <v>10/12/2025</v>
      </c>
      <c r="W861" s="2" t="str">
        <f>Tabela2[[#This Row],[Coluna6]]</f>
        <v>10/12/2025</v>
      </c>
    </row>
    <row r="862" spans="2:23" x14ac:dyDescent="0.2">
      <c r="B862" t="s">
        <v>12</v>
      </c>
      <c r="C862" t="s">
        <v>125</v>
      </c>
      <c r="D862" t="s">
        <v>19</v>
      </c>
      <c r="E862" s="8" t="s">
        <v>69</v>
      </c>
      <c r="F862" t="s">
        <v>64</v>
      </c>
      <c r="G862" s="8" t="s">
        <v>69</v>
      </c>
      <c r="H862" t="s">
        <v>104</v>
      </c>
      <c r="I862" t="e">
        <f>VLOOKUP(Tabela2[[#This Row],[Coluna7]],[1]!Tabela1[#All],2,0)</f>
        <v>#REF!</v>
      </c>
      <c r="J862" t="s">
        <v>303</v>
      </c>
      <c r="K862">
        <v>3000</v>
      </c>
      <c r="M862" t="s">
        <v>304</v>
      </c>
      <c r="N862" t="s">
        <v>305</v>
      </c>
      <c r="Q862" s="10" t="str">
        <f>Tabela2[[#This Row],[Coluna5]]</f>
        <v>12/2025</v>
      </c>
      <c r="R862" s="10" t="str">
        <f>IF(Tabela2[[#This Row],[Coluna9]]&gt;0,"Entrada","Saída")</f>
        <v>Entrada</v>
      </c>
      <c r="S862" s="10" t="str">
        <f>Tabela2[[#This Row],[Coluna8]]</f>
        <v>IMPLANTAÇÃO (DOIS DEPÓSITOS)</v>
      </c>
      <c r="T862" s="10" t="e">
        <f>Tabela2[[#This Row],[Coluna72]]</f>
        <v>#REF!</v>
      </c>
      <c r="U862" s="10">
        <f>SUM(Tabela2[[#This Row],[Coluna9]],Tabela2[[#This Row],[Coluna10]])</f>
        <v>3000</v>
      </c>
      <c r="V862" s="2" t="str">
        <f>Tabela2[[#This Row],[Coluna4]]</f>
        <v>10/12/2025</v>
      </c>
      <c r="W862" s="2" t="str">
        <f>Tabela2[[#This Row],[Coluna6]]</f>
        <v>10/12/2025</v>
      </c>
    </row>
    <row r="863" spans="2:23" x14ac:dyDescent="0.2">
      <c r="B863" t="s">
        <v>27</v>
      </c>
      <c r="C863" t="s">
        <v>200</v>
      </c>
      <c r="D863" t="s">
        <v>19</v>
      </c>
      <c r="E863" s="8" t="s">
        <v>69</v>
      </c>
      <c r="F863" t="s">
        <v>64</v>
      </c>
      <c r="G863" s="8" t="s">
        <v>69</v>
      </c>
      <c r="H863" t="s">
        <v>104</v>
      </c>
      <c r="I863" t="e">
        <f>VLOOKUP(Tabela2[[#This Row],[Coluna7]],[1]!Tabela1[#All],2,0)</f>
        <v>#REF!</v>
      </c>
      <c r="K863">
        <v>6000</v>
      </c>
      <c r="M863" t="s">
        <v>306</v>
      </c>
      <c r="N863" t="s">
        <v>307</v>
      </c>
      <c r="Q863" s="10" t="str">
        <f>Tabela2[[#This Row],[Coluna5]]</f>
        <v>12/2025</v>
      </c>
      <c r="R863" s="10" t="str">
        <f>IF(Tabela2[[#This Row],[Coluna9]]&gt;0,"Entrada","Saída")</f>
        <v>Entrada</v>
      </c>
      <c r="S863" s="10">
        <f>Tabela2[[#This Row],[Coluna8]]</f>
        <v>0</v>
      </c>
      <c r="T863" s="10" t="e">
        <f>Tabela2[[#This Row],[Coluna72]]</f>
        <v>#REF!</v>
      </c>
      <c r="U863" s="10">
        <f>SUM(Tabela2[[#This Row],[Coluna9]],Tabela2[[#This Row],[Coluna10]])</f>
        <v>6000</v>
      </c>
      <c r="V863" s="2" t="str">
        <f>Tabela2[[#This Row],[Coluna4]]</f>
        <v>10/12/2025</v>
      </c>
      <c r="W863" s="2" t="str">
        <f>Tabela2[[#This Row],[Coluna6]]</f>
        <v>10/12/2025</v>
      </c>
    </row>
    <row r="864" spans="2:23" x14ac:dyDescent="0.2">
      <c r="B864" t="s">
        <v>27</v>
      </c>
      <c r="C864" t="s">
        <v>245</v>
      </c>
      <c r="D864" t="s">
        <v>19</v>
      </c>
      <c r="E864" s="8" t="s">
        <v>69</v>
      </c>
      <c r="F864" t="s">
        <v>64</v>
      </c>
      <c r="G864" s="8" t="s">
        <v>69</v>
      </c>
      <c r="H864" t="s">
        <v>98</v>
      </c>
      <c r="I864" t="e">
        <f>VLOOKUP(Tabela2[[#This Row],[Coluna7]],[1]!Tabela1[#All],2,0)</f>
        <v>#REF!</v>
      </c>
      <c r="K864">
        <v>500</v>
      </c>
      <c r="M864" t="s">
        <v>108</v>
      </c>
      <c r="N864" t="s">
        <v>109</v>
      </c>
      <c r="Q864" s="10" t="str">
        <f>Tabela2[[#This Row],[Coluna5]]</f>
        <v>12/2025</v>
      </c>
      <c r="R864" s="10" t="str">
        <f>IF(Tabela2[[#This Row],[Coluna9]]&gt;0,"Entrada","Saída")</f>
        <v>Entrada</v>
      </c>
      <c r="S864" s="10">
        <f>Tabela2[[#This Row],[Coluna8]]</f>
        <v>0</v>
      </c>
      <c r="T864" s="10" t="e">
        <f>Tabela2[[#This Row],[Coluna72]]</f>
        <v>#REF!</v>
      </c>
      <c r="U864" s="10">
        <f>SUM(Tabela2[[#This Row],[Coluna9]],Tabela2[[#This Row],[Coluna10]])</f>
        <v>500</v>
      </c>
      <c r="V864" s="2" t="str">
        <f>Tabela2[[#This Row],[Coluna4]]</f>
        <v>10/12/2025</v>
      </c>
      <c r="W864" s="2" t="str">
        <f>Tabela2[[#This Row],[Coluna6]]</f>
        <v>10/12/2025</v>
      </c>
    </row>
    <row r="865" spans="2:23" x14ac:dyDescent="0.2">
      <c r="B865" t="s">
        <v>27</v>
      </c>
      <c r="C865" t="s">
        <v>95</v>
      </c>
      <c r="D865" t="s">
        <v>19</v>
      </c>
      <c r="E865" s="8" t="s">
        <v>73</v>
      </c>
      <c r="F865" t="s">
        <v>64</v>
      </c>
      <c r="G865" s="8" t="s">
        <v>73</v>
      </c>
      <c r="H865" t="s">
        <v>162</v>
      </c>
      <c r="I865" t="e">
        <f>VLOOKUP(Tabela2[[#This Row],[Coluna7]],[1]!Tabela1[#All],2,0)</f>
        <v>#REF!</v>
      </c>
      <c r="J865" t="s">
        <v>308</v>
      </c>
      <c r="K865">
        <v>0.1</v>
      </c>
      <c r="Q865" s="10" t="str">
        <f>Tabela2[[#This Row],[Coluna5]]</f>
        <v>12/2025</v>
      </c>
      <c r="R865" s="10" t="str">
        <f>IF(Tabela2[[#This Row],[Coluna9]]&gt;0,"Entrada","Saída")</f>
        <v>Entrada</v>
      </c>
      <c r="S865" s="10" t="str">
        <f>Tabela2[[#This Row],[Coluna8]]</f>
        <v>RENTAB.INVEST FACILCRED</v>
      </c>
      <c r="T865" s="10" t="e">
        <f>Tabela2[[#This Row],[Coluna72]]</f>
        <v>#REF!</v>
      </c>
      <c r="U865" s="10">
        <f>SUM(Tabela2[[#This Row],[Coluna9]],Tabela2[[#This Row],[Coluna10]])</f>
        <v>0.1</v>
      </c>
      <c r="V865" s="2" t="str">
        <f>Tabela2[[#This Row],[Coluna4]]</f>
        <v>11/12/2025</v>
      </c>
      <c r="W865" s="2" t="str">
        <f>Tabela2[[#This Row],[Coluna6]]</f>
        <v>11/12/2025</v>
      </c>
    </row>
    <row r="866" spans="2:23" x14ac:dyDescent="0.2">
      <c r="B866" t="s">
        <v>27</v>
      </c>
      <c r="C866" t="s">
        <v>200</v>
      </c>
      <c r="D866" t="s">
        <v>19</v>
      </c>
      <c r="E866" s="8" t="s">
        <v>74</v>
      </c>
      <c r="F866" t="s">
        <v>64</v>
      </c>
      <c r="G866" s="8" t="s">
        <v>309</v>
      </c>
      <c r="H866" t="s">
        <v>107</v>
      </c>
      <c r="I866" t="e">
        <f>VLOOKUP(Tabela2[[#This Row],[Coluna7]],[1]!Tabela1[#All],2,0)</f>
        <v>#REF!</v>
      </c>
      <c r="J866" t="s">
        <v>310</v>
      </c>
      <c r="K866">
        <v>8044.11</v>
      </c>
      <c r="M866" t="s">
        <v>311</v>
      </c>
      <c r="N866" t="s">
        <v>312</v>
      </c>
      <c r="Q866" s="10" t="str">
        <f>Tabela2[[#This Row],[Coluna5]]</f>
        <v>12/2025</v>
      </c>
      <c r="R866" s="10" t="str">
        <f>IF(Tabela2[[#This Row],[Coluna9]]&gt;0,"Entrada","Saída")</f>
        <v>Entrada</v>
      </c>
      <c r="S866" s="10" t="str">
        <f>Tabela2[[#This Row],[Coluna8]]</f>
        <v>DESTACAMENTO</v>
      </c>
      <c r="T866" s="10" t="e">
        <f>Tabela2[[#This Row],[Coluna72]]</f>
        <v>#REF!</v>
      </c>
      <c r="U866" s="10">
        <f>SUM(Tabela2[[#This Row],[Coluna9]],Tabela2[[#This Row],[Coluna10]])</f>
        <v>8044.11</v>
      </c>
      <c r="V866" s="2" t="str">
        <f>Tabela2[[#This Row],[Coluna4]]</f>
        <v>13/12/2025</v>
      </c>
      <c r="W866" s="2" t="str">
        <f>Tabela2[[#This Row],[Coluna6]]</f>
        <v>12/12/2025</v>
      </c>
    </row>
    <row r="867" spans="2:23" x14ac:dyDescent="0.2">
      <c r="B867" t="s">
        <v>27</v>
      </c>
      <c r="C867" t="s">
        <v>95</v>
      </c>
      <c r="D867" t="s">
        <v>19</v>
      </c>
      <c r="E867" s="8" t="s">
        <v>76</v>
      </c>
      <c r="F867" t="s">
        <v>42</v>
      </c>
      <c r="G867" s="8" t="s">
        <v>309</v>
      </c>
      <c r="H867" t="s">
        <v>98</v>
      </c>
      <c r="I867" t="e">
        <f>VLOOKUP(Tabela2[[#This Row],[Coluna7]],[1]!Tabela1[#All],2,0)</f>
        <v>#REF!</v>
      </c>
      <c r="J867" t="s">
        <v>276</v>
      </c>
      <c r="K867">
        <v>900</v>
      </c>
      <c r="M867" t="s">
        <v>176</v>
      </c>
      <c r="N867" t="s">
        <v>177</v>
      </c>
      <c r="Q867" s="10" t="str">
        <f>Tabela2[[#This Row],[Coluna5]]</f>
        <v>11/2025</v>
      </c>
      <c r="R867" s="10" t="str">
        <f>IF(Tabela2[[#This Row],[Coluna9]]&gt;0,"Entrada","Saída")</f>
        <v>Entrada</v>
      </c>
      <c r="S867" s="10" t="str">
        <f>Tabela2[[#This Row],[Coluna8]]</f>
        <v>2/12</v>
      </c>
      <c r="T867" s="10" t="e">
        <f>Tabela2[[#This Row],[Coluna72]]</f>
        <v>#REF!</v>
      </c>
      <c r="U867" s="10">
        <f>SUM(Tabela2[[#This Row],[Coluna9]],Tabela2[[#This Row],[Coluna10]])</f>
        <v>900</v>
      </c>
      <c r="V867" s="2" t="str">
        <f>Tabela2[[#This Row],[Coluna4]]</f>
        <v>15/12/2025</v>
      </c>
      <c r="W867" s="2" t="str">
        <f>Tabela2[[#This Row],[Coluna6]]</f>
        <v>12/12/2025</v>
      </c>
    </row>
    <row r="868" spans="2:23" x14ac:dyDescent="0.2">
      <c r="B868" t="s">
        <v>215</v>
      </c>
      <c r="C868" t="s">
        <v>222</v>
      </c>
      <c r="D868" t="s">
        <v>19</v>
      </c>
      <c r="E868" s="8" t="s">
        <v>76</v>
      </c>
      <c r="F868" t="s">
        <v>64</v>
      </c>
      <c r="G868" s="8" t="s">
        <v>76</v>
      </c>
      <c r="H868" t="s">
        <v>111</v>
      </c>
      <c r="I868" t="e">
        <f>VLOOKUP(Tabela2[[#This Row],[Coluna7]],[1]!Tabela1[#All],2,0)</f>
        <v>#REF!</v>
      </c>
      <c r="K868">
        <v>2500</v>
      </c>
      <c r="M868" t="s">
        <v>313</v>
      </c>
      <c r="N868" t="s">
        <v>314</v>
      </c>
      <c r="Q868" s="10" t="str">
        <f>Tabela2[[#This Row],[Coluna5]]</f>
        <v>12/2025</v>
      </c>
      <c r="R868" s="10" t="str">
        <f>IF(Tabela2[[#This Row],[Coluna9]]&gt;0,"Entrada","Saída")</f>
        <v>Entrada</v>
      </c>
      <c r="S868" s="10">
        <f>Tabela2[[#This Row],[Coluna8]]</f>
        <v>0</v>
      </c>
      <c r="T868" s="10" t="e">
        <f>Tabela2[[#This Row],[Coluna72]]</f>
        <v>#REF!</v>
      </c>
      <c r="U868" s="10">
        <f>SUM(Tabela2[[#This Row],[Coluna9]],Tabela2[[#This Row],[Coluna10]])</f>
        <v>2500</v>
      </c>
      <c r="V868" s="2" t="str">
        <f>Tabela2[[#This Row],[Coluna4]]</f>
        <v>15/12/2025</v>
      </c>
      <c r="W868" s="2" t="str">
        <f>Tabela2[[#This Row],[Coluna6]]</f>
        <v>15/12/2025</v>
      </c>
    </row>
    <row r="869" spans="2:23" x14ac:dyDescent="0.2">
      <c r="B869" t="s">
        <v>27</v>
      </c>
      <c r="C869" t="s">
        <v>125</v>
      </c>
      <c r="D869" t="s">
        <v>19</v>
      </c>
      <c r="E869" s="8" t="s">
        <v>76</v>
      </c>
      <c r="F869" t="s">
        <v>64</v>
      </c>
      <c r="G869" s="8" t="s">
        <v>76</v>
      </c>
      <c r="H869" t="s">
        <v>107</v>
      </c>
      <c r="I869" t="e">
        <f>VLOOKUP(Tabela2[[#This Row],[Coluna7]],[1]!Tabela1[#All],2,0)</f>
        <v>#REF!</v>
      </c>
      <c r="K869">
        <v>11135.93</v>
      </c>
      <c r="M869" t="s">
        <v>315</v>
      </c>
      <c r="N869" t="s">
        <v>316</v>
      </c>
      <c r="Q869" s="10" t="str">
        <f>Tabela2[[#This Row],[Coluna5]]</f>
        <v>12/2025</v>
      </c>
      <c r="R869" s="10" t="str">
        <f>IF(Tabela2[[#This Row],[Coluna9]]&gt;0,"Entrada","Saída")</f>
        <v>Entrada</v>
      </c>
      <c r="S869" s="10">
        <f>Tabela2[[#This Row],[Coluna8]]</f>
        <v>0</v>
      </c>
      <c r="T869" s="10" t="e">
        <f>Tabela2[[#This Row],[Coluna72]]</f>
        <v>#REF!</v>
      </c>
      <c r="U869" s="10">
        <f>SUM(Tabela2[[#This Row],[Coluna9]],Tabela2[[#This Row],[Coluna10]])</f>
        <v>11135.93</v>
      </c>
      <c r="V869" s="2" t="str">
        <f>Tabela2[[#This Row],[Coluna4]]</f>
        <v>15/12/2025</v>
      </c>
      <c r="W869" s="2" t="str">
        <f>Tabela2[[#This Row],[Coluna6]]</f>
        <v>15/12/2025</v>
      </c>
    </row>
    <row r="870" spans="2:23" x14ac:dyDescent="0.2">
      <c r="B870" t="s">
        <v>27</v>
      </c>
      <c r="C870" t="s">
        <v>200</v>
      </c>
      <c r="D870" t="s">
        <v>19</v>
      </c>
      <c r="E870" s="8" t="s">
        <v>76</v>
      </c>
      <c r="F870" t="s">
        <v>64</v>
      </c>
      <c r="G870" s="8" t="s">
        <v>76</v>
      </c>
      <c r="H870" t="s">
        <v>98</v>
      </c>
      <c r="I870" t="e">
        <f>VLOOKUP(Tabela2[[#This Row],[Coluna7]],[1]!Tabela1[#All],2,0)</f>
        <v>#REF!</v>
      </c>
      <c r="J870" t="s">
        <v>283</v>
      </c>
      <c r="K870">
        <v>400</v>
      </c>
      <c r="N870" t="s">
        <v>270</v>
      </c>
      <c r="Q870" s="10" t="str">
        <f>Tabela2[[#This Row],[Coluna5]]</f>
        <v>12/2025</v>
      </c>
      <c r="R870" s="10" t="str">
        <f>IF(Tabela2[[#This Row],[Coluna9]]&gt;0,"Entrada","Saída")</f>
        <v>Entrada</v>
      </c>
      <c r="S870" s="10" t="str">
        <f>Tabela2[[#This Row],[Coluna8]]</f>
        <v>1/10</v>
      </c>
      <c r="T870" s="10" t="e">
        <f>Tabela2[[#This Row],[Coluna72]]</f>
        <v>#REF!</v>
      </c>
      <c r="U870" s="10">
        <f>SUM(Tabela2[[#This Row],[Coluna9]],Tabela2[[#This Row],[Coluna10]])</f>
        <v>400</v>
      </c>
      <c r="V870" s="2" t="str">
        <f>Tabela2[[#This Row],[Coluna4]]</f>
        <v>15/12/2025</v>
      </c>
      <c r="W870" s="2" t="str">
        <f>Tabela2[[#This Row],[Coluna6]]</f>
        <v>15/12/2025</v>
      </c>
    </row>
    <row r="871" spans="2:23" x14ac:dyDescent="0.2">
      <c r="B871" t="s">
        <v>12</v>
      </c>
      <c r="C871" t="s">
        <v>200</v>
      </c>
      <c r="D871" t="s">
        <v>19</v>
      </c>
      <c r="E871" s="8" t="s">
        <v>76</v>
      </c>
      <c r="F871" t="s">
        <v>64</v>
      </c>
      <c r="G871" s="8" t="s">
        <v>76</v>
      </c>
      <c r="H871" t="s">
        <v>98</v>
      </c>
      <c r="I871" t="e">
        <f>VLOOKUP(Tabela2[[#This Row],[Coluna7]],[1]!Tabela1[#All],2,0)</f>
        <v>#REF!</v>
      </c>
      <c r="J871" t="s">
        <v>120</v>
      </c>
      <c r="K871">
        <v>500</v>
      </c>
      <c r="N871" t="s">
        <v>189</v>
      </c>
      <c r="Q871" s="10" t="str">
        <f>Tabela2[[#This Row],[Coluna5]]</f>
        <v>12/2025</v>
      </c>
      <c r="R871" s="10" t="str">
        <f>IF(Tabela2[[#This Row],[Coluna9]]&gt;0,"Entrada","Saída")</f>
        <v>Entrada</v>
      </c>
      <c r="S871" s="10" t="str">
        <f>Tabela2[[#This Row],[Coluna8]]</f>
        <v>1/8</v>
      </c>
      <c r="T871" s="10" t="e">
        <f>Tabela2[[#This Row],[Coluna72]]</f>
        <v>#REF!</v>
      </c>
      <c r="U871" s="10">
        <f>SUM(Tabela2[[#This Row],[Coluna9]],Tabela2[[#This Row],[Coluna10]])</f>
        <v>500</v>
      </c>
      <c r="V871" s="2" t="str">
        <f>Tabela2[[#This Row],[Coluna4]]</f>
        <v>15/12/2025</v>
      </c>
      <c r="W871" s="2" t="str">
        <f>Tabela2[[#This Row],[Coluna6]]</f>
        <v>15/12/2025</v>
      </c>
    </row>
    <row r="872" spans="2:23" x14ac:dyDescent="0.2">
      <c r="B872" t="s">
        <v>27</v>
      </c>
      <c r="C872" t="s">
        <v>245</v>
      </c>
      <c r="D872" t="s">
        <v>19</v>
      </c>
      <c r="E872" s="8" t="s">
        <v>317</v>
      </c>
      <c r="F872" t="s">
        <v>42</v>
      </c>
      <c r="G872" s="8" t="s">
        <v>317</v>
      </c>
      <c r="H872" t="s">
        <v>107</v>
      </c>
      <c r="I872" t="e">
        <f>VLOOKUP(Tabela2[[#This Row],[Coluna7]],[1]!Tabela1[#All],2,0)</f>
        <v>#REF!</v>
      </c>
      <c r="J872" t="s">
        <v>219</v>
      </c>
      <c r="K872">
        <v>600</v>
      </c>
      <c r="M872" t="s">
        <v>187</v>
      </c>
      <c r="N872" t="s">
        <v>188</v>
      </c>
      <c r="Q872" s="10" t="str">
        <f>Tabela2[[#This Row],[Coluna5]]</f>
        <v>11/2025</v>
      </c>
      <c r="R872" s="10" t="str">
        <f>IF(Tabela2[[#This Row],[Coluna9]]&gt;0,"Entrada","Saída")</f>
        <v>Entrada</v>
      </c>
      <c r="S872" s="10" t="str">
        <f>Tabela2[[#This Row],[Coluna8]]</f>
        <v>2/8</v>
      </c>
      <c r="T872" s="10" t="e">
        <f>Tabela2[[#This Row],[Coluna72]]</f>
        <v>#REF!</v>
      </c>
      <c r="U872" s="10">
        <f>SUM(Tabela2[[#This Row],[Coluna9]],Tabela2[[#This Row],[Coluna10]])</f>
        <v>600</v>
      </c>
      <c r="V872" s="2" t="str">
        <f>Tabela2[[#This Row],[Coluna4]]</f>
        <v>16/12/2025</v>
      </c>
      <c r="W872" s="2" t="str">
        <f>Tabela2[[#This Row],[Coluna6]]</f>
        <v>16/12/2025</v>
      </c>
    </row>
    <row r="873" spans="2:23" x14ac:dyDescent="0.2">
      <c r="B873" t="s">
        <v>27</v>
      </c>
      <c r="C873" t="s">
        <v>200</v>
      </c>
      <c r="D873" t="s">
        <v>19</v>
      </c>
      <c r="E873" s="8" t="s">
        <v>317</v>
      </c>
      <c r="F873" t="s">
        <v>64</v>
      </c>
      <c r="G873" s="8" t="s">
        <v>317</v>
      </c>
      <c r="H873" t="s">
        <v>98</v>
      </c>
      <c r="I873" t="e">
        <f>VLOOKUP(Tabela2[[#This Row],[Coluna7]],[1]!Tabela1[#All],2,0)</f>
        <v>#REF!</v>
      </c>
      <c r="J873" t="s">
        <v>318</v>
      </c>
      <c r="K873">
        <v>150</v>
      </c>
      <c r="N873" t="s">
        <v>202</v>
      </c>
      <c r="Q873" s="10" t="str">
        <f>Tabela2[[#This Row],[Coluna5]]</f>
        <v>12/2025</v>
      </c>
      <c r="R873" s="10" t="str">
        <f>IF(Tabela2[[#This Row],[Coluna9]]&gt;0,"Entrada","Saída")</f>
        <v>Entrada</v>
      </c>
      <c r="S873" s="10" t="str">
        <f>Tabela2[[#This Row],[Coluna8]]</f>
        <v>PARCIAL DO 13º</v>
      </c>
      <c r="T873" s="10" t="e">
        <f>Tabela2[[#This Row],[Coluna72]]</f>
        <v>#REF!</v>
      </c>
      <c r="U873" s="10">
        <f>SUM(Tabela2[[#This Row],[Coluna9]],Tabela2[[#This Row],[Coluna10]])</f>
        <v>150</v>
      </c>
      <c r="V873" s="2" t="str">
        <f>Tabela2[[#This Row],[Coluna4]]</f>
        <v>16/12/2025</v>
      </c>
      <c r="W873" s="2" t="str">
        <f>Tabela2[[#This Row],[Coluna6]]</f>
        <v>16/12/2025</v>
      </c>
    </row>
    <row r="874" spans="2:23" x14ac:dyDescent="0.2">
      <c r="B874" t="s">
        <v>27</v>
      </c>
      <c r="C874" t="s">
        <v>125</v>
      </c>
      <c r="D874" t="s">
        <v>19</v>
      </c>
      <c r="E874" s="8" t="s">
        <v>78</v>
      </c>
      <c r="F874" t="s">
        <v>64</v>
      </c>
      <c r="G874" s="8" t="s">
        <v>78</v>
      </c>
      <c r="H874" t="s">
        <v>111</v>
      </c>
      <c r="I874" t="e">
        <f>VLOOKUP(Tabela2[[#This Row],[Coluna7]],[1]!Tabela1[#All],2,0)</f>
        <v>#REF!</v>
      </c>
      <c r="K874">
        <v>1500</v>
      </c>
      <c r="M874" t="s">
        <v>319</v>
      </c>
      <c r="N874" t="s">
        <v>320</v>
      </c>
      <c r="Q874" s="10" t="str">
        <f>Tabela2[[#This Row],[Coluna5]]</f>
        <v>12/2025</v>
      </c>
      <c r="R874" s="10" t="str">
        <f>IF(Tabela2[[#This Row],[Coluna9]]&gt;0,"Entrada","Saída")</f>
        <v>Entrada</v>
      </c>
      <c r="S874" s="10">
        <f>Tabela2[[#This Row],[Coluna8]]</f>
        <v>0</v>
      </c>
      <c r="T874" s="10" t="e">
        <f>Tabela2[[#This Row],[Coluna72]]</f>
        <v>#REF!</v>
      </c>
      <c r="U874" s="10">
        <f>SUM(Tabela2[[#This Row],[Coluna9]],Tabela2[[#This Row],[Coluna10]])</f>
        <v>1500</v>
      </c>
      <c r="V874" s="2" t="str">
        <f>Tabela2[[#This Row],[Coluna4]]</f>
        <v>17/12/2025</v>
      </c>
      <c r="W874" s="2" t="str">
        <f>Tabela2[[#This Row],[Coluna6]]</f>
        <v>17/12/2025</v>
      </c>
    </row>
    <row r="875" spans="2:23" x14ac:dyDescent="0.2">
      <c r="B875" t="s">
        <v>27</v>
      </c>
      <c r="C875" t="s">
        <v>95</v>
      </c>
      <c r="D875" t="s">
        <v>19</v>
      </c>
      <c r="E875" s="8" t="s">
        <v>78</v>
      </c>
      <c r="F875" t="s">
        <v>64</v>
      </c>
      <c r="G875" s="8" t="s">
        <v>78</v>
      </c>
      <c r="H875" t="s">
        <v>162</v>
      </c>
      <c r="I875" t="e">
        <f>VLOOKUP(Tabela2[[#This Row],[Coluna7]],[1]!Tabela1[#All],2,0)</f>
        <v>#REF!</v>
      </c>
      <c r="J875" t="s">
        <v>220</v>
      </c>
      <c r="K875">
        <v>0.21</v>
      </c>
      <c r="Q875" s="10" t="str">
        <f>Tabela2[[#This Row],[Coluna5]]</f>
        <v>12/2025</v>
      </c>
      <c r="R875" s="10" t="str">
        <f>IF(Tabela2[[#This Row],[Coluna9]]&gt;0,"Entrada","Saída")</f>
        <v>Entrada</v>
      </c>
      <c r="S875" s="10" t="str">
        <f>Tabela2[[#This Row],[Coluna8]]</f>
        <v>RENTABILIDADE</v>
      </c>
      <c r="T875" s="10" t="e">
        <f>Tabela2[[#This Row],[Coluna72]]</f>
        <v>#REF!</v>
      </c>
      <c r="U875" s="10">
        <f>SUM(Tabela2[[#This Row],[Coluna9]],Tabela2[[#This Row],[Coluna10]])</f>
        <v>0.21</v>
      </c>
      <c r="V875" s="2" t="str">
        <f>Tabela2[[#This Row],[Coluna4]]</f>
        <v>17/12/2025</v>
      </c>
      <c r="W875" s="2" t="str">
        <f>Tabela2[[#This Row],[Coluna6]]</f>
        <v>17/12/2025</v>
      </c>
    </row>
    <row r="876" spans="2:23" x14ac:dyDescent="0.2">
      <c r="B876" t="s">
        <v>12</v>
      </c>
      <c r="C876" t="s">
        <v>125</v>
      </c>
      <c r="D876" t="s">
        <v>19</v>
      </c>
      <c r="E876" s="8" t="s">
        <v>78</v>
      </c>
      <c r="F876" t="s">
        <v>64</v>
      </c>
      <c r="G876" s="8" t="s">
        <v>78</v>
      </c>
      <c r="H876" t="s">
        <v>107</v>
      </c>
      <c r="I876" t="e">
        <f>VLOOKUP(Tabela2[[#This Row],[Coluna7]],[1]!Tabela1[#All],2,0)</f>
        <v>#REF!</v>
      </c>
      <c r="K876">
        <v>5000</v>
      </c>
      <c r="M876" t="s">
        <v>304</v>
      </c>
      <c r="N876" t="s">
        <v>305</v>
      </c>
      <c r="Q876" s="10" t="str">
        <f>Tabela2[[#This Row],[Coluna5]]</f>
        <v>12/2025</v>
      </c>
      <c r="R876" s="10" t="str">
        <f>IF(Tabela2[[#This Row],[Coluna9]]&gt;0,"Entrada","Saída")</f>
        <v>Entrada</v>
      </c>
      <c r="S876" s="10">
        <f>Tabela2[[#This Row],[Coluna8]]</f>
        <v>0</v>
      </c>
      <c r="T876" s="10" t="e">
        <f>Tabela2[[#This Row],[Coluna72]]</f>
        <v>#REF!</v>
      </c>
      <c r="U876" s="10">
        <f>SUM(Tabela2[[#This Row],[Coluna9]],Tabela2[[#This Row],[Coluna10]])</f>
        <v>5000</v>
      </c>
      <c r="V876" s="2" t="str">
        <f>Tabela2[[#This Row],[Coluna4]]</f>
        <v>17/12/2025</v>
      </c>
      <c r="W876" s="2" t="str">
        <f>Tabela2[[#This Row],[Coluna6]]</f>
        <v>17/12/2025</v>
      </c>
    </row>
    <row r="877" spans="2:23" x14ac:dyDescent="0.2">
      <c r="B877" t="s">
        <v>12</v>
      </c>
      <c r="C877" t="s">
        <v>125</v>
      </c>
      <c r="D877" t="s">
        <v>19</v>
      </c>
      <c r="E877" s="8" t="s">
        <v>77</v>
      </c>
      <c r="F877" t="s">
        <v>64</v>
      </c>
      <c r="G877" s="8" t="s">
        <v>77</v>
      </c>
      <c r="H877" t="s">
        <v>107</v>
      </c>
      <c r="I877" t="e">
        <f>VLOOKUP(Tabela2[[#This Row],[Coluna7]],[1]!Tabela1[#All],2,0)</f>
        <v>#REF!</v>
      </c>
      <c r="K877">
        <v>5485.01</v>
      </c>
      <c r="M877" t="s">
        <v>321</v>
      </c>
      <c r="N877" t="s">
        <v>322</v>
      </c>
      <c r="Q877" s="10" t="str">
        <f>Tabela2[[#This Row],[Coluna5]]</f>
        <v>12/2025</v>
      </c>
      <c r="R877" s="10" t="str">
        <f>IF(Tabela2[[#This Row],[Coluna9]]&gt;0,"Entrada","Saída")</f>
        <v>Entrada</v>
      </c>
      <c r="S877" s="10">
        <f>Tabela2[[#This Row],[Coluna8]]</f>
        <v>0</v>
      </c>
      <c r="T877" s="10" t="e">
        <f>Tabela2[[#This Row],[Coluna72]]</f>
        <v>#REF!</v>
      </c>
      <c r="U877" s="10">
        <f>SUM(Tabela2[[#This Row],[Coluna9]],Tabela2[[#This Row],[Coluna10]])</f>
        <v>5485.01</v>
      </c>
      <c r="V877" s="2" t="str">
        <f>Tabela2[[#This Row],[Coluna4]]</f>
        <v>18/12/2025</v>
      </c>
      <c r="W877" s="2" t="str">
        <f>Tabela2[[#This Row],[Coluna6]]</f>
        <v>18/12/2025</v>
      </c>
    </row>
    <row r="878" spans="2:23" x14ac:dyDescent="0.2">
      <c r="B878" t="s">
        <v>34</v>
      </c>
      <c r="C878" t="s">
        <v>95</v>
      </c>
      <c r="D878" t="s">
        <v>19</v>
      </c>
      <c r="E878" s="8" t="s">
        <v>77</v>
      </c>
      <c r="F878" t="s">
        <v>64</v>
      </c>
      <c r="G878" s="8" t="s">
        <v>77</v>
      </c>
      <c r="H878" t="s">
        <v>162</v>
      </c>
      <c r="I878" t="e">
        <f>VLOOKUP(Tabela2[[#This Row],[Coluna7]],[1]!Tabela1[#All],2,0)</f>
        <v>#REF!</v>
      </c>
      <c r="J878" t="s">
        <v>323</v>
      </c>
      <c r="K878">
        <v>2715.06</v>
      </c>
      <c r="Q878" s="10" t="str">
        <f>Tabela2[[#This Row],[Coluna5]]</f>
        <v>12/2025</v>
      </c>
      <c r="R878" s="10" t="str">
        <f>IF(Tabela2[[#This Row],[Coluna9]]&gt;0,"Entrada","Saída")</f>
        <v>Entrada</v>
      </c>
      <c r="S878" s="10" t="str">
        <f>Tabela2[[#This Row],[Coluna8]]</f>
        <v>OUTUBRO, NOVEMBRO E DEZEMBRO</v>
      </c>
      <c r="T878" s="10" t="e">
        <f>Tabela2[[#This Row],[Coluna72]]</f>
        <v>#REF!</v>
      </c>
      <c r="U878" s="10">
        <f>SUM(Tabela2[[#This Row],[Coluna9]],Tabela2[[#This Row],[Coluna10]])</f>
        <v>2715.06</v>
      </c>
      <c r="V878" s="2" t="str">
        <f>Tabela2[[#This Row],[Coluna4]]</f>
        <v>18/12/2025</v>
      </c>
      <c r="W878" s="2" t="str">
        <f>Tabela2[[#This Row],[Coluna6]]</f>
        <v>18/12/2025</v>
      </c>
    </row>
    <row r="879" spans="2:23" x14ac:dyDescent="0.2">
      <c r="B879" t="s">
        <v>27</v>
      </c>
      <c r="C879" t="s">
        <v>95</v>
      </c>
      <c r="D879" t="s">
        <v>19</v>
      </c>
      <c r="E879" s="8" t="s">
        <v>77</v>
      </c>
      <c r="F879" t="s">
        <v>84</v>
      </c>
      <c r="G879" s="8" t="s">
        <v>77</v>
      </c>
      <c r="H879" t="s">
        <v>162</v>
      </c>
      <c r="I879" t="e">
        <f>VLOOKUP(Tabela2[[#This Row],[Coluna7]],[1]!Tabela1[#All],2,0)</f>
        <v>#REF!</v>
      </c>
      <c r="J879" t="s">
        <v>308</v>
      </c>
      <c r="K879">
        <v>0.01</v>
      </c>
      <c r="Q879" s="10" t="str">
        <f>Tabela2[[#This Row],[Coluna5]]</f>
        <v>01/2026</v>
      </c>
      <c r="R879" s="10" t="str">
        <f>IF(Tabela2[[#This Row],[Coluna9]]&gt;0,"Entrada","Saída")</f>
        <v>Entrada</v>
      </c>
      <c r="S879" s="10" t="str">
        <f>Tabela2[[#This Row],[Coluna8]]</f>
        <v>RENTAB.INVEST FACILCRED</v>
      </c>
      <c r="T879" s="10" t="e">
        <f>Tabela2[[#This Row],[Coluna72]]</f>
        <v>#REF!</v>
      </c>
      <c r="U879" s="10">
        <f>SUM(Tabela2[[#This Row],[Coluna9]],Tabela2[[#This Row],[Coluna10]])</f>
        <v>0.01</v>
      </c>
      <c r="V879" s="2" t="str">
        <f>Tabela2[[#This Row],[Coluna4]]</f>
        <v>18/12/2025</v>
      </c>
      <c r="W879" s="2" t="str">
        <f>Tabela2[[#This Row],[Coluna6]]</f>
        <v>18/12/2025</v>
      </c>
    </row>
    <row r="880" spans="2:23" x14ac:dyDescent="0.2">
      <c r="B880" t="s">
        <v>18</v>
      </c>
      <c r="C880" t="s">
        <v>324</v>
      </c>
      <c r="D880" t="s">
        <v>19</v>
      </c>
      <c r="E880" s="8" t="s">
        <v>325</v>
      </c>
      <c r="F880" t="s">
        <v>15</v>
      </c>
      <c r="G880" s="8" t="s">
        <v>326</v>
      </c>
      <c r="H880" t="s">
        <v>111</v>
      </c>
      <c r="I880" t="e">
        <f>VLOOKUP(Tabela2[[#This Row],[Coluna7]],[1]!Tabela1[#All],2,0)</f>
        <v>#REF!</v>
      </c>
      <c r="J880" t="s">
        <v>297</v>
      </c>
      <c r="K880">
        <v>2000</v>
      </c>
      <c r="M880" t="s">
        <v>192</v>
      </c>
      <c r="N880" t="s">
        <v>193</v>
      </c>
      <c r="Q880" s="10" t="str">
        <f>Tabela2[[#This Row],[Coluna5]]</f>
        <v>10/2025</v>
      </c>
      <c r="R880" s="10" t="str">
        <f>IF(Tabela2[[#This Row],[Coluna9]]&gt;0,"Entrada","Saída")</f>
        <v>Entrada</v>
      </c>
      <c r="S880" s="10" t="str">
        <f>Tabela2[[#This Row],[Coluna8]]</f>
        <v>3/5</v>
      </c>
      <c r="T880" s="10" t="e">
        <f>Tabela2[[#This Row],[Coluna72]]</f>
        <v>#REF!</v>
      </c>
      <c r="U880" s="10">
        <f>SUM(Tabela2[[#This Row],[Coluna9]],Tabela2[[#This Row],[Coluna10]])</f>
        <v>2000</v>
      </c>
      <c r="V880" s="2" t="str">
        <f>Tabela2[[#This Row],[Coluna4]]</f>
        <v>22/12/2025</v>
      </c>
      <c r="W880" s="2" t="str">
        <f>Tabela2[[#This Row],[Coluna6]]</f>
        <v>26/12/2025</v>
      </c>
    </row>
    <row r="881" spans="2:23" x14ac:dyDescent="0.2">
      <c r="B881" t="s">
        <v>18</v>
      </c>
      <c r="C881" t="s">
        <v>95</v>
      </c>
      <c r="D881" t="s">
        <v>19</v>
      </c>
      <c r="E881" s="8" t="s">
        <v>327</v>
      </c>
      <c r="F881" t="s">
        <v>15</v>
      </c>
      <c r="G881" s="8" t="s">
        <v>68</v>
      </c>
      <c r="H881" t="s">
        <v>98</v>
      </c>
      <c r="I881" t="e">
        <f>VLOOKUP(Tabela2[[#This Row],[Coluna7]],[1]!Tabela1[#All],2,0)</f>
        <v>#REF!</v>
      </c>
      <c r="J881" t="s">
        <v>328</v>
      </c>
      <c r="K881">
        <v>530</v>
      </c>
      <c r="N881" t="s">
        <v>199</v>
      </c>
      <c r="Q881" s="10" t="str">
        <f>Tabela2[[#This Row],[Coluna5]]</f>
        <v>10/2025</v>
      </c>
      <c r="R881" s="10" t="str">
        <f>IF(Tabela2[[#This Row],[Coluna9]]&gt;0,"Entrada","Saída")</f>
        <v>Entrada</v>
      </c>
      <c r="S881" s="10" t="str">
        <f>Tabela2[[#This Row],[Coluna8]]</f>
        <v>3/18</v>
      </c>
      <c r="T881" s="10" t="e">
        <f>Tabela2[[#This Row],[Coluna72]]</f>
        <v>#REF!</v>
      </c>
      <c r="U881" s="10">
        <f>SUM(Tabela2[[#This Row],[Coluna9]],Tabela2[[#This Row],[Coluna10]])</f>
        <v>530</v>
      </c>
      <c r="V881" s="2" t="str">
        <f>Tabela2[[#This Row],[Coluna4]]</f>
        <v>25/12/2025</v>
      </c>
      <c r="W881" s="2" t="str">
        <f>Tabela2[[#This Row],[Coluna6]]</f>
        <v>08/12/2025</v>
      </c>
    </row>
    <row r="882" spans="2:23" x14ac:dyDescent="0.2">
      <c r="B882" t="s">
        <v>215</v>
      </c>
      <c r="C882" t="s">
        <v>200</v>
      </c>
      <c r="D882" t="s">
        <v>19</v>
      </c>
      <c r="E882" s="8" t="s">
        <v>326</v>
      </c>
      <c r="F882" t="s">
        <v>64</v>
      </c>
      <c r="H882" t="s">
        <v>98</v>
      </c>
      <c r="I882" t="e">
        <f>VLOOKUP(Tabela2[[#This Row],[Coluna7]],[1]!Tabela1[#All],2,0)</f>
        <v>#REF!</v>
      </c>
      <c r="K882">
        <v>493</v>
      </c>
      <c r="N882" t="s">
        <v>170</v>
      </c>
      <c r="Q882" s="10" t="str">
        <f>Tabela2[[#This Row],[Coluna5]]</f>
        <v>12/2025</v>
      </c>
      <c r="R882" s="10" t="str">
        <f>IF(Tabela2[[#This Row],[Coluna9]]&gt;0,"Entrada","Saída")</f>
        <v>Entrada</v>
      </c>
      <c r="S882" s="10">
        <f>Tabela2[[#This Row],[Coluna8]]</f>
        <v>0</v>
      </c>
      <c r="T882" s="10" t="e">
        <f>Tabela2[[#This Row],[Coluna72]]</f>
        <v>#REF!</v>
      </c>
      <c r="U882" s="10">
        <f>SUM(Tabela2[[#This Row],[Coluna9]],Tabela2[[#This Row],[Coluna10]])</f>
        <v>493</v>
      </c>
      <c r="V882" s="2" t="str">
        <f>Tabela2[[#This Row],[Coluna4]]</f>
        <v>26/12/2025</v>
      </c>
      <c r="W882" s="2">
        <f>Tabela2[[#This Row],[Coluna6]]</f>
        <v>0</v>
      </c>
    </row>
    <row r="883" spans="2:23" x14ac:dyDescent="0.2">
      <c r="B883" t="s">
        <v>27</v>
      </c>
      <c r="C883" t="s">
        <v>200</v>
      </c>
      <c r="D883" t="s">
        <v>19</v>
      </c>
      <c r="E883" s="8" t="s">
        <v>326</v>
      </c>
      <c r="F883" t="s">
        <v>64</v>
      </c>
      <c r="G883" s="8" t="s">
        <v>326</v>
      </c>
      <c r="H883" t="s">
        <v>104</v>
      </c>
      <c r="I883" t="e">
        <f>VLOOKUP(Tabela2[[#This Row],[Coluna7]],[1]!Tabela1[#All],2,0)</f>
        <v>#REF!</v>
      </c>
      <c r="K883">
        <v>4000</v>
      </c>
      <c r="M883" t="s">
        <v>329</v>
      </c>
      <c r="N883" t="s">
        <v>330</v>
      </c>
      <c r="Q883" s="10" t="str">
        <f>Tabela2[[#This Row],[Coluna5]]</f>
        <v>12/2025</v>
      </c>
      <c r="R883" s="10" t="str">
        <f>IF(Tabela2[[#This Row],[Coluna9]]&gt;0,"Entrada","Saída")</f>
        <v>Entrada</v>
      </c>
      <c r="S883" s="10">
        <f>Tabela2[[#This Row],[Coluna8]]</f>
        <v>0</v>
      </c>
      <c r="T883" s="10" t="e">
        <f>Tabela2[[#This Row],[Coluna72]]</f>
        <v>#REF!</v>
      </c>
      <c r="U883" s="10">
        <f>SUM(Tabela2[[#This Row],[Coluna9]],Tabela2[[#This Row],[Coluna10]])</f>
        <v>4000</v>
      </c>
      <c r="V883" s="2" t="str">
        <f>Tabela2[[#This Row],[Coluna4]]</f>
        <v>26/12/2025</v>
      </c>
      <c r="W883" s="2" t="str">
        <f>Tabela2[[#This Row],[Coluna6]]</f>
        <v>26/12/2025</v>
      </c>
    </row>
    <row r="884" spans="2:23" x14ac:dyDescent="0.2">
      <c r="B884" t="s">
        <v>18</v>
      </c>
      <c r="C884" t="s">
        <v>95</v>
      </c>
      <c r="D884" t="s">
        <v>19</v>
      </c>
      <c r="E884" s="8" t="s">
        <v>331</v>
      </c>
      <c r="F884" t="s">
        <v>15</v>
      </c>
      <c r="G884" s="8" t="s">
        <v>331</v>
      </c>
      <c r="H884" t="s">
        <v>98</v>
      </c>
      <c r="I884" t="e">
        <f>VLOOKUP(Tabela2[[#This Row],[Coluna7]],[1]!Tabela1[#All],2,0)</f>
        <v>#REF!</v>
      </c>
      <c r="J884" t="s">
        <v>332</v>
      </c>
      <c r="K884">
        <v>450</v>
      </c>
      <c r="M884" t="s">
        <v>204</v>
      </c>
      <c r="N884" t="s">
        <v>205</v>
      </c>
      <c r="Q884" s="10" t="str">
        <f>Tabela2[[#This Row],[Coluna5]]</f>
        <v>10/2025</v>
      </c>
      <c r="R884" s="10" t="str">
        <f>IF(Tabela2[[#This Row],[Coluna9]]&gt;0,"Entrada","Saída")</f>
        <v>Entrada</v>
      </c>
      <c r="S884" s="10" t="str">
        <f>Tabela2[[#This Row],[Coluna8]]</f>
        <v>3/20</v>
      </c>
      <c r="T884" s="10" t="e">
        <f>Tabela2[[#This Row],[Coluna72]]</f>
        <v>#REF!</v>
      </c>
      <c r="U884" s="10">
        <f>SUM(Tabela2[[#This Row],[Coluna9]],Tabela2[[#This Row],[Coluna10]])</f>
        <v>450</v>
      </c>
      <c r="V884" s="2" t="str">
        <f>Tabela2[[#This Row],[Coluna4]]</f>
        <v>29/12/2025</v>
      </c>
      <c r="W884" s="2" t="str">
        <f>Tabela2[[#This Row],[Coluna6]]</f>
        <v>29/12/2025</v>
      </c>
    </row>
    <row r="885" spans="2:23" x14ac:dyDescent="0.2">
      <c r="B885" t="s">
        <v>18</v>
      </c>
      <c r="C885" t="s">
        <v>95</v>
      </c>
      <c r="D885" t="s">
        <v>19</v>
      </c>
      <c r="E885" s="8" t="s">
        <v>331</v>
      </c>
      <c r="F885" t="s">
        <v>15</v>
      </c>
      <c r="G885" s="8" t="s">
        <v>325</v>
      </c>
      <c r="H885" t="s">
        <v>98</v>
      </c>
      <c r="I885" t="e">
        <f>VLOOKUP(Tabela2[[#This Row],[Coluna7]],[1]!Tabela1[#All],2,0)</f>
        <v>#REF!</v>
      </c>
      <c r="J885" t="s">
        <v>333</v>
      </c>
      <c r="K885">
        <v>319</v>
      </c>
      <c r="N885" t="s">
        <v>207</v>
      </c>
      <c r="Q885" s="10" t="str">
        <f>Tabela2[[#This Row],[Coluna5]]</f>
        <v>10/2025</v>
      </c>
      <c r="R885" s="10" t="str">
        <f>IF(Tabela2[[#This Row],[Coluna9]]&gt;0,"Entrada","Saída")</f>
        <v>Entrada</v>
      </c>
      <c r="S885" s="10" t="str">
        <f>Tabela2[[#This Row],[Coluna8]]</f>
        <v>3/12</v>
      </c>
      <c r="T885" s="10" t="e">
        <f>Tabela2[[#This Row],[Coluna72]]</f>
        <v>#REF!</v>
      </c>
      <c r="U885" s="10">
        <f>SUM(Tabela2[[#This Row],[Coluna9]],Tabela2[[#This Row],[Coluna10]])</f>
        <v>319</v>
      </c>
      <c r="V885" s="2" t="str">
        <f>Tabela2[[#This Row],[Coluna4]]</f>
        <v>29/12/2025</v>
      </c>
      <c r="W885" s="2" t="str">
        <f>Tabela2[[#This Row],[Coluna6]]</f>
        <v>22/12/2025</v>
      </c>
    </row>
    <row r="886" spans="2:23" x14ac:dyDescent="0.2">
      <c r="B886" t="s">
        <v>18</v>
      </c>
      <c r="C886" t="s">
        <v>125</v>
      </c>
      <c r="D886" t="s">
        <v>19</v>
      </c>
      <c r="E886" s="8" t="s">
        <v>331</v>
      </c>
      <c r="F886" t="s">
        <v>42</v>
      </c>
      <c r="G886" s="8" t="s">
        <v>334</v>
      </c>
      <c r="H886" t="s">
        <v>98</v>
      </c>
      <c r="I886" t="e">
        <f>VLOOKUP(Tabela2[[#This Row],[Coluna7]],[1]!Tabela1[#All],2,0)</f>
        <v>#REF!</v>
      </c>
      <c r="J886" t="s">
        <v>335</v>
      </c>
      <c r="K886">
        <v>490</v>
      </c>
      <c r="N886" t="s">
        <v>103</v>
      </c>
      <c r="Q886" s="10" t="str">
        <f>Tabela2[[#This Row],[Coluna5]]</f>
        <v>11/2025</v>
      </c>
      <c r="R886" s="10" t="str">
        <f>IF(Tabela2[[#This Row],[Coluna9]]&gt;0,"Entrada","Saída")</f>
        <v>Entrada</v>
      </c>
      <c r="S886" s="10" t="str">
        <f>Tabela2[[#This Row],[Coluna8]]</f>
        <v>2/4 PARC 5</v>
      </c>
      <c r="T886" s="10" t="e">
        <f>Tabela2[[#This Row],[Coluna72]]</f>
        <v>#REF!</v>
      </c>
      <c r="U886" s="10">
        <f>SUM(Tabela2[[#This Row],[Coluna9]],Tabela2[[#This Row],[Coluna10]])</f>
        <v>490</v>
      </c>
      <c r="V886" s="2" t="str">
        <f>Tabela2[[#This Row],[Coluna4]]</f>
        <v>29/12/2025</v>
      </c>
      <c r="W886" s="2" t="str">
        <f>Tabela2[[#This Row],[Coluna6]]</f>
        <v>30/12/2025</v>
      </c>
    </row>
    <row r="887" spans="2:23" x14ac:dyDescent="0.2">
      <c r="B887" t="s">
        <v>27</v>
      </c>
      <c r="C887" t="s">
        <v>200</v>
      </c>
      <c r="D887" t="s">
        <v>19</v>
      </c>
      <c r="E887" s="8" t="s">
        <v>331</v>
      </c>
      <c r="F887" t="s">
        <v>15</v>
      </c>
      <c r="G887" s="8" t="s">
        <v>331</v>
      </c>
      <c r="H887" t="s">
        <v>98</v>
      </c>
      <c r="I887" t="e">
        <f>VLOOKUP(Tabela2[[#This Row],[Coluna7]],[1]!Tabela1[#All],2,0)</f>
        <v>#REF!</v>
      </c>
      <c r="J887" t="s">
        <v>297</v>
      </c>
      <c r="K887">
        <v>225</v>
      </c>
      <c r="M887" t="s">
        <v>209</v>
      </c>
      <c r="N887" t="s">
        <v>210</v>
      </c>
      <c r="Q887" s="10" t="str">
        <f>Tabela2[[#This Row],[Coluna5]]</f>
        <v>10/2025</v>
      </c>
      <c r="R887" s="10" t="str">
        <f>IF(Tabela2[[#This Row],[Coluna9]]&gt;0,"Entrada","Saída")</f>
        <v>Entrada</v>
      </c>
      <c r="S887" s="10" t="str">
        <f>Tabela2[[#This Row],[Coluna8]]</f>
        <v>3/5</v>
      </c>
      <c r="T887" s="10" t="e">
        <f>Tabela2[[#This Row],[Coluna72]]</f>
        <v>#REF!</v>
      </c>
      <c r="U887" s="10">
        <f>SUM(Tabela2[[#This Row],[Coluna9]],Tabela2[[#This Row],[Coluna10]])</f>
        <v>225</v>
      </c>
      <c r="V887" s="2" t="str">
        <f>Tabela2[[#This Row],[Coluna4]]</f>
        <v>29/12/2025</v>
      </c>
      <c r="W887" s="2" t="str">
        <f>Tabela2[[#This Row],[Coluna6]]</f>
        <v>29/12/2025</v>
      </c>
    </row>
    <row r="888" spans="2:23" x14ac:dyDescent="0.2">
      <c r="B888" t="s">
        <v>27</v>
      </c>
      <c r="C888" t="s">
        <v>125</v>
      </c>
      <c r="D888" t="s">
        <v>19</v>
      </c>
      <c r="E888" s="8" t="s">
        <v>331</v>
      </c>
      <c r="F888" t="s">
        <v>84</v>
      </c>
      <c r="G888" s="8" t="s">
        <v>331</v>
      </c>
      <c r="H888" t="s">
        <v>104</v>
      </c>
      <c r="I888" t="e">
        <f>VLOOKUP(Tabela2[[#This Row],[Coluna7]],[1]!Tabela1[#All],2,0)</f>
        <v>#REF!</v>
      </c>
      <c r="K888">
        <v>1822</v>
      </c>
      <c r="M888" t="s">
        <v>336</v>
      </c>
      <c r="N888" t="s">
        <v>337</v>
      </c>
      <c r="Q888" s="10" t="str">
        <f>Tabela2[[#This Row],[Coluna5]]</f>
        <v>01/2026</v>
      </c>
      <c r="R888" s="10" t="str">
        <f>IF(Tabela2[[#This Row],[Coluna9]]&gt;0,"Entrada","Saída")</f>
        <v>Entrada</v>
      </c>
      <c r="S888" s="10">
        <f>Tabela2[[#This Row],[Coluna8]]</f>
        <v>0</v>
      </c>
      <c r="T888" s="10" t="e">
        <f>Tabela2[[#This Row],[Coluna72]]</f>
        <v>#REF!</v>
      </c>
      <c r="U888" s="10">
        <f>SUM(Tabela2[[#This Row],[Coluna9]],Tabela2[[#This Row],[Coluna10]])</f>
        <v>1822</v>
      </c>
      <c r="V888" s="2" t="str">
        <f>Tabela2[[#This Row],[Coluna4]]</f>
        <v>29/12/2025</v>
      </c>
      <c r="W888" s="2" t="str">
        <f>Tabela2[[#This Row],[Coluna6]]</f>
        <v>29/12/2025</v>
      </c>
    </row>
    <row r="889" spans="2:23" x14ac:dyDescent="0.2">
      <c r="B889" t="s">
        <v>18</v>
      </c>
      <c r="C889" t="s">
        <v>125</v>
      </c>
      <c r="D889" t="s">
        <v>19</v>
      </c>
      <c r="E889" s="8" t="s">
        <v>339</v>
      </c>
      <c r="F889" t="s">
        <v>42</v>
      </c>
      <c r="G889" s="8" t="s">
        <v>331</v>
      </c>
      <c r="H889" t="s">
        <v>98</v>
      </c>
      <c r="I889" t="e">
        <f>VLOOKUP(Tabela2[[#This Row],[Coluna7]],[1]!Tabela1[#All],2,0)</f>
        <v>#REF!</v>
      </c>
      <c r="J889" t="s">
        <v>297</v>
      </c>
      <c r="K889">
        <v>300</v>
      </c>
      <c r="M889" t="s">
        <v>116</v>
      </c>
      <c r="N889" t="s">
        <v>117</v>
      </c>
      <c r="Q889" s="10" t="str">
        <f>Tabela2[[#This Row],[Coluna5]]</f>
        <v>11/2025</v>
      </c>
      <c r="R889" s="10" t="str">
        <f>IF(Tabela2[[#This Row],[Coluna9]]&gt;0,"Entrada","Saída")</f>
        <v>Entrada</v>
      </c>
      <c r="S889" s="10" t="str">
        <f>Tabela2[[#This Row],[Coluna8]]</f>
        <v>3/5</v>
      </c>
      <c r="T889" s="10" t="e">
        <f>Tabela2[[#This Row],[Coluna72]]</f>
        <v>#REF!</v>
      </c>
      <c r="U889" s="10">
        <f>SUM(Tabela2[[#This Row],[Coluna9]],Tabela2[[#This Row],[Coluna10]])</f>
        <v>300</v>
      </c>
      <c r="V889" s="2" t="str">
        <f>Tabela2[[#This Row],[Coluna4]]</f>
        <v>02/01/2026</v>
      </c>
      <c r="W889" s="2" t="str">
        <f>Tabela2[[#This Row],[Coluna6]]</f>
        <v>29/12/2025</v>
      </c>
    </row>
    <row r="890" spans="2:23" x14ac:dyDescent="0.2">
      <c r="B890" t="s">
        <v>12</v>
      </c>
      <c r="C890" t="s">
        <v>95</v>
      </c>
      <c r="D890" t="s">
        <v>19</v>
      </c>
      <c r="E890" s="8" t="s">
        <v>343</v>
      </c>
      <c r="F890" t="s">
        <v>15</v>
      </c>
      <c r="G890" s="8" t="s">
        <v>334</v>
      </c>
      <c r="H890" t="s">
        <v>98</v>
      </c>
      <c r="I890" t="e">
        <f>VLOOKUP(Tabela2[[#This Row],[Coluna7]],[1]!Tabela1[#All],2,0)</f>
        <v>#REF!</v>
      </c>
      <c r="J890" t="s">
        <v>344</v>
      </c>
      <c r="K890">
        <v>180</v>
      </c>
      <c r="N890" t="s">
        <v>121</v>
      </c>
      <c r="Q890" s="10" t="str">
        <f>Tabela2[[#This Row],[Coluna5]]</f>
        <v>10/2025</v>
      </c>
      <c r="R890" s="10" t="str">
        <f>IF(Tabela2[[#This Row],[Coluna9]]&gt;0,"Entrada","Saída")</f>
        <v>Entrada</v>
      </c>
      <c r="S890" s="10" t="str">
        <f>Tabela2[[#This Row],[Coluna8]]</f>
        <v>4/8</v>
      </c>
      <c r="T890" s="10" t="e">
        <f>Tabela2[[#This Row],[Coluna72]]</f>
        <v>#REF!</v>
      </c>
      <c r="U890" s="10">
        <f>SUM(Tabela2[[#This Row],[Coluna9]],Tabela2[[#This Row],[Coluna10]])</f>
        <v>180</v>
      </c>
      <c r="V890" s="2" t="str">
        <f>Tabela2[[#This Row],[Coluna4]]</f>
        <v>03/01/2026</v>
      </c>
      <c r="W890" s="2" t="str">
        <f>Tabela2[[#This Row],[Coluna6]]</f>
        <v>30/12/2025</v>
      </c>
    </row>
    <row r="891" spans="2:23" x14ac:dyDescent="0.2">
      <c r="B891" t="s">
        <v>18</v>
      </c>
      <c r="C891" t="s">
        <v>95</v>
      </c>
      <c r="D891" t="s">
        <v>19</v>
      </c>
      <c r="E891" s="8" t="s">
        <v>83</v>
      </c>
      <c r="F891" t="s">
        <v>15</v>
      </c>
      <c r="G891" s="8" t="s">
        <v>190</v>
      </c>
      <c r="H891" t="s">
        <v>98</v>
      </c>
      <c r="I891" t="e">
        <f>VLOOKUP(Tabela2[[#This Row],[Coluna7]],[1]!Tabela1[#All],2,0)</f>
        <v>#REF!</v>
      </c>
      <c r="J891" t="s">
        <v>347</v>
      </c>
      <c r="K891">
        <v>600</v>
      </c>
      <c r="N891" t="s">
        <v>136</v>
      </c>
      <c r="Q891" s="10" t="str">
        <f>Tabela2[[#This Row],[Coluna5]]</f>
        <v>10/2025</v>
      </c>
      <c r="R891" s="10" t="str">
        <f>IF(Tabela2[[#This Row],[Coluna9]]&gt;0,"Entrada","Saída")</f>
        <v>Entrada</v>
      </c>
      <c r="S891" s="10" t="str">
        <f>Tabela2[[#This Row],[Coluna8]]</f>
        <v>4/13</v>
      </c>
      <c r="T891" s="10" t="e">
        <f>Tabela2[[#This Row],[Coluna72]]</f>
        <v>#REF!</v>
      </c>
      <c r="U891" s="10">
        <f>SUM(Tabela2[[#This Row],[Coluna9]],Tabela2[[#This Row],[Coluna10]])</f>
        <v>600</v>
      </c>
      <c r="V891" s="2" t="str">
        <f>Tabela2[[#This Row],[Coluna4]]</f>
        <v>06/01/2026</v>
      </c>
      <c r="W891" s="2" t="str">
        <f>Tabela2[[#This Row],[Coluna6]]</f>
        <v>22/10/2025</v>
      </c>
    </row>
    <row r="892" spans="2:23" x14ac:dyDescent="0.2">
      <c r="B892" t="s">
        <v>18</v>
      </c>
      <c r="C892" t="s">
        <v>95</v>
      </c>
      <c r="D892" t="s">
        <v>19</v>
      </c>
      <c r="E892" s="8" t="s">
        <v>361</v>
      </c>
      <c r="F892" t="s">
        <v>15</v>
      </c>
      <c r="G892" s="8" t="s">
        <v>190</v>
      </c>
      <c r="H892" t="s">
        <v>98</v>
      </c>
      <c r="I892" t="e">
        <f>VLOOKUP(Tabela2[[#This Row],[Coluna7]],[1]!Tabela1[#All],2,0)</f>
        <v>#REF!</v>
      </c>
      <c r="J892" t="s">
        <v>362</v>
      </c>
      <c r="K892">
        <v>600</v>
      </c>
      <c r="N892" t="s">
        <v>136</v>
      </c>
      <c r="Q892" s="10" t="str">
        <f>Tabela2[[#This Row],[Coluna5]]</f>
        <v>10/2025</v>
      </c>
      <c r="R892" s="10" t="str">
        <f>IF(Tabela2[[#This Row],[Coluna9]]&gt;0,"Entrada","Saída")</f>
        <v>Entrada</v>
      </c>
      <c r="S892" s="10" t="str">
        <f>Tabela2[[#This Row],[Coluna8]]</f>
        <v>5/13</v>
      </c>
      <c r="T892" s="10" t="e">
        <f>Tabela2[[#This Row],[Coluna72]]</f>
        <v>#REF!</v>
      </c>
      <c r="U892" s="10">
        <f>SUM(Tabela2[[#This Row],[Coluna9]],Tabela2[[#This Row],[Coluna10]])</f>
        <v>600</v>
      </c>
      <c r="V892" s="2" t="str">
        <f>Tabela2[[#This Row],[Coluna4]]</f>
        <v>06/02/2026</v>
      </c>
      <c r="W892" s="2" t="str">
        <f>Tabela2[[#This Row],[Coluna6]]</f>
        <v>22/10/2025</v>
      </c>
    </row>
    <row r="893" spans="2:23" x14ac:dyDescent="0.2">
      <c r="B893" t="s">
        <v>71</v>
      </c>
      <c r="C893" t="s">
        <v>95</v>
      </c>
      <c r="D893" t="s">
        <v>19</v>
      </c>
      <c r="E893" s="8" t="s">
        <v>363</v>
      </c>
      <c r="F893" t="s">
        <v>15</v>
      </c>
      <c r="G893" s="8" t="s">
        <v>62</v>
      </c>
      <c r="H893" t="s">
        <v>98</v>
      </c>
      <c r="I893" t="e">
        <f>VLOOKUP(Tabela2[[#This Row],[Coluna7]],[1]!Tabela1[#All],2,0)</f>
        <v>#REF!</v>
      </c>
      <c r="J893" t="s">
        <v>364</v>
      </c>
      <c r="K893">
        <v>600</v>
      </c>
      <c r="N893" t="s">
        <v>136</v>
      </c>
      <c r="Q893" s="10" t="str">
        <f>Tabela2[[#This Row],[Coluna5]]</f>
        <v>10/2025</v>
      </c>
      <c r="R893" s="10" t="str">
        <f>IF(Tabela2[[#This Row],[Coluna9]]&gt;0,"Entrada","Saída")</f>
        <v>Entrada</v>
      </c>
      <c r="S893" s="10" t="str">
        <f>Tabela2[[#This Row],[Coluna8]]</f>
        <v>6/13</v>
      </c>
      <c r="T893" s="10" t="e">
        <f>Tabela2[[#This Row],[Coluna72]]</f>
        <v>#REF!</v>
      </c>
      <c r="U893" s="10">
        <f>SUM(Tabela2[[#This Row],[Coluna9]],Tabela2[[#This Row],[Coluna10]])</f>
        <v>600</v>
      </c>
      <c r="V893" s="2" t="str">
        <f>Tabela2[[#This Row],[Coluna4]]</f>
        <v>06/03/2026</v>
      </c>
      <c r="W893" s="2" t="str">
        <f>Tabela2[[#This Row],[Coluna6]]</f>
        <v>24/11/2025</v>
      </c>
    </row>
    <row r="894" spans="2:23" x14ac:dyDescent="0.2">
      <c r="B894" t="s">
        <v>71</v>
      </c>
      <c r="C894" t="s">
        <v>95</v>
      </c>
      <c r="D894" t="s">
        <v>19</v>
      </c>
      <c r="E894" s="8" t="s">
        <v>365</v>
      </c>
      <c r="F894" t="s">
        <v>15</v>
      </c>
      <c r="G894" s="8" t="s">
        <v>62</v>
      </c>
      <c r="H894" t="s">
        <v>98</v>
      </c>
      <c r="I894" t="e">
        <f>VLOOKUP(Tabela2[[#This Row],[Coluna7]],[1]!Tabela1[#All],2,0)</f>
        <v>#REF!</v>
      </c>
      <c r="J894" t="s">
        <v>366</v>
      </c>
      <c r="K894">
        <v>600</v>
      </c>
      <c r="N894" t="s">
        <v>136</v>
      </c>
      <c r="Q894" s="10" t="str">
        <f>Tabela2[[#This Row],[Coluna5]]</f>
        <v>10/2025</v>
      </c>
      <c r="R894" s="10" t="str">
        <f>IF(Tabela2[[#This Row],[Coluna9]]&gt;0,"Entrada","Saída")</f>
        <v>Entrada</v>
      </c>
      <c r="S894" s="10" t="str">
        <f>Tabela2[[#This Row],[Coluna8]]</f>
        <v>7/13</v>
      </c>
      <c r="T894" s="10" t="e">
        <f>Tabela2[[#This Row],[Coluna72]]</f>
        <v>#REF!</v>
      </c>
      <c r="U894" s="10">
        <f>SUM(Tabela2[[#This Row],[Coluna9]],Tabela2[[#This Row],[Coluna10]])</f>
        <v>600</v>
      </c>
      <c r="V894" s="2" t="str">
        <f>Tabela2[[#This Row],[Coluna4]]</f>
        <v>06/04/2026</v>
      </c>
      <c r="W894" s="2" t="str">
        <f>Tabela2[[#This Row],[Coluna6]]</f>
        <v>24/11/2025</v>
      </c>
    </row>
    <row r="895" spans="2:23" x14ac:dyDescent="0.2">
      <c r="B895" t="s">
        <v>71</v>
      </c>
      <c r="C895" t="s">
        <v>95</v>
      </c>
      <c r="D895" t="s">
        <v>19</v>
      </c>
      <c r="E895" s="8" t="s">
        <v>367</v>
      </c>
      <c r="F895" t="s">
        <v>15</v>
      </c>
      <c r="G895" s="8" t="s">
        <v>62</v>
      </c>
      <c r="H895" t="s">
        <v>98</v>
      </c>
      <c r="I895" t="e">
        <f>VLOOKUP(Tabela2[[#This Row],[Coluna7]],[1]!Tabela1[#All],2,0)</f>
        <v>#REF!</v>
      </c>
      <c r="J895" t="s">
        <v>368</v>
      </c>
      <c r="K895">
        <v>600</v>
      </c>
      <c r="N895" t="s">
        <v>136</v>
      </c>
      <c r="Q895" s="10" t="str">
        <f>Tabela2[[#This Row],[Coluna5]]</f>
        <v>10/2025</v>
      </c>
      <c r="R895" s="10" t="str">
        <f>IF(Tabela2[[#This Row],[Coluna9]]&gt;0,"Entrada","Saída")</f>
        <v>Entrada</v>
      </c>
      <c r="S895" s="10" t="str">
        <f>Tabela2[[#This Row],[Coluna8]]</f>
        <v>8/13</v>
      </c>
      <c r="T895" s="10" t="e">
        <f>Tabela2[[#This Row],[Coluna72]]</f>
        <v>#REF!</v>
      </c>
      <c r="U895" s="10">
        <f>SUM(Tabela2[[#This Row],[Coluna9]],Tabela2[[#This Row],[Coluna10]])</f>
        <v>600</v>
      </c>
      <c r="V895" s="2" t="str">
        <f>Tabela2[[#This Row],[Coluna4]]</f>
        <v>06/05/2026</v>
      </c>
      <c r="W895" s="2" t="str">
        <f>Tabela2[[#This Row],[Coluna6]]</f>
        <v>24/11/2025</v>
      </c>
    </row>
    <row r="896" spans="2:23" x14ac:dyDescent="0.2">
      <c r="B896" t="s">
        <v>71</v>
      </c>
      <c r="C896" t="s">
        <v>95</v>
      </c>
      <c r="D896" t="s">
        <v>19</v>
      </c>
      <c r="E896" s="8" t="s">
        <v>369</v>
      </c>
      <c r="F896" t="s">
        <v>15</v>
      </c>
      <c r="G896" s="8" t="s">
        <v>62</v>
      </c>
      <c r="H896" t="s">
        <v>98</v>
      </c>
      <c r="I896" t="e">
        <f>VLOOKUP(Tabela2[[#This Row],[Coluna7]],[1]!Tabela1[#All],2,0)</f>
        <v>#REF!</v>
      </c>
      <c r="J896" t="s">
        <v>370</v>
      </c>
      <c r="K896">
        <v>600</v>
      </c>
      <c r="N896" t="s">
        <v>136</v>
      </c>
      <c r="Q896" s="10" t="str">
        <f>Tabela2[[#This Row],[Coluna5]]</f>
        <v>10/2025</v>
      </c>
      <c r="R896" s="10" t="str">
        <f>IF(Tabela2[[#This Row],[Coluna9]]&gt;0,"Entrada","Saída")</f>
        <v>Entrada</v>
      </c>
      <c r="S896" s="10" t="str">
        <f>Tabela2[[#This Row],[Coluna8]]</f>
        <v>9/13</v>
      </c>
      <c r="T896" s="10" t="e">
        <f>Tabela2[[#This Row],[Coluna72]]</f>
        <v>#REF!</v>
      </c>
      <c r="U896" s="10">
        <f>SUM(Tabela2[[#This Row],[Coluna9]],Tabela2[[#This Row],[Coluna10]])</f>
        <v>600</v>
      </c>
      <c r="V896" s="2" t="str">
        <f>Tabela2[[#This Row],[Coluna4]]</f>
        <v>06/06/2026</v>
      </c>
      <c r="W896" s="2" t="str">
        <f>Tabela2[[#This Row],[Coluna6]]</f>
        <v>24/11/2025</v>
      </c>
    </row>
    <row r="897" spans="2:23" x14ac:dyDescent="0.2">
      <c r="B897" t="s">
        <v>71</v>
      </c>
      <c r="C897" t="s">
        <v>95</v>
      </c>
      <c r="D897" t="s">
        <v>19</v>
      </c>
      <c r="E897" s="8" t="s">
        <v>371</v>
      </c>
      <c r="F897" t="s">
        <v>15</v>
      </c>
      <c r="G897" s="8" t="s">
        <v>62</v>
      </c>
      <c r="H897" t="s">
        <v>98</v>
      </c>
      <c r="I897" t="e">
        <f>VLOOKUP(Tabela2[[#This Row],[Coluna7]],[1]!Tabela1[#All],2,0)</f>
        <v>#REF!</v>
      </c>
      <c r="J897" t="s">
        <v>372</v>
      </c>
      <c r="K897">
        <v>600</v>
      </c>
      <c r="N897" t="s">
        <v>136</v>
      </c>
      <c r="Q897" s="10" t="str">
        <f>Tabela2[[#This Row],[Coluna5]]</f>
        <v>10/2025</v>
      </c>
      <c r="R897" s="10" t="str">
        <f>IF(Tabela2[[#This Row],[Coluna9]]&gt;0,"Entrada","Saída")</f>
        <v>Entrada</v>
      </c>
      <c r="S897" s="10" t="str">
        <f>Tabela2[[#This Row],[Coluna8]]</f>
        <v>10/13</v>
      </c>
      <c r="T897" s="10" t="e">
        <f>Tabela2[[#This Row],[Coluna72]]</f>
        <v>#REF!</v>
      </c>
      <c r="U897" s="10">
        <f>SUM(Tabela2[[#This Row],[Coluna9]],Tabela2[[#This Row],[Coluna10]])</f>
        <v>600</v>
      </c>
      <c r="V897" s="2" t="str">
        <f>Tabela2[[#This Row],[Coluna4]]</f>
        <v>06/07/2026</v>
      </c>
      <c r="W897" s="2" t="str">
        <f>Tabela2[[#This Row],[Coluna6]]</f>
        <v>24/11/2025</v>
      </c>
    </row>
    <row r="898" spans="2:23" x14ac:dyDescent="0.2">
      <c r="B898" t="s">
        <v>71</v>
      </c>
      <c r="C898" t="s">
        <v>95</v>
      </c>
      <c r="D898" t="s">
        <v>19</v>
      </c>
      <c r="E898" s="8" t="s">
        <v>373</v>
      </c>
      <c r="F898" t="s">
        <v>15</v>
      </c>
      <c r="G898" s="8" t="s">
        <v>62</v>
      </c>
      <c r="H898" t="s">
        <v>98</v>
      </c>
      <c r="I898" t="e">
        <f>VLOOKUP(Tabela2[[#This Row],[Coluna7]],[1]!Tabela1[#All],2,0)</f>
        <v>#REF!</v>
      </c>
      <c r="J898" t="s">
        <v>374</v>
      </c>
      <c r="K898">
        <v>600</v>
      </c>
      <c r="N898" t="s">
        <v>136</v>
      </c>
      <c r="Q898" s="10" t="str">
        <f>Tabela2[[#This Row],[Coluna5]]</f>
        <v>10/2025</v>
      </c>
      <c r="R898" s="10" t="str">
        <f>IF(Tabela2[[#This Row],[Coluna9]]&gt;0,"Entrada","Saída")</f>
        <v>Entrada</v>
      </c>
      <c r="S898" s="10" t="str">
        <f>Tabela2[[#This Row],[Coluna8]]</f>
        <v>11/13</v>
      </c>
      <c r="T898" s="10" t="e">
        <f>Tabela2[[#This Row],[Coluna72]]</f>
        <v>#REF!</v>
      </c>
      <c r="U898" s="10">
        <f>SUM(Tabela2[[#This Row],[Coluna9]],Tabela2[[#This Row],[Coluna10]])</f>
        <v>600</v>
      </c>
      <c r="V898" s="2" t="str">
        <f>Tabela2[[#This Row],[Coluna4]]</f>
        <v>06/08/2026</v>
      </c>
      <c r="W898" s="2" t="str">
        <f>Tabela2[[#This Row],[Coluna6]]</f>
        <v>24/11/2025</v>
      </c>
    </row>
    <row r="899" spans="2:23" x14ac:dyDescent="0.2">
      <c r="B899" t="s">
        <v>71</v>
      </c>
      <c r="C899" t="s">
        <v>95</v>
      </c>
      <c r="D899" t="s">
        <v>19</v>
      </c>
      <c r="E899" s="8" t="s">
        <v>375</v>
      </c>
      <c r="F899" t="s">
        <v>15</v>
      </c>
      <c r="G899" s="8" t="s">
        <v>62</v>
      </c>
      <c r="H899" t="s">
        <v>98</v>
      </c>
      <c r="I899" t="e">
        <f>VLOOKUP(Tabela2[[#This Row],[Coluna7]],[1]!Tabela1[#All],2,0)</f>
        <v>#REF!</v>
      </c>
      <c r="J899" t="s">
        <v>376</v>
      </c>
      <c r="K899">
        <v>600</v>
      </c>
      <c r="N899" t="s">
        <v>136</v>
      </c>
      <c r="Q899" s="10" t="str">
        <f>Tabela2[[#This Row],[Coluna5]]</f>
        <v>10/2025</v>
      </c>
      <c r="R899" s="10" t="str">
        <f>IF(Tabela2[[#This Row],[Coluna9]]&gt;0,"Entrada","Saída")</f>
        <v>Entrada</v>
      </c>
      <c r="S899" s="10" t="str">
        <f>Tabela2[[#This Row],[Coluna8]]</f>
        <v>12/13</v>
      </c>
      <c r="T899" s="10" t="e">
        <f>Tabela2[[#This Row],[Coluna72]]</f>
        <v>#REF!</v>
      </c>
      <c r="U899" s="10">
        <f>SUM(Tabela2[[#This Row],[Coluna9]],Tabela2[[#This Row],[Coluna10]])</f>
        <v>600</v>
      </c>
      <c r="V899" s="2" t="str">
        <f>Tabela2[[#This Row],[Coluna4]]</f>
        <v>06/09/2026</v>
      </c>
      <c r="W899" s="2" t="str">
        <f>Tabela2[[#This Row],[Coluna6]]</f>
        <v>24/11/2025</v>
      </c>
    </row>
    <row r="900" spans="2:23" x14ac:dyDescent="0.2">
      <c r="B900" t="s">
        <v>71</v>
      </c>
      <c r="C900" t="s">
        <v>95</v>
      </c>
      <c r="D900" t="s">
        <v>19</v>
      </c>
      <c r="E900" s="8" t="s">
        <v>377</v>
      </c>
      <c r="F900" t="s">
        <v>15</v>
      </c>
      <c r="G900" s="8" t="s">
        <v>62</v>
      </c>
      <c r="H900" t="s">
        <v>98</v>
      </c>
      <c r="I900" t="e">
        <f>VLOOKUP(Tabela2[[#This Row],[Coluna7]],[1]!Tabela1[#All],2,0)</f>
        <v>#REF!</v>
      </c>
      <c r="J900" t="s">
        <v>378</v>
      </c>
      <c r="K900">
        <v>600</v>
      </c>
      <c r="N900" t="s">
        <v>136</v>
      </c>
      <c r="Q900" s="10" t="str">
        <f>Tabela2[[#This Row],[Coluna5]]</f>
        <v>10/2025</v>
      </c>
      <c r="R900" s="10" t="str">
        <f>IF(Tabela2[[#This Row],[Coluna9]]&gt;0,"Entrada","Saída")</f>
        <v>Entrada</v>
      </c>
      <c r="S900" s="10" t="str">
        <f>Tabela2[[#This Row],[Coluna8]]</f>
        <v>13/13</v>
      </c>
      <c r="T900" s="10" t="e">
        <f>Tabela2[[#This Row],[Coluna72]]</f>
        <v>#REF!</v>
      </c>
      <c r="U900" s="10">
        <f>SUM(Tabela2[[#This Row],[Coluna9]],Tabela2[[#This Row],[Coluna10]])</f>
        <v>600</v>
      </c>
      <c r="V900" s="2" t="str">
        <f>Tabela2[[#This Row],[Coluna4]]</f>
        <v>06/10/2026</v>
      </c>
      <c r="W900" s="2" t="str">
        <f>Tabela2[[#This Row],[Coluna6]]</f>
        <v>24/11/2025</v>
      </c>
    </row>
    <row r="901" spans="2:23" x14ac:dyDescent="0.2">
      <c r="B901" t="s">
        <v>58</v>
      </c>
      <c r="C901" t="s">
        <v>95</v>
      </c>
      <c r="D901" t="s">
        <v>13</v>
      </c>
      <c r="E901" s="8" t="s">
        <v>14</v>
      </c>
      <c r="F901" t="s">
        <v>15</v>
      </c>
      <c r="G901" s="8" t="s">
        <v>14</v>
      </c>
      <c r="H901" t="s">
        <v>379</v>
      </c>
      <c r="I901" t="e">
        <f>VLOOKUP(Tabela2[[#This Row],[Coluna7]],[1]!Tabela1[#All],2,0)</f>
        <v>#REF!</v>
      </c>
      <c r="J901" t="s">
        <v>380</v>
      </c>
      <c r="L901">
        <v>5720</v>
      </c>
      <c r="Q901" s="10" t="str">
        <f>Tabela2[[#This Row],[Coluna5]]</f>
        <v>10/2025</v>
      </c>
      <c r="R901" s="10" t="str">
        <f>IF(Tabela2[[#This Row],[Coluna9]]&gt;0,"Entrada","Saída")</f>
        <v>Saída</v>
      </c>
      <c r="S901" s="10" t="str">
        <f>Tabela2[[#This Row],[Coluna8]]</f>
        <v>THIAGO URQUIZA - ( LANÇADO AQUI MAS FOI PAGO DIA 24/09/25)</v>
      </c>
      <c r="T901" s="10" t="e">
        <f>Tabela2[[#This Row],[Coluna72]]</f>
        <v>#REF!</v>
      </c>
      <c r="U901" s="10">
        <f>SUM(Tabela2[[#This Row],[Coluna9]],Tabela2[[#This Row],[Coluna10]])</f>
        <v>5720</v>
      </c>
      <c r="V901" s="2" t="str">
        <f>Tabela2[[#This Row],[Coluna4]]</f>
        <v>01/10/2025</v>
      </c>
      <c r="W901" s="2" t="str">
        <f>Tabela2[[#This Row],[Coluna6]]</f>
        <v>01/10/2025</v>
      </c>
    </row>
    <row r="902" spans="2:23" x14ac:dyDescent="0.2">
      <c r="B902" t="s">
        <v>18</v>
      </c>
      <c r="C902" t="s">
        <v>95</v>
      </c>
      <c r="D902" t="s">
        <v>13</v>
      </c>
      <c r="E902" s="8" t="s">
        <v>114</v>
      </c>
      <c r="F902" t="s">
        <v>15</v>
      </c>
      <c r="G902" s="8" t="s">
        <v>114</v>
      </c>
      <c r="H902" t="s">
        <v>379</v>
      </c>
      <c r="I902" t="e">
        <f>VLOOKUP(Tabela2[[#This Row],[Coluna7]],[1]!Tabela1[#All],2,0)</f>
        <v>#REF!</v>
      </c>
      <c r="J902" t="s">
        <v>381</v>
      </c>
      <c r="L902">
        <v>702</v>
      </c>
      <c r="Q902" s="10" t="str">
        <f>Tabela2[[#This Row],[Coluna5]]</f>
        <v>10/2025</v>
      </c>
      <c r="R902" s="10" t="str">
        <f>IF(Tabela2[[#This Row],[Coluna9]]&gt;0,"Entrada","Saída")</f>
        <v>Saída</v>
      </c>
      <c r="S902" s="10" t="str">
        <f>Tabela2[[#This Row],[Coluna8]]</f>
        <v>ALISSON DA SILVA SANTOS</v>
      </c>
      <c r="T902" s="10" t="e">
        <f>Tabela2[[#This Row],[Coluna72]]</f>
        <v>#REF!</v>
      </c>
      <c r="U902" s="10">
        <f>SUM(Tabela2[[#This Row],[Coluna9]],Tabela2[[#This Row],[Coluna10]])</f>
        <v>702</v>
      </c>
      <c r="V902" s="2" t="str">
        <f>Tabela2[[#This Row],[Coluna4]]</f>
        <v>02/10/2025</v>
      </c>
      <c r="W902" s="2" t="str">
        <f>Tabela2[[#This Row],[Coluna6]]</f>
        <v>02/10/2025</v>
      </c>
    </row>
    <row r="903" spans="2:23" x14ac:dyDescent="0.2">
      <c r="B903" t="s">
        <v>18</v>
      </c>
      <c r="C903" t="s">
        <v>95</v>
      </c>
      <c r="D903" t="s">
        <v>13</v>
      </c>
      <c r="E903" s="8" t="s">
        <v>114</v>
      </c>
      <c r="F903" t="s">
        <v>15</v>
      </c>
      <c r="G903" s="8" t="s">
        <v>114</v>
      </c>
      <c r="H903" t="s">
        <v>379</v>
      </c>
      <c r="I903" t="e">
        <f>VLOOKUP(Tabela2[[#This Row],[Coluna7]],[1]!Tabela1[#All],2,0)</f>
        <v>#REF!</v>
      </c>
      <c r="J903" t="s">
        <v>382</v>
      </c>
      <c r="L903">
        <v>2310</v>
      </c>
      <c r="Q903" s="10" t="str">
        <f>Tabela2[[#This Row],[Coluna5]]</f>
        <v>10/2025</v>
      </c>
      <c r="R903" s="10" t="str">
        <f>IF(Tabela2[[#This Row],[Coluna9]]&gt;0,"Entrada","Saída")</f>
        <v>Saída</v>
      </c>
      <c r="S903" s="10" t="str">
        <f>Tabela2[[#This Row],[Coluna8]]</f>
        <v>CARLA DE FREITAS SOUSA</v>
      </c>
      <c r="T903" s="10" t="e">
        <f>Tabela2[[#This Row],[Coluna72]]</f>
        <v>#REF!</v>
      </c>
      <c r="U903" s="10">
        <f>SUM(Tabela2[[#This Row],[Coluna9]],Tabela2[[#This Row],[Coluna10]])</f>
        <v>2310</v>
      </c>
      <c r="V903" s="2" t="str">
        <f>Tabela2[[#This Row],[Coluna4]]</f>
        <v>02/10/2025</v>
      </c>
      <c r="W903" s="2" t="str">
        <f>Tabela2[[#This Row],[Coluna6]]</f>
        <v>02/10/2025</v>
      </c>
    </row>
    <row r="904" spans="2:23" x14ac:dyDescent="0.2">
      <c r="B904" t="s">
        <v>18</v>
      </c>
      <c r="C904" t="s">
        <v>95</v>
      </c>
      <c r="D904" t="s">
        <v>13</v>
      </c>
      <c r="E904" s="8" t="s">
        <v>114</v>
      </c>
      <c r="F904" t="s">
        <v>15</v>
      </c>
      <c r="G904" s="8" t="s">
        <v>114</v>
      </c>
      <c r="H904" t="s">
        <v>379</v>
      </c>
      <c r="I904" t="e">
        <f>VLOOKUP(Tabela2[[#This Row],[Coluna7]],[1]!Tabela1[#All],2,0)</f>
        <v>#REF!</v>
      </c>
      <c r="J904" t="s">
        <v>383</v>
      </c>
      <c r="L904">
        <v>402.1</v>
      </c>
      <c r="Q904" s="10" t="str">
        <f>Tabela2[[#This Row],[Coluna5]]</f>
        <v>10/2025</v>
      </c>
      <c r="R904" s="10" t="str">
        <f>IF(Tabela2[[#This Row],[Coluna9]]&gt;0,"Entrada","Saída")</f>
        <v>Saída</v>
      </c>
      <c r="S904" s="10" t="str">
        <f>Tabela2[[#This Row],[Coluna8]]</f>
        <v>JOÃO VICTOR - ( RECEBEU VALE TRANSPORTE DIA 30/09: R$ 145,60 )</v>
      </c>
      <c r="T904" s="10" t="e">
        <f>Tabela2[[#This Row],[Coluna72]]</f>
        <v>#REF!</v>
      </c>
      <c r="U904" s="10">
        <f>SUM(Tabela2[[#This Row],[Coluna9]],Tabela2[[#This Row],[Coluna10]])</f>
        <v>402.1</v>
      </c>
      <c r="V904" s="2" t="str">
        <f>Tabela2[[#This Row],[Coluna4]]</f>
        <v>02/10/2025</v>
      </c>
      <c r="W904" s="2" t="str">
        <f>Tabela2[[#This Row],[Coluna6]]</f>
        <v>02/10/2025</v>
      </c>
    </row>
    <row r="905" spans="2:23" x14ac:dyDescent="0.2">
      <c r="B905" t="s">
        <v>18</v>
      </c>
      <c r="C905" t="s">
        <v>95</v>
      </c>
      <c r="D905" t="s">
        <v>13</v>
      </c>
      <c r="E905" s="8" t="s">
        <v>114</v>
      </c>
      <c r="F905" t="s">
        <v>15</v>
      </c>
      <c r="G905" s="8" t="s">
        <v>114</v>
      </c>
      <c r="H905" t="s">
        <v>379</v>
      </c>
      <c r="I905" t="e">
        <f>VLOOKUP(Tabela2[[#This Row],[Coluna7]],[1]!Tabela1[#All],2,0)</f>
        <v>#REF!</v>
      </c>
      <c r="J905" t="s">
        <v>384</v>
      </c>
      <c r="L905">
        <v>1750</v>
      </c>
      <c r="Q905" s="10" t="str">
        <f>Tabela2[[#This Row],[Coluna5]]</f>
        <v>10/2025</v>
      </c>
      <c r="R905" s="10" t="str">
        <f>IF(Tabela2[[#This Row],[Coluna9]]&gt;0,"Entrada","Saída")</f>
        <v>Saída</v>
      </c>
      <c r="S905" s="10" t="str">
        <f>Tabela2[[#This Row],[Coluna8]]</f>
        <v>EDIMAR PINHEIRO</v>
      </c>
      <c r="T905" s="10" t="e">
        <f>Tabela2[[#This Row],[Coluna72]]</f>
        <v>#REF!</v>
      </c>
      <c r="U905" s="10">
        <f>SUM(Tabela2[[#This Row],[Coluna9]],Tabela2[[#This Row],[Coluna10]])</f>
        <v>1750</v>
      </c>
      <c r="V905" s="2" t="str">
        <f>Tabela2[[#This Row],[Coluna4]]</f>
        <v>02/10/2025</v>
      </c>
      <c r="W905" s="2" t="str">
        <f>Tabela2[[#This Row],[Coluna6]]</f>
        <v>02/10/2025</v>
      </c>
    </row>
    <row r="906" spans="2:23" x14ac:dyDescent="0.2">
      <c r="B906" t="s">
        <v>58</v>
      </c>
      <c r="C906" t="s">
        <v>95</v>
      </c>
      <c r="D906" t="s">
        <v>13</v>
      </c>
      <c r="E906" s="8" t="s">
        <v>114</v>
      </c>
      <c r="F906" t="s">
        <v>15</v>
      </c>
      <c r="G906" s="8" t="s">
        <v>114</v>
      </c>
      <c r="H906" t="s">
        <v>379</v>
      </c>
      <c r="I906" t="e">
        <f>VLOOKUP(Tabela2[[#This Row],[Coluna7]],[1]!Tabela1[#All],2,0)</f>
        <v>#REF!</v>
      </c>
      <c r="J906" t="s">
        <v>385</v>
      </c>
      <c r="L906">
        <v>1600</v>
      </c>
      <c r="Q906" s="10" t="str">
        <f>Tabela2[[#This Row],[Coluna5]]</f>
        <v>10/2025</v>
      </c>
      <c r="R906" s="10" t="str">
        <f>IF(Tabela2[[#This Row],[Coluna9]]&gt;0,"Entrada","Saída")</f>
        <v>Saída</v>
      </c>
      <c r="S906" s="10" t="str">
        <f>Tabela2[[#This Row],[Coluna8]]</f>
        <v>CARINA ROLIM - ( RECEBEU ADIANT. DE R$ 500,00 E PARTICIPAÇÃO DE R$ 500,00 DIA 30/09 )</v>
      </c>
      <c r="T906" s="10" t="e">
        <f>Tabela2[[#This Row],[Coluna72]]</f>
        <v>#REF!</v>
      </c>
      <c r="U906" s="10">
        <f>SUM(Tabela2[[#This Row],[Coluna9]],Tabela2[[#This Row],[Coluna10]])</f>
        <v>1600</v>
      </c>
      <c r="V906" s="2" t="str">
        <f>Tabela2[[#This Row],[Coluna4]]</f>
        <v>02/10/2025</v>
      </c>
      <c r="W906" s="2" t="str">
        <f>Tabela2[[#This Row],[Coluna6]]</f>
        <v>02/10/2025</v>
      </c>
    </row>
    <row r="907" spans="2:23" x14ac:dyDescent="0.2">
      <c r="B907" t="s">
        <v>71</v>
      </c>
      <c r="C907" t="s">
        <v>95</v>
      </c>
      <c r="D907" t="s">
        <v>13</v>
      </c>
      <c r="E907" s="8" t="s">
        <v>114</v>
      </c>
      <c r="F907" t="s">
        <v>15</v>
      </c>
      <c r="G907" s="8" t="s">
        <v>114</v>
      </c>
      <c r="H907" t="s">
        <v>379</v>
      </c>
      <c r="I907" t="e">
        <f>VLOOKUP(Tabela2[[#This Row],[Coluna7]],[1]!Tabela1[#All],2,0)</f>
        <v>#REF!</v>
      </c>
      <c r="J907" t="s">
        <v>386</v>
      </c>
      <c r="L907">
        <v>2093</v>
      </c>
      <c r="Q907" s="10" t="str">
        <f>Tabela2[[#This Row],[Coluna5]]</f>
        <v>10/2025</v>
      </c>
      <c r="R907" s="10" t="str">
        <f>IF(Tabela2[[#This Row],[Coluna9]]&gt;0,"Entrada","Saída")</f>
        <v>Saída</v>
      </c>
      <c r="S907" s="10" t="str">
        <f>Tabela2[[#This Row],[Coluna8]]</f>
        <v>THAMIRIS SERPA</v>
      </c>
      <c r="T907" s="10" t="e">
        <f>Tabela2[[#This Row],[Coluna72]]</f>
        <v>#REF!</v>
      </c>
      <c r="U907" s="10">
        <f>SUM(Tabela2[[#This Row],[Coluna9]],Tabela2[[#This Row],[Coluna10]])</f>
        <v>2093</v>
      </c>
      <c r="V907" s="2" t="str">
        <f>Tabela2[[#This Row],[Coluna4]]</f>
        <v>02/10/2025</v>
      </c>
      <c r="W907" s="2" t="str">
        <f>Tabela2[[#This Row],[Coluna6]]</f>
        <v>02/10/2025</v>
      </c>
    </row>
    <row r="908" spans="2:23" x14ac:dyDescent="0.2">
      <c r="B908" t="s">
        <v>71</v>
      </c>
      <c r="C908" t="s">
        <v>95</v>
      </c>
      <c r="D908" t="s">
        <v>13</v>
      </c>
      <c r="E908" s="8" t="s">
        <v>114</v>
      </c>
      <c r="F908" t="s">
        <v>15</v>
      </c>
      <c r="G908" s="8" t="s">
        <v>114</v>
      </c>
      <c r="H908" t="s">
        <v>379</v>
      </c>
      <c r="I908" t="e">
        <f>VLOOKUP(Tabela2[[#This Row],[Coluna7]],[1]!Tabela1[#All],2,0)</f>
        <v>#REF!</v>
      </c>
      <c r="J908" t="s">
        <v>387</v>
      </c>
      <c r="L908">
        <v>1552.5</v>
      </c>
      <c r="Q908" s="10" t="str">
        <f>Tabela2[[#This Row],[Coluna5]]</f>
        <v>10/2025</v>
      </c>
      <c r="R908" s="10" t="str">
        <f>IF(Tabela2[[#This Row],[Coluna9]]&gt;0,"Entrada","Saída")</f>
        <v>Saída</v>
      </c>
      <c r="S908" s="10" t="str">
        <f>Tabela2[[#This Row],[Coluna8]]</f>
        <v>ANA BEATRIZ</v>
      </c>
      <c r="T908" s="10" t="e">
        <f>Tabela2[[#This Row],[Coluna72]]</f>
        <v>#REF!</v>
      </c>
      <c r="U908" s="10">
        <f>SUM(Tabela2[[#This Row],[Coluna9]],Tabela2[[#This Row],[Coluna10]])</f>
        <v>1552.5</v>
      </c>
      <c r="V908" s="2" t="str">
        <f>Tabela2[[#This Row],[Coluna4]]</f>
        <v>02/10/2025</v>
      </c>
      <c r="W908" s="2" t="str">
        <f>Tabela2[[#This Row],[Coluna6]]</f>
        <v>02/10/2025</v>
      </c>
    </row>
    <row r="909" spans="2:23" x14ac:dyDescent="0.2">
      <c r="B909" t="s">
        <v>71</v>
      </c>
      <c r="C909" t="s">
        <v>95</v>
      </c>
      <c r="D909" t="s">
        <v>13</v>
      </c>
      <c r="E909" s="8" t="s">
        <v>114</v>
      </c>
      <c r="F909" t="s">
        <v>15</v>
      </c>
      <c r="G909" s="8" t="s">
        <v>114</v>
      </c>
      <c r="H909" t="s">
        <v>379</v>
      </c>
      <c r="I909" t="e">
        <f>VLOOKUP(Tabela2[[#This Row],[Coluna7]],[1]!Tabela1[#All],2,0)</f>
        <v>#REF!</v>
      </c>
      <c r="J909" t="s">
        <v>388</v>
      </c>
      <c r="L909">
        <v>1825</v>
      </c>
      <c r="Q909" s="10" t="str">
        <f>Tabela2[[#This Row],[Coluna5]]</f>
        <v>10/2025</v>
      </c>
      <c r="R909" s="10" t="str">
        <f>IF(Tabela2[[#This Row],[Coluna9]]&gt;0,"Entrada","Saída")</f>
        <v>Saída</v>
      </c>
      <c r="S909" s="10" t="str">
        <f>Tabela2[[#This Row],[Coluna8]]</f>
        <v>VICTOR LUIS</v>
      </c>
      <c r="T909" s="10" t="e">
        <f>Tabela2[[#This Row],[Coluna72]]</f>
        <v>#REF!</v>
      </c>
      <c r="U909" s="10">
        <f>SUM(Tabela2[[#This Row],[Coluna9]],Tabela2[[#This Row],[Coluna10]])</f>
        <v>1825</v>
      </c>
      <c r="V909" s="2" t="str">
        <f>Tabela2[[#This Row],[Coluna4]]</f>
        <v>02/10/2025</v>
      </c>
      <c r="W909" s="2" t="str">
        <f>Tabela2[[#This Row],[Coluna6]]</f>
        <v>02/10/2025</v>
      </c>
    </row>
    <row r="910" spans="2:23" x14ac:dyDescent="0.2">
      <c r="B910" t="s">
        <v>71</v>
      </c>
      <c r="C910" t="s">
        <v>95</v>
      </c>
      <c r="D910" t="s">
        <v>13</v>
      </c>
      <c r="E910" s="8" t="s">
        <v>114</v>
      </c>
      <c r="F910" t="s">
        <v>15</v>
      </c>
      <c r="G910" s="8" t="s">
        <v>114</v>
      </c>
      <c r="H910" t="s">
        <v>379</v>
      </c>
      <c r="I910" t="e">
        <f>VLOOKUP(Tabela2[[#This Row],[Coluna7]],[1]!Tabela1[#All],2,0)</f>
        <v>#REF!</v>
      </c>
      <c r="J910" t="s">
        <v>389</v>
      </c>
      <c r="L910">
        <v>1260</v>
      </c>
      <c r="Q910" s="10" t="str">
        <f>Tabela2[[#This Row],[Coluna5]]</f>
        <v>10/2025</v>
      </c>
      <c r="R910" s="10" t="str">
        <f>IF(Tabela2[[#This Row],[Coluna9]]&gt;0,"Entrada","Saída")</f>
        <v>Saída</v>
      </c>
      <c r="S910" s="10" t="str">
        <f>Tabela2[[#This Row],[Coluna8]]</f>
        <v>PATRICIA KARLA</v>
      </c>
      <c r="T910" s="10" t="e">
        <f>Tabela2[[#This Row],[Coluna72]]</f>
        <v>#REF!</v>
      </c>
      <c r="U910" s="10">
        <f>SUM(Tabela2[[#This Row],[Coluna9]],Tabela2[[#This Row],[Coluna10]])</f>
        <v>1260</v>
      </c>
      <c r="V910" s="2" t="str">
        <f>Tabela2[[#This Row],[Coluna4]]</f>
        <v>02/10/2025</v>
      </c>
      <c r="W910" s="2" t="str">
        <f>Tabela2[[#This Row],[Coluna6]]</f>
        <v>02/10/2025</v>
      </c>
    </row>
    <row r="911" spans="2:23" x14ac:dyDescent="0.2">
      <c r="B911" t="s">
        <v>71</v>
      </c>
      <c r="C911" t="s">
        <v>95</v>
      </c>
      <c r="D911" t="s">
        <v>13</v>
      </c>
      <c r="E911" s="8" t="s">
        <v>114</v>
      </c>
      <c r="F911" t="s">
        <v>15</v>
      </c>
      <c r="G911" s="8" t="s">
        <v>114</v>
      </c>
      <c r="H911" t="s">
        <v>379</v>
      </c>
      <c r="I911" t="e">
        <f>VLOOKUP(Tabela2[[#This Row],[Coluna7]],[1]!Tabela1[#All],2,0)</f>
        <v>#REF!</v>
      </c>
      <c r="J911" t="s">
        <v>388</v>
      </c>
      <c r="L911">
        <v>1825</v>
      </c>
      <c r="Q911" s="10" t="str">
        <f>Tabela2[[#This Row],[Coluna5]]</f>
        <v>10/2025</v>
      </c>
      <c r="R911" s="10" t="str">
        <f>IF(Tabela2[[#This Row],[Coluna9]]&gt;0,"Entrada","Saída")</f>
        <v>Saída</v>
      </c>
      <c r="S911" s="10" t="str">
        <f>Tabela2[[#This Row],[Coluna8]]</f>
        <v>VICTOR LUIS</v>
      </c>
      <c r="T911" s="10" t="e">
        <f>Tabela2[[#This Row],[Coluna72]]</f>
        <v>#REF!</v>
      </c>
      <c r="U911" s="10">
        <f>SUM(Tabela2[[#This Row],[Coluna9]],Tabela2[[#This Row],[Coluna10]])</f>
        <v>1825</v>
      </c>
      <c r="V911" s="2" t="str">
        <f>Tabela2[[#This Row],[Coluna4]]</f>
        <v>02/10/2025</v>
      </c>
      <c r="W911" s="2" t="str">
        <f>Tabela2[[#This Row],[Coluna6]]</f>
        <v>02/10/2025</v>
      </c>
    </row>
    <row r="912" spans="2:23" x14ac:dyDescent="0.2">
      <c r="B912" t="s">
        <v>71</v>
      </c>
      <c r="C912" t="s">
        <v>95</v>
      </c>
      <c r="D912" t="s">
        <v>13</v>
      </c>
      <c r="E912" s="8" t="s">
        <v>114</v>
      </c>
      <c r="F912" t="s">
        <v>15</v>
      </c>
      <c r="G912" s="8" t="s">
        <v>114</v>
      </c>
      <c r="H912" t="s">
        <v>379</v>
      </c>
      <c r="I912" t="e">
        <f>VLOOKUP(Tabela2[[#This Row],[Coluna7]],[1]!Tabela1[#All],2,0)</f>
        <v>#REF!</v>
      </c>
      <c r="J912" t="s">
        <v>389</v>
      </c>
      <c r="L912">
        <v>1260</v>
      </c>
      <c r="Q912" s="10" t="str">
        <f>Tabela2[[#This Row],[Coluna5]]</f>
        <v>10/2025</v>
      </c>
      <c r="R912" s="10" t="str">
        <f>IF(Tabela2[[#This Row],[Coluna9]]&gt;0,"Entrada","Saída")</f>
        <v>Saída</v>
      </c>
      <c r="S912" s="10" t="str">
        <f>Tabela2[[#This Row],[Coluna8]]</f>
        <v>PATRICIA KARLA</v>
      </c>
      <c r="T912" s="10" t="e">
        <f>Tabela2[[#This Row],[Coluna72]]</f>
        <v>#REF!</v>
      </c>
      <c r="U912" s="10">
        <f>SUM(Tabela2[[#This Row],[Coluna9]],Tabela2[[#This Row],[Coluna10]])</f>
        <v>1260</v>
      </c>
      <c r="V912" s="2" t="str">
        <f>Tabela2[[#This Row],[Coluna4]]</f>
        <v>02/10/2025</v>
      </c>
      <c r="W912" s="2" t="str">
        <f>Tabela2[[#This Row],[Coluna6]]</f>
        <v>02/10/2025</v>
      </c>
    </row>
    <row r="913" spans="2:23" x14ac:dyDescent="0.2">
      <c r="B913" t="s">
        <v>18</v>
      </c>
      <c r="C913" t="s">
        <v>95</v>
      </c>
      <c r="D913" t="s">
        <v>13</v>
      </c>
      <c r="E913" s="8" t="s">
        <v>28</v>
      </c>
      <c r="F913" t="s">
        <v>15</v>
      </c>
      <c r="G913" s="8" t="s">
        <v>28</v>
      </c>
      <c r="H913" t="s">
        <v>379</v>
      </c>
      <c r="I913" t="e">
        <f>VLOOKUP(Tabela2[[#This Row],[Coluna7]],[1]!Tabela1[#All],2,0)</f>
        <v>#REF!</v>
      </c>
      <c r="J913" t="s">
        <v>390</v>
      </c>
      <c r="L913">
        <v>600</v>
      </c>
      <c r="Q913" s="10" t="str">
        <f>Tabela2[[#This Row],[Coluna5]]</f>
        <v>10/2025</v>
      </c>
      <c r="R913" s="10" t="str">
        <f>IF(Tabela2[[#This Row],[Coluna9]]&gt;0,"Entrada","Saída")</f>
        <v>Saída</v>
      </c>
      <c r="S913" s="10" t="str">
        <f>Tabela2[[#This Row],[Coluna8]]</f>
        <v>DIÁRIAS - LUZIMAR PEREIRA</v>
      </c>
      <c r="T913" s="10" t="e">
        <f>Tabela2[[#This Row],[Coluna72]]</f>
        <v>#REF!</v>
      </c>
      <c r="U913" s="10">
        <f>SUM(Tabela2[[#This Row],[Coluna9]],Tabela2[[#This Row],[Coluna10]])</f>
        <v>600</v>
      </c>
      <c r="V913" s="2" t="str">
        <f>Tabela2[[#This Row],[Coluna4]]</f>
        <v>15/10/2025</v>
      </c>
      <c r="W913" s="2" t="str">
        <f>Tabela2[[#This Row],[Coluna6]]</f>
        <v>15/10/2025</v>
      </c>
    </row>
    <row r="914" spans="2:23" x14ac:dyDescent="0.2">
      <c r="B914" t="s">
        <v>58</v>
      </c>
      <c r="C914" t="s">
        <v>95</v>
      </c>
      <c r="D914" t="s">
        <v>13</v>
      </c>
      <c r="E914" s="8" t="s">
        <v>391</v>
      </c>
      <c r="F914" t="s">
        <v>15</v>
      </c>
      <c r="G914" s="8" t="s">
        <v>391</v>
      </c>
      <c r="H914" t="s">
        <v>379</v>
      </c>
      <c r="I914" t="e">
        <f>VLOOKUP(Tabela2[[#This Row],[Coluna7]],[1]!Tabela1[#All],2,0)</f>
        <v>#REF!</v>
      </c>
      <c r="J914" t="s">
        <v>389</v>
      </c>
      <c r="L914">
        <v>3200</v>
      </c>
      <c r="Q914" s="10" t="str">
        <f>Tabela2[[#This Row],[Coluna5]]</f>
        <v>10/2025</v>
      </c>
      <c r="R914" s="10" t="str">
        <f>IF(Tabela2[[#This Row],[Coluna9]]&gt;0,"Entrada","Saída")</f>
        <v>Saída</v>
      </c>
      <c r="S914" s="10" t="str">
        <f>Tabela2[[#This Row],[Coluna8]]</f>
        <v>PATRICIA KARLA</v>
      </c>
      <c r="T914" s="10" t="e">
        <f>Tabela2[[#This Row],[Coluna72]]</f>
        <v>#REF!</v>
      </c>
      <c r="U914" s="10">
        <f>SUM(Tabela2[[#This Row],[Coluna9]],Tabela2[[#This Row],[Coluna10]])</f>
        <v>3200</v>
      </c>
      <c r="V914" s="2" t="str">
        <f>Tabela2[[#This Row],[Coluna4]]</f>
        <v>23/10/2025</v>
      </c>
      <c r="W914" s="2" t="str">
        <f>Tabela2[[#This Row],[Coluna6]]</f>
        <v>23/10/2025</v>
      </c>
    </row>
    <row r="915" spans="2:23" x14ac:dyDescent="0.2">
      <c r="B915" t="s">
        <v>18</v>
      </c>
      <c r="C915" t="s">
        <v>95</v>
      </c>
      <c r="D915" t="s">
        <v>13</v>
      </c>
      <c r="E915" s="8" t="s">
        <v>38</v>
      </c>
      <c r="F915" t="s">
        <v>15</v>
      </c>
      <c r="G915" s="8" t="s">
        <v>38</v>
      </c>
      <c r="H915" t="s">
        <v>379</v>
      </c>
      <c r="I915" t="e">
        <f>VLOOKUP(Tabela2[[#This Row],[Coluna7]],[1]!Tabela1[#All],2,0)</f>
        <v>#REF!</v>
      </c>
      <c r="J915" t="s">
        <v>392</v>
      </c>
      <c r="L915">
        <v>39</v>
      </c>
      <c r="Q915" s="10" t="str">
        <f>Tabela2[[#This Row],[Coluna5]]</f>
        <v>10/2025</v>
      </c>
      <c r="R915" s="10" t="str">
        <f>IF(Tabela2[[#This Row],[Coluna9]]&gt;0,"Entrada","Saída")</f>
        <v>Saída</v>
      </c>
      <c r="S915" s="10" t="str">
        <f>Tabela2[[#This Row],[Coluna8]]</f>
        <v>PATRICIA KARLA -  ADIANTAMENTO</v>
      </c>
      <c r="T915" s="10" t="e">
        <f>Tabela2[[#This Row],[Coluna72]]</f>
        <v>#REF!</v>
      </c>
      <c r="U915" s="10">
        <f>SUM(Tabela2[[#This Row],[Coluna9]],Tabela2[[#This Row],[Coluna10]])</f>
        <v>39</v>
      </c>
      <c r="V915" s="2" t="str">
        <f>Tabela2[[#This Row],[Coluna4]]</f>
        <v>27/10/2025</v>
      </c>
      <c r="W915" s="2" t="str">
        <f>Tabela2[[#This Row],[Coluna6]]</f>
        <v>27/10/2025</v>
      </c>
    </row>
    <row r="916" spans="2:23" x14ac:dyDescent="0.2">
      <c r="B916" t="s">
        <v>18</v>
      </c>
      <c r="C916" t="s">
        <v>95</v>
      </c>
      <c r="D916" t="s">
        <v>13</v>
      </c>
      <c r="E916" s="8" t="s">
        <v>52</v>
      </c>
      <c r="F916" t="s">
        <v>42</v>
      </c>
      <c r="G916" s="8" t="s">
        <v>52</v>
      </c>
      <c r="H916" t="s">
        <v>379</v>
      </c>
      <c r="I916" t="e">
        <f>VLOOKUP(Tabela2[[#This Row],[Coluna7]],[1]!Tabela1[#All],2,0)</f>
        <v>#REF!</v>
      </c>
      <c r="J916" t="s">
        <v>393</v>
      </c>
      <c r="L916">
        <v>492</v>
      </c>
      <c r="Q916" s="10" t="str">
        <f>Tabela2[[#This Row],[Coluna5]]</f>
        <v>11/2025</v>
      </c>
      <c r="R916" s="10" t="str">
        <f>IF(Tabela2[[#This Row],[Coluna9]]&gt;0,"Entrada","Saída")</f>
        <v>Saída</v>
      </c>
      <c r="S916" s="10" t="str">
        <f>Tabela2[[#This Row],[Coluna8]]</f>
        <v>ALISSON DA SILVA SANTOS (DESC ADIANTAMENTO)</v>
      </c>
      <c r="T916" s="10" t="e">
        <f>Tabela2[[#This Row],[Coluna72]]</f>
        <v>#REF!</v>
      </c>
      <c r="U916" s="10">
        <f>SUM(Tabela2[[#This Row],[Coluna9]],Tabela2[[#This Row],[Coluna10]])</f>
        <v>492</v>
      </c>
      <c r="V916" s="2" t="str">
        <f>Tabela2[[#This Row],[Coluna4]]</f>
        <v>03/11/2025</v>
      </c>
      <c r="W916" s="2" t="str">
        <f>Tabela2[[#This Row],[Coluna6]]</f>
        <v>03/11/2025</v>
      </c>
    </row>
    <row r="917" spans="2:23" x14ac:dyDescent="0.2">
      <c r="B917" t="s">
        <v>18</v>
      </c>
      <c r="C917" t="s">
        <v>95</v>
      </c>
      <c r="D917" t="s">
        <v>13</v>
      </c>
      <c r="E917" s="8" t="s">
        <v>52</v>
      </c>
      <c r="F917" t="s">
        <v>42</v>
      </c>
      <c r="G917" s="8" t="s">
        <v>52</v>
      </c>
      <c r="H917" t="s">
        <v>379</v>
      </c>
      <c r="I917" t="e">
        <f>VLOOKUP(Tabela2[[#This Row],[Coluna7]],[1]!Tabela1[#All],2,0)</f>
        <v>#REF!</v>
      </c>
      <c r="J917" t="s">
        <v>394</v>
      </c>
      <c r="L917">
        <v>1622.2</v>
      </c>
      <c r="Q917" s="10" t="str">
        <f>Tabela2[[#This Row],[Coluna5]]</f>
        <v>11/2025</v>
      </c>
      <c r="R917" s="10" t="str">
        <f>IF(Tabela2[[#This Row],[Coluna9]]&gt;0,"Entrada","Saída")</f>
        <v>Saída</v>
      </c>
      <c r="S917" s="10" t="str">
        <f>Tabela2[[#This Row],[Coluna8]]</f>
        <v>ANA BEATRIZ PATRÍCIO DOS SANTOS CAMPOS</v>
      </c>
      <c r="T917" s="10" t="e">
        <f>Tabela2[[#This Row],[Coluna72]]</f>
        <v>#REF!</v>
      </c>
      <c r="U917" s="10">
        <f>SUM(Tabela2[[#This Row],[Coluna9]],Tabela2[[#This Row],[Coluna10]])</f>
        <v>1622.2</v>
      </c>
      <c r="V917" s="2" t="str">
        <f>Tabela2[[#This Row],[Coluna4]]</f>
        <v>03/11/2025</v>
      </c>
      <c r="W917" s="2" t="str">
        <f>Tabela2[[#This Row],[Coluna6]]</f>
        <v>03/11/2025</v>
      </c>
    </row>
    <row r="918" spans="2:23" x14ac:dyDescent="0.2">
      <c r="B918" t="s">
        <v>18</v>
      </c>
      <c r="C918" t="s">
        <v>95</v>
      </c>
      <c r="D918" t="s">
        <v>13</v>
      </c>
      <c r="E918" s="8" t="s">
        <v>52</v>
      </c>
      <c r="F918" t="s">
        <v>42</v>
      </c>
      <c r="G918" s="8" t="s">
        <v>52</v>
      </c>
      <c r="H918" t="s">
        <v>379</v>
      </c>
      <c r="I918" t="e">
        <f>VLOOKUP(Tabela2[[#This Row],[Coluna7]],[1]!Tabela1[#All],2,0)</f>
        <v>#REF!</v>
      </c>
      <c r="J918" t="s">
        <v>395</v>
      </c>
      <c r="L918">
        <v>1792</v>
      </c>
      <c r="Q918" s="10" t="str">
        <f>Tabela2[[#This Row],[Coluna5]]</f>
        <v>11/2025</v>
      </c>
      <c r="R918" s="10" t="str">
        <f>IF(Tabela2[[#This Row],[Coluna9]]&gt;0,"Entrada","Saída")</f>
        <v>Saída</v>
      </c>
      <c r="S918" s="10" t="str">
        <f>Tabela2[[#This Row],[Coluna8]]</f>
        <v>VICTOR LUIS DE ARAUJO LIMEIRA</v>
      </c>
      <c r="T918" s="10" t="e">
        <f>Tabela2[[#This Row],[Coluna72]]</f>
        <v>#REF!</v>
      </c>
      <c r="U918" s="10">
        <f>SUM(Tabela2[[#This Row],[Coluna9]],Tabela2[[#This Row],[Coluna10]])</f>
        <v>1792</v>
      </c>
      <c r="V918" s="2" t="str">
        <f>Tabela2[[#This Row],[Coluna4]]</f>
        <v>03/11/2025</v>
      </c>
      <c r="W918" s="2" t="str">
        <f>Tabela2[[#This Row],[Coluna6]]</f>
        <v>03/11/2025</v>
      </c>
    </row>
    <row r="919" spans="2:23" x14ac:dyDescent="0.2">
      <c r="B919" t="s">
        <v>18</v>
      </c>
      <c r="C919" t="s">
        <v>95</v>
      </c>
      <c r="D919" t="s">
        <v>13</v>
      </c>
      <c r="E919" s="8" t="s">
        <v>52</v>
      </c>
      <c r="F919" t="s">
        <v>42</v>
      </c>
      <c r="G919" s="8" t="s">
        <v>52</v>
      </c>
      <c r="H919" t="s">
        <v>379</v>
      </c>
      <c r="I919" t="e">
        <f>VLOOKUP(Tabela2[[#This Row],[Coluna7]],[1]!Tabela1[#All],2,0)</f>
        <v>#REF!</v>
      </c>
      <c r="J919" t="s">
        <v>396</v>
      </c>
      <c r="L919">
        <v>2500</v>
      </c>
      <c r="Q919" s="10" t="str">
        <f>Tabela2[[#This Row],[Coluna5]]</f>
        <v>11/2025</v>
      </c>
      <c r="R919" s="10" t="str">
        <f>IF(Tabela2[[#This Row],[Coluna9]]&gt;0,"Entrada","Saída")</f>
        <v>Saída</v>
      </c>
      <c r="S919" s="10" t="str">
        <f>Tabela2[[#This Row],[Coluna8]]</f>
        <v>HUGO GABRIHEL LIMA DE ANDRADE</v>
      </c>
      <c r="T919" s="10" t="e">
        <f>Tabela2[[#This Row],[Coluna72]]</f>
        <v>#REF!</v>
      </c>
      <c r="U919" s="10">
        <f>SUM(Tabela2[[#This Row],[Coluna9]],Tabela2[[#This Row],[Coluna10]])</f>
        <v>2500</v>
      </c>
      <c r="V919" s="2" t="str">
        <f>Tabela2[[#This Row],[Coluna4]]</f>
        <v>03/11/2025</v>
      </c>
      <c r="W919" s="2" t="str">
        <f>Tabela2[[#This Row],[Coluna6]]</f>
        <v>03/11/2025</v>
      </c>
    </row>
    <row r="920" spans="2:23" x14ac:dyDescent="0.2">
      <c r="B920" t="s">
        <v>18</v>
      </c>
      <c r="C920" t="s">
        <v>95</v>
      </c>
      <c r="D920" t="s">
        <v>13</v>
      </c>
      <c r="E920" s="8" t="s">
        <v>52</v>
      </c>
      <c r="F920" t="s">
        <v>42</v>
      </c>
      <c r="G920" s="8" t="s">
        <v>52</v>
      </c>
      <c r="H920" t="s">
        <v>379</v>
      </c>
      <c r="I920" t="e">
        <f>VLOOKUP(Tabela2[[#This Row],[Coluna7]],[1]!Tabela1[#All],2,0)</f>
        <v>#REF!</v>
      </c>
      <c r="J920" t="s">
        <v>382</v>
      </c>
      <c r="L920">
        <v>2310</v>
      </c>
      <c r="Q920" s="10" t="str">
        <f>Tabela2[[#This Row],[Coluna5]]</f>
        <v>11/2025</v>
      </c>
      <c r="R920" s="10" t="str">
        <f>IF(Tabela2[[#This Row],[Coluna9]]&gt;0,"Entrada","Saída")</f>
        <v>Saída</v>
      </c>
      <c r="S920" s="10" t="str">
        <f>Tabela2[[#This Row],[Coluna8]]</f>
        <v>CARLA DE FREITAS SOUSA</v>
      </c>
      <c r="T920" s="10" t="e">
        <f>Tabela2[[#This Row],[Coluna72]]</f>
        <v>#REF!</v>
      </c>
      <c r="U920" s="10">
        <f>SUM(Tabela2[[#This Row],[Coluna9]],Tabela2[[#This Row],[Coluna10]])</f>
        <v>2310</v>
      </c>
      <c r="V920" s="2" t="str">
        <f>Tabela2[[#This Row],[Coluna4]]</f>
        <v>03/11/2025</v>
      </c>
      <c r="W920" s="2" t="str">
        <f>Tabela2[[#This Row],[Coluna6]]</f>
        <v>03/11/2025</v>
      </c>
    </row>
    <row r="921" spans="2:23" x14ac:dyDescent="0.2">
      <c r="B921" t="s">
        <v>18</v>
      </c>
      <c r="C921" t="s">
        <v>95</v>
      </c>
      <c r="D921" t="s">
        <v>13</v>
      </c>
      <c r="E921" s="8" t="s">
        <v>52</v>
      </c>
      <c r="F921" t="s">
        <v>42</v>
      </c>
      <c r="G921" s="8" t="s">
        <v>52</v>
      </c>
      <c r="H921" t="s">
        <v>379</v>
      </c>
      <c r="I921" t="e">
        <f>VLOOKUP(Tabela2[[#This Row],[Coluna7]],[1]!Tabela1[#All],2,0)</f>
        <v>#REF!</v>
      </c>
      <c r="J921" t="s">
        <v>397</v>
      </c>
      <c r="L921">
        <v>2100</v>
      </c>
      <c r="Q921" s="10" t="str">
        <f>Tabela2[[#This Row],[Coluna5]]</f>
        <v>11/2025</v>
      </c>
      <c r="R921" s="10" t="str">
        <f>IF(Tabela2[[#This Row],[Coluna9]]&gt;0,"Entrada","Saída")</f>
        <v>Saída</v>
      </c>
      <c r="S921" s="10" t="str">
        <f>Tabela2[[#This Row],[Coluna8]]</f>
        <v>CARINA ROLIM LIMA LIMEIRA</v>
      </c>
      <c r="T921" s="10" t="e">
        <f>Tabela2[[#This Row],[Coluna72]]</f>
        <v>#REF!</v>
      </c>
      <c r="U921" s="10">
        <f>SUM(Tabela2[[#This Row],[Coluna9]],Tabela2[[#This Row],[Coluna10]])</f>
        <v>2100</v>
      </c>
      <c r="V921" s="2" t="str">
        <f>Tabela2[[#This Row],[Coluna4]]</f>
        <v>03/11/2025</v>
      </c>
      <c r="W921" s="2" t="str">
        <f>Tabela2[[#This Row],[Coluna6]]</f>
        <v>03/11/2025</v>
      </c>
    </row>
    <row r="922" spans="2:23" x14ac:dyDescent="0.2">
      <c r="B922" t="s">
        <v>18</v>
      </c>
      <c r="C922" t="s">
        <v>95</v>
      </c>
      <c r="D922" t="s">
        <v>13</v>
      </c>
      <c r="E922" s="8" t="s">
        <v>52</v>
      </c>
      <c r="F922" t="s">
        <v>42</v>
      </c>
      <c r="G922" s="8" t="s">
        <v>52</v>
      </c>
      <c r="H922" t="s">
        <v>379</v>
      </c>
      <c r="I922" t="e">
        <f>VLOOKUP(Tabela2[[#This Row],[Coluna7]],[1]!Tabela1[#All],2,0)</f>
        <v>#REF!</v>
      </c>
      <c r="J922" t="s">
        <v>398</v>
      </c>
      <c r="L922">
        <v>216.5</v>
      </c>
      <c r="Q922" s="10" t="str">
        <f>Tabela2[[#This Row],[Coluna5]]</f>
        <v>11/2025</v>
      </c>
      <c r="R922" s="10" t="str">
        <f>IF(Tabela2[[#This Row],[Coluna9]]&gt;0,"Entrada","Saída")</f>
        <v>Saída</v>
      </c>
      <c r="S922" s="10" t="str">
        <f>Tabela2[[#This Row],[Coluna8]]</f>
        <v>PATRICIA - COMPLEMENTO</v>
      </c>
      <c r="T922" s="10" t="e">
        <f>Tabela2[[#This Row],[Coluna72]]</f>
        <v>#REF!</v>
      </c>
      <c r="U922" s="10">
        <f>SUM(Tabela2[[#This Row],[Coluna9]],Tabela2[[#This Row],[Coluna10]])</f>
        <v>216.5</v>
      </c>
      <c r="V922" s="2" t="str">
        <f>Tabela2[[#This Row],[Coluna4]]</f>
        <v>03/11/2025</v>
      </c>
      <c r="W922" s="2" t="str">
        <f>Tabela2[[#This Row],[Coluna6]]</f>
        <v>03/11/2025</v>
      </c>
    </row>
    <row r="923" spans="2:23" x14ac:dyDescent="0.2">
      <c r="B923" t="s">
        <v>18</v>
      </c>
      <c r="C923" t="s">
        <v>95</v>
      </c>
      <c r="D923" t="s">
        <v>13</v>
      </c>
      <c r="E923" s="8" t="s">
        <v>52</v>
      </c>
      <c r="F923" t="s">
        <v>42</v>
      </c>
      <c r="G923" s="8" t="s">
        <v>52</v>
      </c>
      <c r="H923" t="s">
        <v>379</v>
      </c>
      <c r="I923" t="e">
        <f>VLOOKUP(Tabela2[[#This Row],[Coluna7]],[1]!Tabela1[#All],2,0)</f>
        <v>#REF!</v>
      </c>
      <c r="J923" t="s">
        <v>386</v>
      </c>
      <c r="L923">
        <v>1930</v>
      </c>
      <c r="Q923" s="10" t="str">
        <f>Tabela2[[#This Row],[Coluna5]]</f>
        <v>11/2025</v>
      </c>
      <c r="R923" s="10" t="str">
        <f>IF(Tabela2[[#This Row],[Coluna9]]&gt;0,"Entrada","Saída")</f>
        <v>Saída</v>
      </c>
      <c r="S923" s="10" t="str">
        <f>Tabela2[[#This Row],[Coluna8]]</f>
        <v>THAMIRIS SERPA</v>
      </c>
      <c r="T923" s="10" t="e">
        <f>Tabela2[[#This Row],[Coluna72]]</f>
        <v>#REF!</v>
      </c>
      <c r="U923" s="10">
        <f>SUM(Tabela2[[#This Row],[Coluna9]],Tabela2[[#This Row],[Coluna10]])</f>
        <v>1930</v>
      </c>
      <c r="V923" s="2" t="str">
        <f>Tabela2[[#This Row],[Coluna4]]</f>
        <v>03/11/2025</v>
      </c>
      <c r="W923" s="2" t="str">
        <f>Tabela2[[#This Row],[Coluna6]]</f>
        <v>03/11/2025</v>
      </c>
    </row>
    <row r="924" spans="2:23" x14ac:dyDescent="0.2">
      <c r="B924" t="s">
        <v>27</v>
      </c>
      <c r="C924" t="s">
        <v>95</v>
      </c>
      <c r="D924" t="s">
        <v>13</v>
      </c>
      <c r="E924" s="8" t="s">
        <v>52</v>
      </c>
      <c r="F924" t="s">
        <v>42</v>
      </c>
      <c r="G924" s="8" t="s">
        <v>52</v>
      </c>
      <c r="H924" t="s">
        <v>379</v>
      </c>
      <c r="I924" t="e">
        <f>VLOOKUP(Tabela2[[#This Row],[Coluna7]],[1]!Tabela1[#All],2,0)</f>
        <v>#REF!</v>
      </c>
      <c r="J924" t="s">
        <v>399</v>
      </c>
      <c r="L924">
        <v>1169.4000000000001</v>
      </c>
      <c r="Q924" s="10" t="str">
        <f>Tabela2[[#This Row],[Coluna5]]</f>
        <v>11/2025</v>
      </c>
      <c r="R924" s="10" t="str">
        <f>IF(Tabela2[[#This Row],[Coluna9]]&gt;0,"Entrada","Saída")</f>
        <v>Saída</v>
      </c>
      <c r="S924" s="10" t="str">
        <f>Tabela2[[#This Row],[Coluna8]]</f>
        <v>JOÃO VICTOR</v>
      </c>
      <c r="T924" s="10" t="e">
        <f>Tabela2[[#This Row],[Coluna72]]</f>
        <v>#REF!</v>
      </c>
      <c r="U924" s="10">
        <f>SUM(Tabela2[[#This Row],[Coluna9]],Tabela2[[#This Row],[Coluna10]])</f>
        <v>1169.4000000000001</v>
      </c>
      <c r="V924" s="2" t="str">
        <f>Tabela2[[#This Row],[Coluna4]]</f>
        <v>03/11/2025</v>
      </c>
      <c r="W924" s="2" t="str">
        <f>Tabela2[[#This Row],[Coluna6]]</f>
        <v>03/11/2025</v>
      </c>
    </row>
    <row r="925" spans="2:23" x14ac:dyDescent="0.2">
      <c r="B925" t="s">
        <v>18</v>
      </c>
      <c r="C925" t="s">
        <v>95</v>
      </c>
      <c r="D925" t="s">
        <v>13</v>
      </c>
      <c r="E925" s="8" t="s">
        <v>43</v>
      </c>
      <c r="F925" t="s">
        <v>42</v>
      </c>
      <c r="G925" s="8" t="s">
        <v>43</v>
      </c>
      <c r="H925" t="s">
        <v>379</v>
      </c>
      <c r="I925" t="e">
        <f>VLOOKUP(Tabela2[[#This Row],[Coluna7]],[1]!Tabela1[#All],2,0)</f>
        <v>#REF!</v>
      </c>
      <c r="J925" t="s">
        <v>400</v>
      </c>
      <c r="L925">
        <v>4172.97</v>
      </c>
      <c r="Q925" s="10" t="str">
        <f>Tabela2[[#This Row],[Coluna5]]</f>
        <v>11/2025</v>
      </c>
      <c r="R925" s="10" t="str">
        <f>IF(Tabela2[[#This Row],[Coluna9]]&gt;0,"Entrada","Saída")</f>
        <v>Saída</v>
      </c>
      <c r="S925" s="10" t="str">
        <f>Tabela2[[#This Row],[Coluna8]]</f>
        <v>THIAGO URQUIZA</v>
      </c>
      <c r="T925" s="10" t="e">
        <f>Tabela2[[#This Row],[Coluna72]]</f>
        <v>#REF!</v>
      </c>
      <c r="U925" s="10">
        <f>SUM(Tabela2[[#This Row],[Coluna9]],Tabela2[[#This Row],[Coluna10]])</f>
        <v>4172.97</v>
      </c>
      <c r="V925" s="2" t="str">
        <f>Tabela2[[#This Row],[Coluna4]]</f>
        <v>05/11/2025</v>
      </c>
      <c r="W925" s="2" t="str">
        <f>Tabela2[[#This Row],[Coluna6]]</f>
        <v>05/11/2025</v>
      </c>
    </row>
    <row r="926" spans="2:23" x14ac:dyDescent="0.2">
      <c r="B926" t="s">
        <v>18</v>
      </c>
      <c r="C926" t="s">
        <v>95</v>
      </c>
      <c r="D926" t="s">
        <v>13</v>
      </c>
      <c r="E926" s="8" t="s">
        <v>43</v>
      </c>
      <c r="F926" t="s">
        <v>42</v>
      </c>
      <c r="G926" s="8" t="s">
        <v>43</v>
      </c>
      <c r="H926" t="s">
        <v>379</v>
      </c>
      <c r="I926" t="e">
        <f>VLOOKUP(Tabela2[[#This Row],[Coluna7]],[1]!Tabela1[#All],2,0)</f>
        <v>#REF!</v>
      </c>
      <c r="J926" t="s">
        <v>400</v>
      </c>
      <c r="L926">
        <v>950</v>
      </c>
      <c r="Q926" s="10" t="str">
        <f>Tabela2[[#This Row],[Coluna5]]</f>
        <v>11/2025</v>
      </c>
      <c r="R926" s="10" t="str">
        <f>IF(Tabela2[[#This Row],[Coluna9]]&gt;0,"Entrada","Saída")</f>
        <v>Saída</v>
      </c>
      <c r="S926" s="10" t="str">
        <f>Tabela2[[#This Row],[Coluna8]]</f>
        <v>THIAGO URQUIZA</v>
      </c>
      <c r="T926" s="10" t="e">
        <f>Tabela2[[#This Row],[Coluna72]]</f>
        <v>#REF!</v>
      </c>
      <c r="U926" s="10">
        <f>SUM(Tabela2[[#This Row],[Coluna9]],Tabela2[[#This Row],[Coluna10]])</f>
        <v>950</v>
      </c>
      <c r="V926" s="2" t="str">
        <f>Tabela2[[#This Row],[Coluna4]]</f>
        <v>05/11/2025</v>
      </c>
      <c r="W926" s="2" t="str">
        <f>Tabela2[[#This Row],[Coluna6]]</f>
        <v>05/11/2025</v>
      </c>
    </row>
    <row r="927" spans="2:23" x14ac:dyDescent="0.2">
      <c r="B927" t="s">
        <v>18</v>
      </c>
      <c r="C927" t="s">
        <v>95</v>
      </c>
      <c r="D927" t="s">
        <v>13</v>
      </c>
      <c r="E927" s="8" t="s">
        <v>401</v>
      </c>
      <c r="F927" t="s">
        <v>42</v>
      </c>
      <c r="G927" s="8" t="s">
        <v>401</v>
      </c>
      <c r="H927" t="s">
        <v>379</v>
      </c>
      <c r="I927" t="e">
        <f>VLOOKUP(Tabela2[[#This Row],[Coluna7]],[1]!Tabela1[#All],2,0)</f>
        <v>#REF!</v>
      </c>
      <c r="J927" t="s">
        <v>402</v>
      </c>
      <c r="L927">
        <v>400</v>
      </c>
      <c r="Q927" s="10" t="str">
        <f>Tabela2[[#This Row],[Coluna5]]</f>
        <v>11/2025</v>
      </c>
      <c r="R927" s="10" t="str">
        <f>IF(Tabela2[[#This Row],[Coluna9]]&gt;0,"Entrada","Saída")</f>
        <v>Saída</v>
      </c>
      <c r="S927" s="10" t="str">
        <f>Tabela2[[#This Row],[Coluna8]]</f>
        <v>ALISSON DOS SANTOS - HORA EXTRA</v>
      </c>
      <c r="T927" s="10" t="e">
        <f>Tabela2[[#This Row],[Coluna72]]</f>
        <v>#REF!</v>
      </c>
      <c r="U927" s="10">
        <f>SUM(Tabela2[[#This Row],[Coluna9]],Tabela2[[#This Row],[Coluna10]])</f>
        <v>400</v>
      </c>
      <c r="V927" s="2" t="str">
        <f>Tabela2[[#This Row],[Coluna4]]</f>
        <v>16/11/2025</v>
      </c>
      <c r="W927" s="2" t="str">
        <f>Tabela2[[#This Row],[Coluna6]]</f>
        <v>16/11/2025</v>
      </c>
    </row>
    <row r="928" spans="2:23" x14ac:dyDescent="0.2">
      <c r="B928" t="s">
        <v>18</v>
      </c>
      <c r="C928" t="s">
        <v>95</v>
      </c>
      <c r="D928" t="s">
        <v>13</v>
      </c>
      <c r="E928" s="8" t="s">
        <v>49</v>
      </c>
      <c r="F928" t="s">
        <v>42</v>
      </c>
      <c r="G928" s="8" t="s">
        <v>49</v>
      </c>
      <c r="H928" t="s">
        <v>379</v>
      </c>
      <c r="I928" t="e">
        <f>VLOOKUP(Tabela2[[#This Row],[Coluna7]],[1]!Tabela1[#All],2,0)</f>
        <v>#REF!</v>
      </c>
      <c r="J928" t="s">
        <v>403</v>
      </c>
      <c r="L928">
        <v>300</v>
      </c>
      <c r="Q928" s="10" t="str">
        <f>Tabela2[[#This Row],[Coluna5]]</f>
        <v>11/2025</v>
      </c>
      <c r="R928" s="10" t="str">
        <f>IF(Tabela2[[#This Row],[Coluna9]]&gt;0,"Entrada","Saída")</f>
        <v>Saída</v>
      </c>
      <c r="S928" s="10" t="str">
        <f>Tabela2[[#This Row],[Coluna8]]</f>
        <v>JUDITH GOMES DA SILVA -  OUTUBRO + COSTURA</v>
      </c>
      <c r="T928" s="10" t="e">
        <f>Tabela2[[#This Row],[Coluna72]]</f>
        <v>#REF!</v>
      </c>
      <c r="U928" s="10">
        <f>SUM(Tabela2[[#This Row],[Coluna9]],Tabela2[[#This Row],[Coluna10]])</f>
        <v>300</v>
      </c>
      <c r="V928" s="2" t="str">
        <f>Tabela2[[#This Row],[Coluna4]]</f>
        <v>18/11/2025</v>
      </c>
      <c r="W928" s="2" t="str">
        <f>Tabela2[[#This Row],[Coluna6]]</f>
        <v>18/11/2025</v>
      </c>
    </row>
    <row r="929" spans="2:23" x14ac:dyDescent="0.2">
      <c r="B929" t="s">
        <v>18</v>
      </c>
      <c r="C929" t="s">
        <v>95</v>
      </c>
      <c r="D929" t="s">
        <v>13</v>
      </c>
      <c r="E929" s="8" t="s">
        <v>59</v>
      </c>
      <c r="F929" t="s">
        <v>42</v>
      </c>
      <c r="G929" s="8" t="s">
        <v>59</v>
      </c>
      <c r="H929" t="s">
        <v>404</v>
      </c>
      <c r="I929" t="e">
        <f>VLOOKUP(Tabela2[[#This Row],[Coluna7]],[1]!Tabela1[#All],2,0)</f>
        <v>#REF!</v>
      </c>
      <c r="J929" t="s">
        <v>405</v>
      </c>
      <c r="L929">
        <v>380</v>
      </c>
      <c r="N929" t="s">
        <v>381</v>
      </c>
      <c r="Q929" s="10" t="str">
        <f>Tabela2[[#This Row],[Coluna5]]</f>
        <v>11/2025</v>
      </c>
      <c r="R929" s="10" t="str">
        <f>IF(Tabela2[[#This Row],[Coluna9]]&gt;0,"Entrada","Saída")</f>
        <v>Saída</v>
      </c>
      <c r="S929" s="10" t="str">
        <f>Tabela2[[#This Row],[Coluna8]]</f>
        <v>1ª PARTE</v>
      </c>
      <c r="T929" s="10" t="e">
        <f>Tabela2[[#This Row],[Coluna72]]</f>
        <v>#REF!</v>
      </c>
      <c r="U929" s="10">
        <f>SUM(Tabela2[[#This Row],[Coluna9]],Tabela2[[#This Row],[Coluna10]])</f>
        <v>380</v>
      </c>
      <c r="V929" s="2" t="str">
        <f>Tabela2[[#This Row],[Coluna4]]</f>
        <v>19/11/2025</v>
      </c>
      <c r="W929" s="2" t="str">
        <f>Tabela2[[#This Row],[Coluna6]]</f>
        <v>19/11/2025</v>
      </c>
    </row>
    <row r="930" spans="2:23" x14ac:dyDescent="0.2">
      <c r="B930" t="s">
        <v>18</v>
      </c>
      <c r="C930" t="s">
        <v>95</v>
      </c>
      <c r="D930" t="s">
        <v>13</v>
      </c>
      <c r="E930" s="8" t="s">
        <v>59</v>
      </c>
      <c r="F930" t="s">
        <v>42</v>
      </c>
      <c r="G930" s="8" t="s">
        <v>59</v>
      </c>
      <c r="H930" t="s">
        <v>404</v>
      </c>
      <c r="I930" t="e">
        <f>VLOOKUP(Tabela2[[#This Row],[Coluna7]],[1]!Tabela1[#All],2,0)</f>
        <v>#REF!</v>
      </c>
      <c r="J930" t="s">
        <v>405</v>
      </c>
      <c r="L930">
        <v>429</v>
      </c>
      <c r="N930" t="s">
        <v>395</v>
      </c>
      <c r="Q930" s="10" t="str">
        <f>Tabela2[[#This Row],[Coluna5]]</f>
        <v>11/2025</v>
      </c>
      <c r="R930" s="10" t="str">
        <f>IF(Tabela2[[#This Row],[Coluna9]]&gt;0,"Entrada","Saída")</f>
        <v>Saída</v>
      </c>
      <c r="S930" s="10" t="str">
        <f>Tabela2[[#This Row],[Coluna8]]</f>
        <v>1ª PARTE</v>
      </c>
      <c r="T930" s="10" t="e">
        <f>Tabela2[[#This Row],[Coluna72]]</f>
        <v>#REF!</v>
      </c>
      <c r="U930" s="10">
        <f>SUM(Tabela2[[#This Row],[Coluna9]],Tabela2[[#This Row],[Coluna10]])</f>
        <v>429</v>
      </c>
      <c r="V930" s="2" t="str">
        <f>Tabela2[[#This Row],[Coluna4]]</f>
        <v>19/11/2025</v>
      </c>
      <c r="W930" s="2" t="str">
        <f>Tabela2[[#This Row],[Coluna6]]</f>
        <v>19/11/2025</v>
      </c>
    </row>
    <row r="931" spans="2:23" x14ac:dyDescent="0.2">
      <c r="B931" t="s">
        <v>18</v>
      </c>
      <c r="C931" t="s">
        <v>95</v>
      </c>
      <c r="D931" t="s">
        <v>13</v>
      </c>
      <c r="E931" s="8" t="s">
        <v>59</v>
      </c>
      <c r="F931" t="s">
        <v>42</v>
      </c>
      <c r="G931" s="8" t="s">
        <v>59</v>
      </c>
      <c r="H931" t="s">
        <v>404</v>
      </c>
      <c r="I931" t="e">
        <f>VLOOKUP(Tabela2[[#This Row],[Coluna7]],[1]!Tabela1[#All],2,0)</f>
        <v>#REF!</v>
      </c>
      <c r="J931" t="s">
        <v>405</v>
      </c>
      <c r="L931">
        <v>569</v>
      </c>
      <c r="N931" t="s">
        <v>406</v>
      </c>
      <c r="Q931" s="10" t="str">
        <f>Tabela2[[#This Row],[Coluna5]]</f>
        <v>11/2025</v>
      </c>
      <c r="R931" s="10" t="str">
        <f>IF(Tabela2[[#This Row],[Coluna9]]&gt;0,"Entrada","Saída")</f>
        <v>Saída</v>
      </c>
      <c r="S931" s="10" t="str">
        <f>Tabela2[[#This Row],[Coluna8]]</f>
        <v>1ª PARTE</v>
      </c>
      <c r="T931" s="10" t="e">
        <f>Tabela2[[#This Row],[Coluna72]]</f>
        <v>#REF!</v>
      </c>
      <c r="U931" s="10">
        <f>SUM(Tabela2[[#This Row],[Coluna9]],Tabela2[[#This Row],[Coluna10]])</f>
        <v>569</v>
      </c>
      <c r="V931" s="2" t="str">
        <f>Tabela2[[#This Row],[Coluna4]]</f>
        <v>19/11/2025</v>
      </c>
      <c r="W931" s="2" t="str">
        <f>Tabela2[[#This Row],[Coluna6]]</f>
        <v>19/11/2025</v>
      </c>
    </row>
    <row r="932" spans="2:23" x14ac:dyDescent="0.2">
      <c r="B932" t="s">
        <v>18</v>
      </c>
      <c r="C932" t="s">
        <v>95</v>
      </c>
      <c r="D932" t="s">
        <v>13</v>
      </c>
      <c r="E932" s="8" t="s">
        <v>59</v>
      </c>
      <c r="F932" t="s">
        <v>42</v>
      </c>
      <c r="G932" s="8" t="s">
        <v>59</v>
      </c>
      <c r="H932" t="s">
        <v>404</v>
      </c>
      <c r="I932" t="e">
        <f>VLOOKUP(Tabela2[[#This Row],[Coluna7]],[1]!Tabela1[#All],2,0)</f>
        <v>#REF!</v>
      </c>
      <c r="J932" t="s">
        <v>407</v>
      </c>
      <c r="L932">
        <v>135</v>
      </c>
      <c r="N932" t="s">
        <v>408</v>
      </c>
      <c r="Q932" s="10" t="str">
        <f>Tabela2[[#This Row],[Coluna5]]</f>
        <v>11/2025</v>
      </c>
      <c r="R932" s="10" t="str">
        <f>IF(Tabela2[[#This Row],[Coluna9]]&gt;0,"Entrada","Saída")</f>
        <v>Saída</v>
      </c>
      <c r="S932" s="10" t="str">
        <f>Tabela2[[#This Row],[Coluna8]]</f>
        <v>COMPLETO</v>
      </c>
      <c r="T932" s="10" t="e">
        <f>Tabela2[[#This Row],[Coluna72]]</f>
        <v>#REF!</v>
      </c>
      <c r="U932" s="10">
        <f>SUM(Tabela2[[#This Row],[Coluna9]],Tabela2[[#This Row],[Coluna10]])</f>
        <v>135</v>
      </c>
      <c r="V932" s="2" t="str">
        <f>Tabela2[[#This Row],[Coluna4]]</f>
        <v>19/11/2025</v>
      </c>
      <c r="W932" s="2" t="str">
        <f>Tabela2[[#This Row],[Coluna6]]</f>
        <v>19/11/2025</v>
      </c>
    </row>
    <row r="933" spans="2:23" x14ac:dyDescent="0.2">
      <c r="B933" t="s">
        <v>18</v>
      </c>
      <c r="C933" t="s">
        <v>95</v>
      </c>
      <c r="D933" t="s">
        <v>13</v>
      </c>
      <c r="E933" s="8" t="s">
        <v>59</v>
      </c>
      <c r="F933" t="s">
        <v>42</v>
      </c>
      <c r="G933" s="8" t="s">
        <v>59</v>
      </c>
      <c r="H933" t="s">
        <v>404</v>
      </c>
      <c r="I933" t="e">
        <f>VLOOKUP(Tabela2[[#This Row],[Coluna7]],[1]!Tabela1[#All],2,0)</f>
        <v>#REF!</v>
      </c>
      <c r="J933" t="s">
        <v>407</v>
      </c>
      <c r="L933">
        <v>263</v>
      </c>
      <c r="N933" t="s">
        <v>409</v>
      </c>
      <c r="Q933" s="10" t="str">
        <f>Tabela2[[#This Row],[Coluna5]]</f>
        <v>11/2025</v>
      </c>
      <c r="R933" s="10" t="str">
        <f>IF(Tabela2[[#This Row],[Coluna9]]&gt;0,"Entrada","Saída")</f>
        <v>Saída</v>
      </c>
      <c r="S933" s="10" t="str">
        <f>Tabela2[[#This Row],[Coluna8]]</f>
        <v>COMPLETO</v>
      </c>
      <c r="T933" s="10" t="e">
        <f>Tabela2[[#This Row],[Coluna72]]</f>
        <v>#REF!</v>
      </c>
      <c r="U933" s="10">
        <f>SUM(Tabela2[[#This Row],[Coluna9]],Tabela2[[#This Row],[Coluna10]])</f>
        <v>263</v>
      </c>
      <c r="V933" s="2" t="str">
        <f>Tabela2[[#This Row],[Coluna4]]</f>
        <v>19/11/2025</v>
      </c>
      <c r="W933" s="2" t="str">
        <f>Tabela2[[#This Row],[Coluna6]]</f>
        <v>19/11/2025</v>
      </c>
    </row>
    <row r="934" spans="2:23" x14ac:dyDescent="0.2">
      <c r="B934" t="s">
        <v>18</v>
      </c>
      <c r="C934" t="s">
        <v>95</v>
      </c>
      <c r="D934" t="s">
        <v>13</v>
      </c>
      <c r="E934" s="8" t="s">
        <v>59</v>
      </c>
      <c r="F934" t="s">
        <v>42</v>
      </c>
      <c r="G934" s="8" t="s">
        <v>59</v>
      </c>
      <c r="H934" t="s">
        <v>404</v>
      </c>
      <c r="I934" t="e">
        <f>VLOOKUP(Tabela2[[#This Row],[Coluna7]],[1]!Tabela1[#All],2,0)</f>
        <v>#REF!</v>
      </c>
      <c r="J934" t="s">
        <v>405</v>
      </c>
      <c r="L934">
        <v>930</v>
      </c>
      <c r="N934" t="s">
        <v>410</v>
      </c>
      <c r="Q934" s="10" t="str">
        <f>Tabela2[[#This Row],[Coluna5]]</f>
        <v>11/2025</v>
      </c>
      <c r="R934" s="10" t="str">
        <f>IF(Tabela2[[#This Row],[Coluna9]]&gt;0,"Entrada","Saída")</f>
        <v>Saída</v>
      </c>
      <c r="S934" s="10" t="str">
        <f>Tabela2[[#This Row],[Coluna8]]</f>
        <v>1ª PARTE</v>
      </c>
      <c r="T934" s="10" t="e">
        <f>Tabela2[[#This Row],[Coluna72]]</f>
        <v>#REF!</v>
      </c>
      <c r="U934" s="10">
        <f>SUM(Tabela2[[#This Row],[Coluna9]],Tabela2[[#This Row],[Coluna10]])</f>
        <v>930</v>
      </c>
      <c r="V934" s="2" t="str">
        <f>Tabela2[[#This Row],[Coluna4]]</f>
        <v>19/11/2025</v>
      </c>
      <c r="W934" s="2" t="str">
        <f>Tabela2[[#This Row],[Coluna6]]</f>
        <v>19/11/2025</v>
      </c>
    </row>
    <row r="935" spans="2:23" x14ac:dyDescent="0.2">
      <c r="B935" t="s">
        <v>71</v>
      </c>
      <c r="C935" t="s">
        <v>95</v>
      </c>
      <c r="D935" t="s">
        <v>13</v>
      </c>
      <c r="E935" s="8" t="s">
        <v>66</v>
      </c>
      <c r="F935" t="s">
        <v>64</v>
      </c>
      <c r="G935" s="8" t="s">
        <v>66</v>
      </c>
      <c r="H935" t="s">
        <v>411</v>
      </c>
      <c r="I935" t="e">
        <f>VLOOKUP(Tabela2[[#This Row],[Coluna7]],[1]!Tabela1[#All],2,0)</f>
        <v>#REF!</v>
      </c>
      <c r="J935" t="s">
        <v>412</v>
      </c>
      <c r="L935">
        <v>1518</v>
      </c>
      <c r="Q935" s="10" t="str">
        <f>Tabela2[[#This Row],[Coluna5]]</f>
        <v>12/2025</v>
      </c>
      <c r="R935" s="10" t="str">
        <f>IF(Tabela2[[#This Row],[Coluna9]]&gt;0,"Entrada","Saída")</f>
        <v>Saída</v>
      </c>
      <c r="S935" s="10" t="str">
        <f>Tabela2[[#This Row],[Coluna8]]</f>
        <v>LUZIMAR PEREIRA</v>
      </c>
      <c r="T935" s="10" t="e">
        <f>Tabela2[[#This Row],[Coluna72]]</f>
        <v>#REF!</v>
      </c>
      <c r="U935" s="10">
        <f>SUM(Tabela2[[#This Row],[Coluna9]],Tabela2[[#This Row],[Coluna10]])</f>
        <v>1518</v>
      </c>
      <c r="V935" s="2" t="str">
        <f>Tabela2[[#This Row],[Coluna4]]</f>
        <v>04/12/2025</v>
      </c>
      <c r="W935" s="2" t="str">
        <f>Tabela2[[#This Row],[Coluna6]]</f>
        <v>04/12/2025</v>
      </c>
    </row>
    <row r="936" spans="2:23" x14ac:dyDescent="0.2">
      <c r="B936" t="s">
        <v>18</v>
      </c>
      <c r="C936" t="s">
        <v>95</v>
      </c>
      <c r="D936" t="s">
        <v>13</v>
      </c>
      <c r="E936" s="8" t="s">
        <v>66</v>
      </c>
      <c r="F936" t="s">
        <v>42</v>
      </c>
      <c r="G936" s="8" t="s">
        <v>66</v>
      </c>
      <c r="H936" t="s">
        <v>379</v>
      </c>
      <c r="I936" t="e">
        <f>VLOOKUP(Tabela2[[#This Row],[Coluna7]],[1]!Tabela1[#All],2,0)</f>
        <v>#REF!</v>
      </c>
      <c r="J936" t="s">
        <v>413</v>
      </c>
      <c r="L936">
        <v>1521</v>
      </c>
      <c r="N936" t="s">
        <v>406</v>
      </c>
      <c r="Q936" s="10" t="str">
        <f>Tabela2[[#This Row],[Coluna5]]</f>
        <v>11/2025</v>
      </c>
      <c r="R936" s="10" t="str">
        <f>IF(Tabela2[[#This Row],[Coluna9]]&gt;0,"Entrada","Saída")</f>
        <v>Saída</v>
      </c>
      <c r="S936" s="10" t="str">
        <f>Tabela2[[#This Row],[Coluna8]]</f>
        <v>SALÁRIO + VT</v>
      </c>
      <c r="T936" s="10" t="e">
        <f>Tabela2[[#This Row],[Coluna72]]</f>
        <v>#REF!</v>
      </c>
      <c r="U936" s="10">
        <f>SUM(Tabela2[[#This Row],[Coluna9]],Tabela2[[#This Row],[Coluna10]])</f>
        <v>1521</v>
      </c>
      <c r="V936" s="2" t="str">
        <f>Tabela2[[#This Row],[Coluna4]]</f>
        <v>04/12/2025</v>
      </c>
      <c r="W936" s="2" t="str">
        <f>Tabela2[[#This Row],[Coluna6]]</f>
        <v>04/12/2025</v>
      </c>
    </row>
    <row r="937" spans="2:23" x14ac:dyDescent="0.2">
      <c r="B937" t="s">
        <v>18</v>
      </c>
      <c r="C937" t="s">
        <v>95</v>
      </c>
      <c r="D937" t="s">
        <v>13</v>
      </c>
      <c r="E937" s="8" t="s">
        <v>66</v>
      </c>
      <c r="F937" t="s">
        <v>64</v>
      </c>
      <c r="G937" s="8" t="s">
        <v>66</v>
      </c>
      <c r="H937" t="s">
        <v>379</v>
      </c>
      <c r="I937" t="e">
        <f>VLOOKUP(Tabela2[[#This Row],[Coluna7]],[1]!Tabela1[#All],2,0)</f>
        <v>#REF!</v>
      </c>
      <c r="J937" t="s">
        <v>413</v>
      </c>
      <c r="L937">
        <v>1720</v>
      </c>
      <c r="N937" t="s">
        <v>395</v>
      </c>
      <c r="Q937" s="10" t="str">
        <f>Tabela2[[#This Row],[Coluna5]]</f>
        <v>12/2025</v>
      </c>
      <c r="R937" s="10" t="str">
        <f>IF(Tabela2[[#This Row],[Coluna9]]&gt;0,"Entrada","Saída")</f>
        <v>Saída</v>
      </c>
      <c r="S937" s="10" t="str">
        <f>Tabela2[[#This Row],[Coluna8]]</f>
        <v>SALÁRIO + VT</v>
      </c>
      <c r="T937" s="10" t="e">
        <f>Tabela2[[#This Row],[Coluna72]]</f>
        <v>#REF!</v>
      </c>
      <c r="U937" s="10">
        <f>SUM(Tabela2[[#This Row],[Coluna9]],Tabela2[[#This Row],[Coluna10]])</f>
        <v>1720</v>
      </c>
      <c r="V937" s="2" t="str">
        <f>Tabela2[[#This Row],[Coluna4]]</f>
        <v>04/12/2025</v>
      </c>
      <c r="W937" s="2" t="str">
        <f>Tabela2[[#This Row],[Coluna6]]</f>
        <v>04/12/2025</v>
      </c>
    </row>
    <row r="938" spans="2:23" x14ac:dyDescent="0.2">
      <c r="B938" t="s">
        <v>18</v>
      </c>
      <c r="C938" t="s">
        <v>95</v>
      </c>
      <c r="D938" t="s">
        <v>13</v>
      </c>
      <c r="E938" s="8" t="s">
        <v>66</v>
      </c>
      <c r="F938" t="s">
        <v>42</v>
      </c>
      <c r="G938" s="8" t="s">
        <v>66</v>
      </c>
      <c r="H938" t="s">
        <v>379</v>
      </c>
      <c r="I938" t="e">
        <f>VLOOKUP(Tabela2[[#This Row],[Coluna7]],[1]!Tabela1[#All],2,0)</f>
        <v>#REF!</v>
      </c>
      <c r="J938" t="s">
        <v>414</v>
      </c>
      <c r="L938">
        <v>2310</v>
      </c>
      <c r="N938" t="s">
        <v>382</v>
      </c>
      <c r="Q938" s="10" t="str">
        <f>Tabela2[[#This Row],[Coluna5]]</f>
        <v>11/2025</v>
      </c>
      <c r="R938" s="10" t="str">
        <f>IF(Tabela2[[#This Row],[Coluna9]]&gt;0,"Entrada","Saída")</f>
        <v>Saída</v>
      </c>
      <c r="S938" s="10" t="str">
        <f>Tabela2[[#This Row],[Coluna8]]</f>
        <v>AJUDA DE CUSTO</v>
      </c>
      <c r="T938" s="10" t="e">
        <f>Tabela2[[#This Row],[Coluna72]]</f>
        <v>#REF!</v>
      </c>
      <c r="U938" s="10">
        <f>SUM(Tabela2[[#This Row],[Coluna9]],Tabela2[[#This Row],[Coluna10]])</f>
        <v>2310</v>
      </c>
      <c r="V938" s="2" t="str">
        <f>Tabela2[[#This Row],[Coluna4]]</f>
        <v>04/12/2025</v>
      </c>
      <c r="W938" s="2" t="str">
        <f>Tabela2[[#This Row],[Coluna6]]</f>
        <v>04/12/2025</v>
      </c>
    </row>
    <row r="939" spans="2:23" x14ac:dyDescent="0.2">
      <c r="B939" t="s">
        <v>18</v>
      </c>
      <c r="C939" t="s">
        <v>95</v>
      </c>
      <c r="D939" t="s">
        <v>13</v>
      </c>
      <c r="E939" s="8" t="s">
        <v>66</v>
      </c>
      <c r="F939" t="s">
        <v>42</v>
      </c>
      <c r="G939" s="8" t="s">
        <v>66</v>
      </c>
      <c r="H939" t="s">
        <v>379</v>
      </c>
      <c r="I939" t="e">
        <f>VLOOKUP(Tabela2[[#This Row],[Coluna7]],[1]!Tabela1[#All],2,0)</f>
        <v>#REF!</v>
      </c>
      <c r="J939" t="s">
        <v>413</v>
      </c>
      <c r="L939">
        <v>863</v>
      </c>
      <c r="N939" t="s">
        <v>409</v>
      </c>
      <c r="Q939" s="10" t="str">
        <f>Tabela2[[#This Row],[Coluna5]]</f>
        <v>11/2025</v>
      </c>
      <c r="R939" s="10" t="str">
        <f>IF(Tabela2[[#This Row],[Coluna9]]&gt;0,"Entrada","Saída")</f>
        <v>Saída</v>
      </c>
      <c r="S939" s="10" t="str">
        <f>Tabela2[[#This Row],[Coluna8]]</f>
        <v>SALÁRIO + VT</v>
      </c>
      <c r="T939" s="10" t="e">
        <f>Tabela2[[#This Row],[Coluna72]]</f>
        <v>#REF!</v>
      </c>
      <c r="U939" s="10">
        <f>SUM(Tabela2[[#This Row],[Coluna9]],Tabela2[[#This Row],[Coluna10]])</f>
        <v>863</v>
      </c>
      <c r="V939" s="2" t="str">
        <f>Tabela2[[#This Row],[Coluna4]]</f>
        <v>04/12/2025</v>
      </c>
      <c r="W939" s="2" t="str">
        <f>Tabela2[[#This Row],[Coluna6]]</f>
        <v>04/12/2025</v>
      </c>
    </row>
    <row r="940" spans="2:23" x14ac:dyDescent="0.2">
      <c r="B940" t="s">
        <v>18</v>
      </c>
      <c r="C940" t="s">
        <v>95</v>
      </c>
      <c r="D940" t="s">
        <v>13</v>
      </c>
      <c r="E940" s="8" t="s">
        <v>66</v>
      </c>
      <c r="F940" t="s">
        <v>42</v>
      </c>
      <c r="G940" s="8" t="s">
        <v>66</v>
      </c>
      <c r="H940" t="s">
        <v>379</v>
      </c>
      <c r="I940" t="e">
        <f>VLOOKUP(Tabela2[[#This Row],[Coluna7]],[1]!Tabela1[#All],2,0)</f>
        <v>#REF!</v>
      </c>
      <c r="J940" t="s">
        <v>415</v>
      </c>
      <c r="L940">
        <v>1308</v>
      </c>
      <c r="N940" t="s">
        <v>381</v>
      </c>
      <c r="Q940" s="10" t="str">
        <f>Tabela2[[#This Row],[Coluna5]]</f>
        <v>11/2025</v>
      </c>
      <c r="R940" s="10" t="str">
        <f>IF(Tabela2[[#This Row],[Coluna9]]&gt;0,"Entrada","Saída")</f>
        <v>Saída</v>
      </c>
      <c r="S940" s="10" t="str">
        <f>Tabela2[[#This Row],[Coluna8]]</f>
        <v>SALÁRIO + HE</v>
      </c>
      <c r="T940" s="10" t="e">
        <f>Tabela2[[#This Row],[Coluna72]]</f>
        <v>#REF!</v>
      </c>
      <c r="U940" s="10">
        <f>SUM(Tabela2[[#This Row],[Coluna9]],Tabela2[[#This Row],[Coluna10]])</f>
        <v>1308</v>
      </c>
      <c r="V940" s="2" t="str">
        <f>Tabela2[[#This Row],[Coluna4]]</f>
        <v>04/12/2025</v>
      </c>
      <c r="W940" s="2" t="str">
        <f>Tabela2[[#This Row],[Coluna6]]</f>
        <v>04/12/2025</v>
      </c>
    </row>
    <row r="941" spans="2:23" x14ac:dyDescent="0.2">
      <c r="B941" t="s">
        <v>12</v>
      </c>
      <c r="C941" t="s">
        <v>95</v>
      </c>
      <c r="D941" t="s">
        <v>13</v>
      </c>
      <c r="E941" s="8" t="s">
        <v>416</v>
      </c>
      <c r="F941" t="s">
        <v>84</v>
      </c>
      <c r="G941" s="8" t="s">
        <v>416</v>
      </c>
      <c r="H941" t="s">
        <v>404</v>
      </c>
      <c r="I941" t="e">
        <f>VLOOKUP(Tabela2[[#This Row],[Coluna7]],[1]!Tabela1[#All],2,0)</f>
        <v>#REF!</v>
      </c>
      <c r="J941" t="s">
        <v>417</v>
      </c>
      <c r="L941">
        <v>497</v>
      </c>
      <c r="N941" t="s">
        <v>395</v>
      </c>
      <c r="Q941" s="10" t="str">
        <f>Tabela2[[#This Row],[Coluna5]]</f>
        <v>01/2026</v>
      </c>
      <c r="R941" s="10" t="str">
        <f>IF(Tabela2[[#This Row],[Coluna9]]&gt;0,"Entrada","Saída")</f>
        <v>Saída</v>
      </c>
      <c r="S941" s="10" t="str">
        <f>Tabela2[[#This Row],[Coluna8]]</f>
        <v>(2ª PARCELA)</v>
      </c>
      <c r="T941" s="10" t="e">
        <f>Tabela2[[#This Row],[Coluna72]]</f>
        <v>#REF!</v>
      </c>
      <c r="U941" s="10">
        <f>SUM(Tabela2[[#This Row],[Coluna9]],Tabela2[[#This Row],[Coluna10]])</f>
        <v>497</v>
      </c>
      <c r="V941" s="2" t="str">
        <f>Tabela2[[#This Row],[Coluna4]]</f>
        <v>19/12/2025</v>
      </c>
      <c r="W941" s="2" t="str">
        <f>Tabela2[[#This Row],[Coluna6]]</f>
        <v>19/12/2025</v>
      </c>
    </row>
    <row r="942" spans="2:23" x14ac:dyDescent="0.2">
      <c r="B942" t="s">
        <v>12</v>
      </c>
      <c r="C942" t="s">
        <v>95</v>
      </c>
      <c r="D942" t="s">
        <v>13</v>
      </c>
      <c r="E942" s="8" t="s">
        <v>416</v>
      </c>
      <c r="F942" t="s">
        <v>84</v>
      </c>
      <c r="G942" s="8" t="s">
        <v>416</v>
      </c>
      <c r="H942" t="s">
        <v>404</v>
      </c>
      <c r="I942" t="e">
        <f>VLOOKUP(Tabela2[[#This Row],[Coluna7]],[1]!Tabela1[#All],2,0)</f>
        <v>#REF!</v>
      </c>
      <c r="J942" t="s">
        <v>417</v>
      </c>
      <c r="L942">
        <v>601</v>
      </c>
      <c r="N942" t="s">
        <v>406</v>
      </c>
      <c r="Q942" s="10" t="str">
        <f>Tabela2[[#This Row],[Coluna5]]</f>
        <v>01/2026</v>
      </c>
      <c r="R942" s="10" t="str">
        <f>IF(Tabela2[[#This Row],[Coluna9]]&gt;0,"Entrada","Saída")</f>
        <v>Saída</v>
      </c>
      <c r="S942" s="10" t="str">
        <f>Tabela2[[#This Row],[Coluna8]]</f>
        <v>(2ª PARCELA)</v>
      </c>
      <c r="T942" s="10" t="e">
        <f>Tabela2[[#This Row],[Coluna72]]</f>
        <v>#REF!</v>
      </c>
      <c r="U942" s="10">
        <f>SUM(Tabela2[[#This Row],[Coluna9]],Tabela2[[#This Row],[Coluna10]])</f>
        <v>601</v>
      </c>
      <c r="V942" s="2" t="str">
        <f>Tabela2[[#This Row],[Coluna4]]</f>
        <v>19/12/2025</v>
      </c>
      <c r="W942" s="2" t="str">
        <f>Tabela2[[#This Row],[Coluna6]]</f>
        <v>19/12/2025</v>
      </c>
    </row>
    <row r="943" spans="2:23" x14ac:dyDescent="0.2">
      <c r="B943" t="s">
        <v>12</v>
      </c>
      <c r="C943" t="s">
        <v>95</v>
      </c>
      <c r="D943" t="s">
        <v>13</v>
      </c>
      <c r="E943" s="8" t="s">
        <v>416</v>
      </c>
      <c r="F943" t="s">
        <v>84</v>
      </c>
      <c r="G943" s="8" t="s">
        <v>416</v>
      </c>
      <c r="H943" t="s">
        <v>404</v>
      </c>
      <c r="I943" t="e">
        <f>VLOOKUP(Tabela2[[#This Row],[Coluna7]],[1]!Tabela1[#All],2,0)</f>
        <v>#REF!</v>
      </c>
      <c r="J943" t="s">
        <v>417</v>
      </c>
      <c r="L943">
        <v>322</v>
      </c>
      <c r="N943" t="s">
        <v>381</v>
      </c>
      <c r="Q943" s="10" t="str">
        <f>Tabela2[[#This Row],[Coluna5]]</f>
        <v>01/2026</v>
      </c>
      <c r="R943" s="10" t="str">
        <f>IF(Tabela2[[#This Row],[Coluna9]]&gt;0,"Entrada","Saída")</f>
        <v>Saída</v>
      </c>
      <c r="S943" s="10" t="str">
        <f>Tabela2[[#This Row],[Coluna8]]</f>
        <v>(2ª PARCELA)</v>
      </c>
      <c r="T943" s="10" t="e">
        <f>Tabela2[[#This Row],[Coluna72]]</f>
        <v>#REF!</v>
      </c>
      <c r="U943" s="10">
        <f>SUM(Tabela2[[#This Row],[Coluna9]],Tabela2[[#This Row],[Coluna10]])</f>
        <v>322</v>
      </c>
      <c r="V943" s="2" t="str">
        <f>Tabela2[[#This Row],[Coluna4]]</f>
        <v>19/12/2025</v>
      </c>
      <c r="W943" s="2" t="str">
        <f>Tabela2[[#This Row],[Coluna6]]</f>
        <v>19/12/2025</v>
      </c>
    </row>
    <row r="944" spans="2:23" x14ac:dyDescent="0.2">
      <c r="B944" t="s">
        <v>12</v>
      </c>
      <c r="C944" t="s">
        <v>95</v>
      </c>
      <c r="D944" t="s">
        <v>13</v>
      </c>
      <c r="E944" s="8" t="s">
        <v>416</v>
      </c>
      <c r="F944" t="s">
        <v>84</v>
      </c>
      <c r="G944" s="8" t="s">
        <v>416</v>
      </c>
      <c r="H944" t="s">
        <v>404</v>
      </c>
      <c r="I944" t="e">
        <f>VLOOKUP(Tabela2[[#This Row],[Coluna7]],[1]!Tabela1[#All],2,0)</f>
        <v>#REF!</v>
      </c>
      <c r="J944" t="s">
        <v>417</v>
      </c>
      <c r="L944">
        <v>930</v>
      </c>
      <c r="N944" t="s">
        <v>410</v>
      </c>
      <c r="Q944" s="10" t="str">
        <f>Tabela2[[#This Row],[Coluna5]]</f>
        <v>01/2026</v>
      </c>
      <c r="R944" s="10" t="str">
        <f>IF(Tabela2[[#This Row],[Coluna9]]&gt;0,"Entrada","Saída")</f>
        <v>Saída</v>
      </c>
      <c r="S944" s="10" t="str">
        <f>Tabela2[[#This Row],[Coluna8]]</f>
        <v>(2ª PARCELA)</v>
      </c>
      <c r="T944" s="10" t="e">
        <f>Tabela2[[#This Row],[Coluna72]]</f>
        <v>#REF!</v>
      </c>
      <c r="U944" s="10">
        <f>SUM(Tabela2[[#This Row],[Coluna9]],Tabela2[[#This Row],[Coluna10]])</f>
        <v>930</v>
      </c>
      <c r="V944" s="2" t="str">
        <f>Tabela2[[#This Row],[Coluna4]]</f>
        <v>19/12/2025</v>
      </c>
      <c r="W944" s="2" t="str">
        <f>Tabela2[[#This Row],[Coluna6]]</f>
        <v>19/12/2025</v>
      </c>
    </row>
    <row r="945" spans="2:23" x14ac:dyDescent="0.2">
      <c r="B945" t="s">
        <v>12</v>
      </c>
      <c r="C945" t="s">
        <v>95</v>
      </c>
      <c r="D945" t="s">
        <v>13</v>
      </c>
      <c r="E945" s="8" t="s">
        <v>416</v>
      </c>
      <c r="F945" t="s">
        <v>84</v>
      </c>
      <c r="G945" s="8" t="s">
        <v>416</v>
      </c>
      <c r="H945" t="s">
        <v>418</v>
      </c>
      <c r="I945" t="e">
        <f>VLOOKUP(Tabela2[[#This Row],[Coluna7]],[1]!Tabela1[#All],2,0)</f>
        <v>#REF!</v>
      </c>
      <c r="J945" t="s">
        <v>419</v>
      </c>
      <c r="L945">
        <v>600</v>
      </c>
      <c r="N945" t="s">
        <v>410</v>
      </c>
      <c r="Q945" s="10" t="str">
        <f>Tabela2[[#This Row],[Coluna5]]</f>
        <v>01/2026</v>
      </c>
      <c r="R945" s="10" t="str">
        <f>IF(Tabela2[[#This Row],[Coluna9]]&gt;0,"Entrada","Saída")</f>
        <v>Saída</v>
      </c>
      <c r="S945" s="10" t="str">
        <f>Tabela2[[#This Row],[Coluna8]]</f>
        <v>1/3 DE FÉRIAS</v>
      </c>
      <c r="T945" s="10" t="e">
        <f>Tabela2[[#This Row],[Coluna72]]</f>
        <v>#REF!</v>
      </c>
      <c r="U945" s="10">
        <f>SUM(Tabela2[[#This Row],[Coluna9]],Tabela2[[#This Row],[Coluna10]])</f>
        <v>600</v>
      </c>
      <c r="V945" s="2" t="str">
        <f>Tabela2[[#This Row],[Coluna4]]</f>
        <v>19/12/2025</v>
      </c>
      <c r="W945" s="2" t="str">
        <f>Tabela2[[#This Row],[Coluna6]]</f>
        <v>19/12/2025</v>
      </c>
    </row>
    <row r="946" spans="2:23" x14ac:dyDescent="0.2">
      <c r="B946" t="s">
        <v>18</v>
      </c>
      <c r="C946" t="s">
        <v>95</v>
      </c>
      <c r="D946" t="s">
        <v>13</v>
      </c>
      <c r="E946" s="8" t="s">
        <v>421</v>
      </c>
      <c r="F946" t="s">
        <v>84</v>
      </c>
      <c r="G946" s="8" t="s">
        <v>421</v>
      </c>
      <c r="H946" t="s">
        <v>379</v>
      </c>
      <c r="I946" t="e">
        <f>VLOOKUP(Tabela2[[#This Row],[Coluna7]],[1]!Tabela1[#All],2,0)</f>
        <v>#REF!</v>
      </c>
      <c r="J946" t="s">
        <v>422</v>
      </c>
      <c r="L946">
        <v>800</v>
      </c>
      <c r="N946" t="s">
        <v>381</v>
      </c>
      <c r="Q946" s="10" t="str">
        <f>Tabela2[[#This Row],[Coluna5]]</f>
        <v>01/2026</v>
      </c>
      <c r="R946" s="10" t="str">
        <f>IF(Tabela2[[#This Row],[Coluna9]]&gt;0,"Entrada","Saída")</f>
        <v>Saída</v>
      </c>
      <c r="S946" s="10" t="str">
        <f>Tabela2[[#This Row],[Coluna8]]</f>
        <v>SALÁRIO PARCIAL</v>
      </c>
      <c r="T946" s="10" t="e">
        <f>Tabela2[[#This Row],[Coluna72]]</f>
        <v>#REF!</v>
      </c>
      <c r="U946" s="10">
        <f>SUM(Tabela2[[#This Row],[Coluna9]],Tabela2[[#This Row],[Coluna10]])</f>
        <v>800</v>
      </c>
      <c r="V946" s="2" t="str">
        <f>Tabela2[[#This Row],[Coluna4]]</f>
        <v>31/12/2025</v>
      </c>
      <c r="W946" s="2" t="str">
        <f>Tabela2[[#This Row],[Coluna6]]</f>
        <v>31/12/2025</v>
      </c>
    </row>
    <row r="947" spans="2:23" x14ac:dyDescent="0.2">
      <c r="B947" t="s">
        <v>12</v>
      </c>
      <c r="C947" t="s">
        <v>95</v>
      </c>
      <c r="D947" t="s">
        <v>13</v>
      </c>
      <c r="E947" s="8" t="s">
        <v>35</v>
      </c>
      <c r="F947" t="s">
        <v>15</v>
      </c>
      <c r="G947" s="8" t="s">
        <v>35</v>
      </c>
      <c r="H947" t="s">
        <v>423</v>
      </c>
      <c r="I947" t="e">
        <f>VLOOKUP(Tabela2[[#This Row],[Coluna7]],[1]!Tabela1[#All],2,0)</f>
        <v>#REF!</v>
      </c>
      <c r="L947">
        <v>319.44</v>
      </c>
      <c r="Q947" s="10" t="str">
        <f>Tabela2[[#This Row],[Coluna5]]</f>
        <v>10/2025</v>
      </c>
      <c r="R947" s="10" t="str">
        <f>IF(Tabela2[[#This Row],[Coluna9]]&gt;0,"Entrada","Saída")</f>
        <v>Saída</v>
      </c>
      <c r="S947" s="10">
        <f>Tabela2[[#This Row],[Coluna8]]</f>
        <v>0</v>
      </c>
      <c r="T947" s="10" t="e">
        <f>Tabela2[[#This Row],[Coluna72]]</f>
        <v>#REF!</v>
      </c>
      <c r="U947" s="10">
        <f>SUM(Tabela2[[#This Row],[Coluna9]],Tabela2[[#This Row],[Coluna10]])</f>
        <v>319.44</v>
      </c>
      <c r="V947" s="2" t="str">
        <f>Tabela2[[#This Row],[Coluna4]]</f>
        <v>20/10/2025</v>
      </c>
      <c r="W947" s="2" t="str">
        <f>Tabela2[[#This Row],[Coluna6]]</f>
        <v>20/10/2025</v>
      </c>
    </row>
    <row r="948" spans="2:23" x14ac:dyDescent="0.2">
      <c r="B948" t="s">
        <v>18</v>
      </c>
      <c r="C948" t="s">
        <v>95</v>
      </c>
      <c r="D948" t="s">
        <v>13</v>
      </c>
      <c r="E948" s="8" t="s">
        <v>60</v>
      </c>
      <c r="F948" t="s">
        <v>42</v>
      </c>
      <c r="G948" s="8" t="s">
        <v>56</v>
      </c>
      <c r="H948" t="s">
        <v>423</v>
      </c>
      <c r="I948" t="e">
        <f>VLOOKUP(Tabela2[[#This Row],[Coluna7]],[1]!Tabela1[#All],2,0)</f>
        <v>#REF!</v>
      </c>
      <c r="L948">
        <v>346.01</v>
      </c>
      <c r="Q948" s="10" t="str">
        <f>Tabela2[[#This Row],[Coluna5]]</f>
        <v>11/2025</v>
      </c>
      <c r="R948" s="10" t="str">
        <f>IF(Tabela2[[#This Row],[Coluna9]]&gt;0,"Entrada","Saída")</f>
        <v>Saída</v>
      </c>
      <c r="S948" s="10">
        <f>Tabela2[[#This Row],[Coluna8]]</f>
        <v>0</v>
      </c>
      <c r="T948" s="10" t="e">
        <f>Tabela2[[#This Row],[Coluna72]]</f>
        <v>#REF!</v>
      </c>
      <c r="U948" s="10">
        <f>SUM(Tabela2[[#This Row],[Coluna9]],Tabela2[[#This Row],[Coluna10]])</f>
        <v>346.01</v>
      </c>
      <c r="V948" s="2" t="str">
        <f>Tabela2[[#This Row],[Coluna4]]</f>
        <v>20/11/2025</v>
      </c>
      <c r="W948" s="2" t="str">
        <f>Tabela2[[#This Row],[Coluna6]]</f>
        <v>17/11/2025</v>
      </c>
    </row>
    <row r="949" spans="2:23" x14ac:dyDescent="0.2">
      <c r="B949" t="s">
        <v>18</v>
      </c>
      <c r="C949" t="s">
        <v>95</v>
      </c>
      <c r="D949" t="s">
        <v>13</v>
      </c>
      <c r="E949" s="8" t="s">
        <v>73</v>
      </c>
      <c r="F949" t="s">
        <v>64</v>
      </c>
      <c r="G949" s="8" t="s">
        <v>73</v>
      </c>
      <c r="H949" t="s">
        <v>423</v>
      </c>
      <c r="I949" t="e">
        <f>VLOOKUP(Tabela2[[#This Row],[Coluna7]],[1]!Tabela1[#All],2,0)</f>
        <v>#REF!</v>
      </c>
      <c r="J949" t="s">
        <v>424</v>
      </c>
      <c r="L949">
        <v>154.63999999999999</v>
      </c>
      <c r="Q949" s="10" t="str">
        <f>Tabela2[[#This Row],[Coluna5]]</f>
        <v>12/2025</v>
      </c>
      <c r="R949" s="10" t="str">
        <f>IF(Tabela2[[#This Row],[Coluna9]]&gt;0,"Entrada","Saída")</f>
        <v>Saída</v>
      </c>
      <c r="S949" s="10" t="str">
        <f>Tabela2[[#This Row],[Coluna8]]</f>
        <v>13°</v>
      </c>
      <c r="T949" s="10" t="e">
        <f>Tabela2[[#This Row],[Coluna72]]</f>
        <v>#REF!</v>
      </c>
      <c r="U949" s="10">
        <f>SUM(Tabela2[[#This Row],[Coluna9]],Tabela2[[#This Row],[Coluna10]])</f>
        <v>154.63999999999999</v>
      </c>
      <c r="V949" s="2" t="str">
        <f>Tabela2[[#This Row],[Coluna4]]</f>
        <v>11/12/2025</v>
      </c>
      <c r="W949" s="2" t="str">
        <f>Tabela2[[#This Row],[Coluna6]]</f>
        <v>11/12/2025</v>
      </c>
    </row>
    <row r="950" spans="2:23" x14ac:dyDescent="0.2">
      <c r="B950" t="s">
        <v>18</v>
      </c>
      <c r="C950" t="s">
        <v>95</v>
      </c>
      <c r="D950" t="s">
        <v>13</v>
      </c>
      <c r="E950" s="8" t="s">
        <v>79</v>
      </c>
      <c r="F950" t="s">
        <v>64</v>
      </c>
      <c r="G950" s="8" t="s">
        <v>73</v>
      </c>
      <c r="H950" t="s">
        <v>423</v>
      </c>
      <c r="I950" t="e">
        <f>VLOOKUP(Tabela2[[#This Row],[Coluna7]],[1]!Tabela1[#All],2,0)</f>
        <v>#REF!</v>
      </c>
      <c r="L950">
        <v>452.56</v>
      </c>
      <c r="Q950" s="10" t="str">
        <f>Tabela2[[#This Row],[Coluna5]]</f>
        <v>12/2025</v>
      </c>
      <c r="R950" s="10" t="str">
        <f>IF(Tabela2[[#This Row],[Coluna9]]&gt;0,"Entrada","Saída")</f>
        <v>Saída</v>
      </c>
      <c r="S950" s="10">
        <f>Tabela2[[#This Row],[Coluna8]]</f>
        <v>0</v>
      </c>
      <c r="T950" s="10" t="e">
        <f>Tabela2[[#This Row],[Coluna72]]</f>
        <v>#REF!</v>
      </c>
      <c r="U950" s="10">
        <f>SUM(Tabela2[[#This Row],[Coluna9]],Tabela2[[#This Row],[Coluna10]])</f>
        <v>452.56</v>
      </c>
      <c r="V950" s="2" t="str">
        <f>Tabela2[[#This Row],[Coluna4]]</f>
        <v>20/12/2025</v>
      </c>
      <c r="W950" s="2" t="str">
        <f>Tabela2[[#This Row],[Coluna6]]</f>
        <v>11/12/2025</v>
      </c>
    </row>
    <row r="951" spans="2:23" x14ac:dyDescent="0.2">
      <c r="B951" t="s">
        <v>27</v>
      </c>
      <c r="C951" t="s">
        <v>95</v>
      </c>
      <c r="D951" t="s">
        <v>13</v>
      </c>
      <c r="E951" s="8" t="s">
        <v>114</v>
      </c>
      <c r="F951" t="s">
        <v>15</v>
      </c>
      <c r="G951" s="8" t="s">
        <v>114</v>
      </c>
      <c r="H951" t="s">
        <v>425</v>
      </c>
      <c r="I951" t="e">
        <f>VLOOKUP(Tabela2[[#This Row],[Coluna7]],[1]!Tabela1[#All],2,0)</f>
        <v>#REF!</v>
      </c>
      <c r="J951" t="s">
        <v>426</v>
      </c>
      <c r="L951">
        <v>412.64</v>
      </c>
      <c r="Q951" s="10" t="str">
        <f>Tabela2[[#This Row],[Coluna5]]</f>
        <v>10/2025</v>
      </c>
      <c r="R951" s="10" t="str">
        <f>IF(Tabela2[[#This Row],[Coluna9]]&gt;0,"Entrada","Saída")</f>
        <v>Saída</v>
      </c>
      <c r="S951" s="10" t="str">
        <f>Tabela2[[#This Row],[Coluna8]]</f>
        <v>ALOHAI 20/24</v>
      </c>
      <c r="T951" s="10" t="e">
        <f>Tabela2[[#This Row],[Coluna72]]</f>
        <v>#REF!</v>
      </c>
      <c r="U951" s="10">
        <f>SUM(Tabela2[[#This Row],[Coluna9]],Tabela2[[#This Row],[Coluna10]])</f>
        <v>412.64</v>
      </c>
      <c r="V951" s="2" t="str">
        <f>Tabela2[[#This Row],[Coluna4]]</f>
        <v>02/10/2025</v>
      </c>
      <c r="W951" s="2" t="str">
        <f>Tabela2[[#This Row],[Coluna6]]</f>
        <v>02/10/2025</v>
      </c>
    </row>
    <row r="952" spans="2:23" x14ac:dyDescent="0.2">
      <c r="B952" t="s">
        <v>27</v>
      </c>
      <c r="C952" t="s">
        <v>95</v>
      </c>
      <c r="D952" t="s">
        <v>13</v>
      </c>
      <c r="E952" s="8" t="s">
        <v>114</v>
      </c>
      <c r="F952" t="s">
        <v>15</v>
      </c>
      <c r="G952" s="8" t="s">
        <v>114</v>
      </c>
      <c r="H952" t="s">
        <v>425</v>
      </c>
      <c r="I952" t="e">
        <f>VLOOKUP(Tabela2[[#This Row],[Coluna7]],[1]!Tabela1[#All],2,0)</f>
        <v>#REF!</v>
      </c>
      <c r="J952" t="s">
        <v>427</v>
      </c>
      <c r="L952">
        <v>412.64</v>
      </c>
      <c r="Q952" s="10" t="str">
        <f>Tabela2[[#This Row],[Coluna5]]</f>
        <v>10/2025</v>
      </c>
      <c r="R952" s="10" t="str">
        <f>IF(Tabela2[[#This Row],[Coluna9]]&gt;0,"Entrada","Saída")</f>
        <v>Saída</v>
      </c>
      <c r="S952" s="10" t="str">
        <f>Tabela2[[#This Row],[Coluna8]]</f>
        <v>ALOHAI 21/24</v>
      </c>
      <c r="T952" s="10" t="e">
        <f>Tabela2[[#This Row],[Coluna72]]</f>
        <v>#REF!</v>
      </c>
      <c r="U952" s="10">
        <f>SUM(Tabela2[[#This Row],[Coluna9]],Tabela2[[#This Row],[Coluna10]])</f>
        <v>412.64</v>
      </c>
      <c r="V952" s="2" t="str">
        <f>Tabela2[[#This Row],[Coluna4]]</f>
        <v>02/10/2025</v>
      </c>
      <c r="W952" s="2" t="str">
        <f>Tabela2[[#This Row],[Coluna6]]</f>
        <v>02/10/2025</v>
      </c>
    </row>
    <row r="953" spans="2:23" x14ac:dyDescent="0.2">
      <c r="B953" t="s">
        <v>18</v>
      </c>
      <c r="C953" t="s">
        <v>95</v>
      </c>
      <c r="D953" t="s">
        <v>13</v>
      </c>
      <c r="E953" s="8" t="s">
        <v>21</v>
      </c>
      <c r="F953" t="s">
        <v>15</v>
      </c>
      <c r="G953" s="8" t="s">
        <v>21</v>
      </c>
      <c r="H953" t="s">
        <v>428</v>
      </c>
      <c r="I953" t="e">
        <f>VLOOKUP(Tabela2[[#This Row],[Coluna7]],[1]!Tabela1[#All],2,0)</f>
        <v>#REF!</v>
      </c>
      <c r="J953" t="s">
        <v>429</v>
      </c>
      <c r="L953">
        <v>282.58</v>
      </c>
      <c r="Q953" s="10" t="str">
        <f>Tabela2[[#This Row],[Coluna5]]</f>
        <v>10/2025</v>
      </c>
      <c r="R953" s="10" t="str">
        <f>IF(Tabela2[[#This Row],[Coluna9]]&gt;0,"Entrada","Saída")</f>
        <v>Saída</v>
      </c>
      <c r="S953" s="10" t="str">
        <f>Tabela2[[#This Row],[Coluna8]]</f>
        <v>IPTU / TCR</v>
      </c>
      <c r="T953" s="10" t="e">
        <f>Tabela2[[#This Row],[Coluna72]]</f>
        <v>#REF!</v>
      </c>
      <c r="U953" s="10">
        <f>SUM(Tabela2[[#This Row],[Coluna9]],Tabela2[[#This Row],[Coluna10]])</f>
        <v>282.58</v>
      </c>
      <c r="V953" s="2" t="str">
        <f>Tabela2[[#This Row],[Coluna4]]</f>
        <v>06/10/2025</v>
      </c>
      <c r="W953" s="2" t="str">
        <f>Tabela2[[#This Row],[Coluna6]]</f>
        <v>06/10/2025</v>
      </c>
    </row>
    <row r="954" spans="2:23" x14ac:dyDescent="0.2">
      <c r="B954" t="s">
        <v>12</v>
      </c>
      <c r="C954" t="s">
        <v>95</v>
      </c>
      <c r="D954" t="s">
        <v>13</v>
      </c>
      <c r="E954" s="8" t="s">
        <v>35</v>
      </c>
      <c r="F954" t="s">
        <v>15</v>
      </c>
      <c r="G954" s="8" t="s">
        <v>35</v>
      </c>
      <c r="H954" t="s">
        <v>430</v>
      </c>
      <c r="I954" t="e">
        <f>VLOOKUP(Tabela2[[#This Row],[Coluna7]],[1]!Tabela1[#All],2,0)</f>
        <v>#REF!</v>
      </c>
      <c r="L954">
        <v>3738.6</v>
      </c>
      <c r="Q954" s="10" t="str">
        <f>Tabela2[[#This Row],[Coluna5]]</f>
        <v>10/2025</v>
      </c>
      <c r="R954" s="10" t="str">
        <f>IF(Tabela2[[#This Row],[Coluna9]]&gt;0,"Entrada","Saída")</f>
        <v>Saída</v>
      </c>
      <c r="S954" s="10">
        <f>Tabela2[[#This Row],[Coluna8]]</f>
        <v>0</v>
      </c>
      <c r="T954" s="10" t="e">
        <f>Tabela2[[#This Row],[Coluna72]]</f>
        <v>#REF!</v>
      </c>
      <c r="U954" s="10">
        <f>SUM(Tabela2[[#This Row],[Coluna9]],Tabela2[[#This Row],[Coluna10]])</f>
        <v>3738.6</v>
      </c>
      <c r="V954" s="2" t="str">
        <f>Tabela2[[#This Row],[Coluna4]]</f>
        <v>20/10/2025</v>
      </c>
      <c r="W954" s="2" t="str">
        <f>Tabela2[[#This Row],[Coluna6]]</f>
        <v>20/10/2025</v>
      </c>
    </row>
    <row r="955" spans="2:23" x14ac:dyDescent="0.2">
      <c r="B955" t="s">
        <v>12</v>
      </c>
      <c r="C955" t="s">
        <v>95</v>
      </c>
      <c r="D955" t="s">
        <v>13</v>
      </c>
      <c r="E955" s="8" t="s">
        <v>35</v>
      </c>
      <c r="F955" t="s">
        <v>15</v>
      </c>
      <c r="G955" s="8" t="s">
        <v>35</v>
      </c>
      <c r="H955" t="s">
        <v>431</v>
      </c>
      <c r="I955" t="e">
        <f>VLOOKUP(Tabela2[[#This Row],[Coluna7]],[1]!Tabela1[#All],2,0)</f>
        <v>#REF!</v>
      </c>
      <c r="L955">
        <v>13448.03</v>
      </c>
      <c r="Q955" s="10" t="str">
        <f>Tabela2[[#This Row],[Coluna5]]</f>
        <v>10/2025</v>
      </c>
      <c r="R955" s="10" t="str">
        <f>IF(Tabela2[[#This Row],[Coluna9]]&gt;0,"Entrada","Saída")</f>
        <v>Saída</v>
      </c>
      <c r="S955" s="10">
        <f>Tabela2[[#This Row],[Coluna8]]</f>
        <v>0</v>
      </c>
      <c r="T955" s="10" t="e">
        <f>Tabela2[[#This Row],[Coluna72]]</f>
        <v>#REF!</v>
      </c>
      <c r="U955" s="10">
        <f>SUM(Tabela2[[#This Row],[Coluna9]],Tabela2[[#This Row],[Coluna10]])</f>
        <v>13448.03</v>
      </c>
      <c r="V955" s="2" t="str">
        <f>Tabela2[[#This Row],[Coluna4]]</f>
        <v>20/10/2025</v>
      </c>
      <c r="W955" s="2" t="str">
        <f>Tabela2[[#This Row],[Coluna6]]</f>
        <v>20/10/2025</v>
      </c>
    </row>
    <row r="956" spans="2:23" x14ac:dyDescent="0.2">
      <c r="B956" t="s">
        <v>27</v>
      </c>
      <c r="C956" t="s">
        <v>95</v>
      </c>
      <c r="D956" t="s">
        <v>13</v>
      </c>
      <c r="E956" s="8" t="s">
        <v>41</v>
      </c>
      <c r="F956" t="s">
        <v>42</v>
      </c>
      <c r="G956" s="8" t="s">
        <v>41</v>
      </c>
      <c r="H956" t="s">
        <v>425</v>
      </c>
      <c r="I956" t="e">
        <f>VLOOKUP(Tabela2[[#This Row],[Coluna7]],[1]!Tabela1[#All],2,0)</f>
        <v>#REF!</v>
      </c>
      <c r="J956" t="s">
        <v>432</v>
      </c>
      <c r="L956">
        <v>555.9</v>
      </c>
      <c r="Q956" s="10" t="str">
        <f>Tabela2[[#This Row],[Coluna5]]</f>
        <v>11/2025</v>
      </c>
      <c r="R956" s="10" t="str">
        <f>IF(Tabela2[[#This Row],[Coluna9]]&gt;0,"Entrada","Saída")</f>
        <v>Saída</v>
      </c>
      <c r="S956" s="10" t="str">
        <f>Tabela2[[#This Row],[Coluna8]]</f>
        <v>ALOHAI 22 DE 24</v>
      </c>
      <c r="T956" s="10" t="e">
        <f>Tabela2[[#This Row],[Coluna72]]</f>
        <v>#REF!</v>
      </c>
      <c r="U956" s="10">
        <f>SUM(Tabela2[[#This Row],[Coluna9]],Tabela2[[#This Row],[Coluna10]])</f>
        <v>555.9</v>
      </c>
      <c r="V956" s="2" t="str">
        <f>Tabela2[[#This Row],[Coluna4]]</f>
        <v>04/11/2025</v>
      </c>
      <c r="W956" s="2" t="str">
        <f>Tabela2[[#This Row],[Coluna6]]</f>
        <v>04/11/2025</v>
      </c>
    </row>
    <row r="957" spans="2:23" x14ac:dyDescent="0.2">
      <c r="B957" t="s">
        <v>27</v>
      </c>
      <c r="C957" t="s">
        <v>95</v>
      </c>
      <c r="D957" t="s">
        <v>13</v>
      </c>
      <c r="E957" s="8" t="s">
        <v>41</v>
      </c>
      <c r="F957" t="s">
        <v>42</v>
      </c>
      <c r="G957" s="8" t="s">
        <v>41</v>
      </c>
      <c r="H957" t="s">
        <v>425</v>
      </c>
      <c r="I957" t="e">
        <f>VLOOKUP(Tabela2[[#This Row],[Coluna7]],[1]!Tabela1[#All],2,0)</f>
        <v>#REF!</v>
      </c>
      <c r="J957" t="s">
        <v>433</v>
      </c>
      <c r="L957">
        <v>555.9</v>
      </c>
      <c r="Q957" s="10" t="str">
        <f>Tabela2[[#This Row],[Coluna5]]</f>
        <v>11/2025</v>
      </c>
      <c r="R957" s="10" t="str">
        <f>IF(Tabela2[[#This Row],[Coluna9]]&gt;0,"Entrada","Saída")</f>
        <v>Saída</v>
      </c>
      <c r="S957" s="10" t="str">
        <f>Tabela2[[#This Row],[Coluna8]]</f>
        <v>ALOHAI 23 DE 24</v>
      </c>
      <c r="T957" s="10" t="e">
        <f>Tabela2[[#This Row],[Coluna72]]</f>
        <v>#REF!</v>
      </c>
      <c r="U957" s="10">
        <f>SUM(Tabela2[[#This Row],[Coluna9]],Tabela2[[#This Row],[Coluna10]])</f>
        <v>555.9</v>
      </c>
      <c r="V957" s="2" t="str">
        <f>Tabela2[[#This Row],[Coluna4]]</f>
        <v>04/11/2025</v>
      </c>
      <c r="W957" s="2" t="str">
        <f>Tabela2[[#This Row],[Coluna6]]</f>
        <v>04/11/2025</v>
      </c>
    </row>
    <row r="958" spans="2:23" x14ac:dyDescent="0.2">
      <c r="B958" t="s">
        <v>18</v>
      </c>
      <c r="C958" t="s">
        <v>95</v>
      </c>
      <c r="D958" t="s">
        <v>13</v>
      </c>
      <c r="E958" s="8" t="s">
        <v>44</v>
      </c>
      <c r="F958" t="s">
        <v>42</v>
      </c>
      <c r="G958" s="8" t="s">
        <v>231</v>
      </c>
      <c r="H958" t="s">
        <v>428</v>
      </c>
      <c r="I958" t="e">
        <f>VLOOKUP(Tabela2[[#This Row],[Coluna7]],[1]!Tabela1[#All],2,0)</f>
        <v>#REF!</v>
      </c>
      <c r="J958" t="s">
        <v>434</v>
      </c>
      <c r="L958">
        <v>282.58</v>
      </c>
      <c r="Q958" s="10" t="str">
        <f>Tabela2[[#This Row],[Coluna5]]</f>
        <v>11/2025</v>
      </c>
      <c r="R958" s="10" t="str">
        <f>IF(Tabela2[[#This Row],[Coluna9]]&gt;0,"Entrada","Saída")</f>
        <v>Saída</v>
      </c>
      <c r="S958" s="10" t="str">
        <f>Tabela2[[#This Row],[Coluna8]]</f>
        <v>1/2 IPTU / TCR</v>
      </c>
      <c r="T958" s="10" t="e">
        <f>Tabela2[[#This Row],[Coluna72]]</f>
        <v>#REF!</v>
      </c>
      <c r="U958" s="10">
        <f>SUM(Tabela2[[#This Row],[Coluna9]],Tabela2[[#This Row],[Coluna10]])</f>
        <v>282.58</v>
      </c>
      <c r="V958" s="2" t="str">
        <f>Tabela2[[#This Row],[Coluna4]]</f>
        <v>06/11/2025</v>
      </c>
      <c r="W958" s="2" t="str">
        <f>Tabela2[[#This Row],[Coluna6]]</f>
        <v>07/11/2025</v>
      </c>
    </row>
    <row r="959" spans="2:23" x14ac:dyDescent="0.2">
      <c r="B959" t="s">
        <v>18</v>
      </c>
      <c r="C959" t="s">
        <v>95</v>
      </c>
      <c r="D959" t="s">
        <v>13</v>
      </c>
      <c r="E959" s="8" t="s">
        <v>60</v>
      </c>
      <c r="F959" t="s">
        <v>42</v>
      </c>
      <c r="G959" s="8" t="s">
        <v>56</v>
      </c>
      <c r="H959" t="s">
        <v>430</v>
      </c>
      <c r="I959" t="e">
        <f>VLOOKUP(Tabela2[[#This Row],[Coluna7]],[1]!Tabela1[#All],2,0)</f>
        <v>#REF!</v>
      </c>
      <c r="L959">
        <v>2165.61</v>
      </c>
      <c r="Q959" s="10" t="str">
        <f>Tabela2[[#This Row],[Coluna5]]</f>
        <v>11/2025</v>
      </c>
      <c r="R959" s="10" t="str">
        <f>IF(Tabela2[[#This Row],[Coluna9]]&gt;0,"Entrada","Saída")</f>
        <v>Saída</v>
      </c>
      <c r="S959" s="10">
        <f>Tabela2[[#This Row],[Coluna8]]</f>
        <v>0</v>
      </c>
      <c r="T959" s="10" t="e">
        <f>Tabela2[[#This Row],[Coluna72]]</f>
        <v>#REF!</v>
      </c>
      <c r="U959" s="10">
        <f>SUM(Tabela2[[#This Row],[Coluna9]],Tabela2[[#This Row],[Coluna10]])</f>
        <v>2165.61</v>
      </c>
      <c r="V959" s="2" t="str">
        <f>Tabela2[[#This Row],[Coluna4]]</f>
        <v>20/11/2025</v>
      </c>
      <c r="W959" s="2" t="str">
        <f>Tabela2[[#This Row],[Coluna6]]</f>
        <v>17/11/2025</v>
      </c>
    </row>
    <row r="960" spans="2:23" x14ac:dyDescent="0.2">
      <c r="B960" t="s">
        <v>27</v>
      </c>
      <c r="C960" t="s">
        <v>95</v>
      </c>
      <c r="D960" t="s">
        <v>13</v>
      </c>
      <c r="E960" s="8" t="s">
        <v>253</v>
      </c>
      <c r="F960" t="s">
        <v>42</v>
      </c>
      <c r="G960" s="8" t="s">
        <v>253</v>
      </c>
      <c r="H960" t="s">
        <v>431</v>
      </c>
      <c r="I960" t="e">
        <f>VLOOKUP(Tabela2[[#This Row],[Coluna7]],[1]!Tabela1[#All],2,0)</f>
        <v>#REF!</v>
      </c>
      <c r="L960">
        <v>8013.48</v>
      </c>
      <c r="Q960" s="10" t="str">
        <f>Tabela2[[#This Row],[Coluna5]]</f>
        <v>11/2025</v>
      </c>
      <c r="R960" s="10" t="str">
        <f>IF(Tabela2[[#This Row],[Coluna9]]&gt;0,"Entrada","Saída")</f>
        <v>Saída</v>
      </c>
      <c r="S960" s="10">
        <f>Tabela2[[#This Row],[Coluna8]]</f>
        <v>0</v>
      </c>
      <c r="T960" s="10" t="e">
        <f>Tabela2[[#This Row],[Coluna72]]</f>
        <v>#REF!</v>
      </c>
      <c r="U960" s="10">
        <f>SUM(Tabela2[[#This Row],[Coluna9]],Tabela2[[#This Row],[Coluna10]])</f>
        <v>8013.48</v>
      </c>
      <c r="V960" s="2" t="str">
        <f>Tabela2[[#This Row],[Coluna4]]</f>
        <v>21/11/2025</v>
      </c>
      <c r="W960" s="2" t="str">
        <f>Tabela2[[#This Row],[Coluna6]]</f>
        <v>21/11/2025</v>
      </c>
    </row>
    <row r="961" spans="2:23" x14ac:dyDescent="0.2">
      <c r="B961" t="s">
        <v>18</v>
      </c>
      <c r="C961" t="s">
        <v>95</v>
      </c>
      <c r="D961" t="s">
        <v>13</v>
      </c>
      <c r="E961" s="8" t="s">
        <v>79</v>
      </c>
      <c r="F961" t="s">
        <v>64</v>
      </c>
      <c r="G961" s="8" t="s">
        <v>73</v>
      </c>
      <c r="H961" t="s">
        <v>430</v>
      </c>
      <c r="I961" t="e">
        <f>VLOOKUP(Tabela2[[#This Row],[Coluna7]],[1]!Tabela1[#All],2,0)</f>
        <v>#REF!</v>
      </c>
      <c r="L961">
        <v>2070.9699999999998</v>
      </c>
      <c r="Q961" s="10" t="str">
        <f>Tabela2[[#This Row],[Coluna5]]</f>
        <v>12/2025</v>
      </c>
      <c r="R961" s="10" t="str">
        <f>IF(Tabela2[[#This Row],[Coluna9]]&gt;0,"Entrada","Saída")</f>
        <v>Saída</v>
      </c>
      <c r="S961" s="10">
        <f>Tabela2[[#This Row],[Coluna8]]</f>
        <v>0</v>
      </c>
      <c r="T961" s="10" t="e">
        <f>Tabela2[[#This Row],[Coluna72]]</f>
        <v>#REF!</v>
      </c>
      <c r="U961" s="10">
        <f>SUM(Tabela2[[#This Row],[Coluna9]],Tabela2[[#This Row],[Coluna10]])</f>
        <v>2070.9699999999998</v>
      </c>
      <c r="V961" s="2" t="str">
        <f>Tabela2[[#This Row],[Coluna4]]</f>
        <v>20/12/2025</v>
      </c>
      <c r="W961" s="2" t="str">
        <f>Tabela2[[#This Row],[Coluna6]]</f>
        <v>11/12/2025</v>
      </c>
    </row>
    <row r="962" spans="2:23" x14ac:dyDescent="0.2">
      <c r="B962" t="s">
        <v>27</v>
      </c>
      <c r="C962" t="s">
        <v>95</v>
      </c>
      <c r="D962" t="s">
        <v>13</v>
      </c>
      <c r="E962" s="8" t="s">
        <v>79</v>
      </c>
      <c r="F962" t="s">
        <v>64</v>
      </c>
      <c r="G962" s="8" t="s">
        <v>73</v>
      </c>
      <c r="H962" t="s">
        <v>431</v>
      </c>
      <c r="I962" t="e">
        <f>VLOOKUP(Tabela2[[#This Row],[Coluna7]],[1]!Tabela1[#All],2,0)</f>
        <v>#REF!</v>
      </c>
      <c r="L962">
        <v>6243.13</v>
      </c>
      <c r="Q962" s="10" t="str">
        <f>Tabela2[[#This Row],[Coluna5]]</f>
        <v>12/2025</v>
      </c>
      <c r="R962" s="10" t="str">
        <f>IF(Tabela2[[#This Row],[Coluna9]]&gt;0,"Entrada","Saída")</f>
        <v>Saída</v>
      </c>
      <c r="S962" s="10">
        <f>Tabela2[[#This Row],[Coluna8]]</f>
        <v>0</v>
      </c>
      <c r="T962" s="10" t="e">
        <f>Tabela2[[#This Row],[Coluna72]]</f>
        <v>#REF!</v>
      </c>
      <c r="U962" s="10">
        <f>SUM(Tabela2[[#This Row],[Coluna9]],Tabela2[[#This Row],[Coluna10]])</f>
        <v>6243.13</v>
      </c>
      <c r="V962" s="2" t="str">
        <f>Tabela2[[#This Row],[Coluna4]]</f>
        <v>20/12/2025</v>
      </c>
      <c r="W962" s="2" t="str">
        <f>Tabela2[[#This Row],[Coluna6]]</f>
        <v>11/12/2025</v>
      </c>
    </row>
    <row r="963" spans="2:23" x14ac:dyDescent="0.2">
      <c r="B963" t="s">
        <v>18</v>
      </c>
      <c r="C963" t="s">
        <v>95</v>
      </c>
      <c r="D963" t="s">
        <v>13</v>
      </c>
      <c r="E963" s="8" t="s">
        <v>91</v>
      </c>
      <c r="F963" t="s">
        <v>64</v>
      </c>
      <c r="G963" s="8" t="s">
        <v>73</v>
      </c>
      <c r="H963" t="s">
        <v>430</v>
      </c>
      <c r="I963" t="e">
        <f>VLOOKUP(Tabela2[[#This Row],[Coluna7]],[1]!Tabela1[#All],2,0)</f>
        <v>#REF!</v>
      </c>
      <c r="J963" t="s">
        <v>424</v>
      </c>
      <c r="L963">
        <v>1025.1300000000001</v>
      </c>
      <c r="Q963" s="10" t="str">
        <f>Tabela2[[#This Row],[Coluna5]]</f>
        <v>12/2025</v>
      </c>
      <c r="R963" s="10" t="str">
        <f>IF(Tabela2[[#This Row],[Coluna9]]&gt;0,"Entrada","Saída")</f>
        <v>Saída</v>
      </c>
      <c r="S963" s="10" t="str">
        <f>Tabela2[[#This Row],[Coluna8]]</f>
        <v>13°</v>
      </c>
      <c r="T963" s="10" t="e">
        <f>Tabela2[[#This Row],[Coluna72]]</f>
        <v>#REF!</v>
      </c>
      <c r="U963" s="10">
        <f>SUM(Tabela2[[#This Row],[Coluna9]],Tabela2[[#This Row],[Coluna10]])</f>
        <v>1025.1300000000001</v>
      </c>
      <c r="V963" s="2" t="str">
        <f>Tabela2[[#This Row],[Coluna4]]</f>
        <v>20/01/2026</v>
      </c>
      <c r="W963" s="2" t="str">
        <f>Tabela2[[#This Row],[Coluna6]]</f>
        <v>11/12/2025</v>
      </c>
    </row>
    <row r="964" spans="2:23" x14ac:dyDescent="0.2">
      <c r="B964" t="s">
        <v>18</v>
      </c>
      <c r="C964" t="s">
        <v>95</v>
      </c>
      <c r="D964" t="s">
        <v>13</v>
      </c>
      <c r="E964" s="8" t="s">
        <v>14</v>
      </c>
      <c r="F964" t="s">
        <v>15</v>
      </c>
      <c r="G964" s="8" t="s">
        <v>14</v>
      </c>
      <c r="H964" t="s">
        <v>435</v>
      </c>
      <c r="I964" t="e">
        <f>VLOOKUP(Tabela2[[#This Row],[Coluna7]],[1]!Tabela1[#All],2,0)</f>
        <v>#REF!</v>
      </c>
      <c r="J964" t="s">
        <v>436</v>
      </c>
      <c r="L964">
        <v>500</v>
      </c>
      <c r="Q964" s="10" t="str">
        <f>Tabela2[[#This Row],[Coluna5]]</f>
        <v>10/2025</v>
      </c>
      <c r="R964" s="10" t="str">
        <f>IF(Tabela2[[#This Row],[Coluna9]]&gt;0,"Entrada","Saída")</f>
        <v>Saída</v>
      </c>
      <c r="S964" s="10" t="str">
        <f>Tabela2[[#This Row],[Coluna8]]</f>
        <v>FERNANDO SILVESTRE DE SOUZA</v>
      </c>
      <c r="T964" s="10" t="e">
        <f>Tabela2[[#This Row],[Coluna72]]</f>
        <v>#REF!</v>
      </c>
      <c r="U964" s="10">
        <f>SUM(Tabela2[[#This Row],[Coluna9]],Tabela2[[#This Row],[Coluna10]])</f>
        <v>500</v>
      </c>
      <c r="V964" s="2" t="str">
        <f>Tabela2[[#This Row],[Coluna4]]</f>
        <v>01/10/2025</v>
      </c>
      <c r="W964" s="2" t="str">
        <f>Tabela2[[#This Row],[Coluna6]]</f>
        <v>01/10/2025</v>
      </c>
    </row>
    <row r="965" spans="2:23" x14ac:dyDescent="0.2">
      <c r="B965" t="s">
        <v>18</v>
      </c>
      <c r="C965" t="s">
        <v>95</v>
      </c>
      <c r="D965" t="s">
        <v>13</v>
      </c>
      <c r="E965" s="8" t="s">
        <v>14</v>
      </c>
      <c r="F965" t="s">
        <v>15</v>
      </c>
      <c r="G965" s="8" t="s">
        <v>14</v>
      </c>
      <c r="H965" t="s">
        <v>435</v>
      </c>
      <c r="I965" t="e">
        <f>VLOOKUP(Tabela2[[#This Row],[Coluna7]],[1]!Tabela1[#All],2,0)</f>
        <v>#REF!</v>
      </c>
      <c r="J965" t="s">
        <v>437</v>
      </c>
      <c r="L965">
        <v>250</v>
      </c>
      <c r="Q965" s="10" t="str">
        <f>Tabela2[[#This Row],[Coluna5]]</f>
        <v>10/2025</v>
      </c>
      <c r="R965" s="10" t="str">
        <f>IF(Tabela2[[#This Row],[Coluna9]]&gt;0,"Entrada","Saída")</f>
        <v>Saída</v>
      </c>
      <c r="S965" s="10" t="str">
        <f>Tabela2[[#This Row],[Coluna8]]</f>
        <v>FERNANDO SILVESTRE DE SOUSA</v>
      </c>
      <c r="T965" s="10" t="e">
        <f>Tabela2[[#This Row],[Coluna72]]</f>
        <v>#REF!</v>
      </c>
      <c r="U965" s="10">
        <f>SUM(Tabela2[[#This Row],[Coluna9]],Tabela2[[#This Row],[Coluna10]])</f>
        <v>250</v>
      </c>
      <c r="V965" s="2" t="str">
        <f>Tabela2[[#This Row],[Coluna4]]</f>
        <v>01/10/2025</v>
      </c>
      <c r="W965" s="2" t="str">
        <f>Tabela2[[#This Row],[Coluna6]]</f>
        <v>01/10/2025</v>
      </c>
    </row>
    <row r="966" spans="2:23" x14ac:dyDescent="0.2">
      <c r="B966" t="s">
        <v>18</v>
      </c>
      <c r="C966" t="s">
        <v>95</v>
      </c>
      <c r="D966" t="s">
        <v>13</v>
      </c>
      <c r="E966" s="8" t="s">
        <v>21</v>
      </c>
      <c r="F966" t="s">
        <v>15</v>
      </c>
      <c r="G966" s="8" t="s">
        <v>21</v>
      </c>
      <c r="H966" t="s">
        <v>438</v>
      </c>
      <c r="I966" t="e">
        <f>VLOOKUP(Tabela2[[#This Row],[Coluna7]],[1]!Tabela1[#All],2,0)</f>
        <v>#REF!</v>
      </c>
      <c r="J966" t="s">
        <v>439</v>
      </c>
      <c r="L966">
        <v>130</v>
      </c>
      <c r="Q966" s="10" t="str">
        <f>Tabela2[[#This Row],[Coluna5]]</f>
        <v>10/2025</v>
      </c>
      <c r="R966" s="10" t="str">
        <f>IF(Tabela2[[#This Row],[Coluna9]]&gt;0,"Entrada","Saída")</f>
        <v>Saída</v>
      </c>
      <c r="S966" s="10" t="str">
        <f>Tabela2[[#This Row],[Coluna8]]</f>
        <v>EDEN SILVA -  COMPUTADORES</v>
      </c>
      <c r="T966" s="10" t="e">
        <f>Tabela2[[#This Row],[Coluna72]]</f>
        <v>#REF!</v>
      </c>
      <c r="U966" s="10">
        <f>SUM(Tabela2[[#This Row],[Coluna9]],Tabela2[[#This Row],[Coluna10]])</f>
        <v>130</v>
      </c>
      <c r="V966" s="2" t="str">
        <f>Tabela2[[#This Row],[Coluna4]]</f>
        <v>06/10/2025</v>
      </c>
      <c r="W966" s="2" t="str">
        <f>Tabela2[[#This Row],[Coluna6]]</f>
        <v>06/10/2025</v>
      </c>
    </row>
    <row r="967" spans="2:23" x14ac:dyDescent="0.2">
      <c r="B967" t="s">
        <v>27</v>
      </c>
      <c r="C967" t="s">
        <v>95</v>
      </c>
      <c r="D967" t="s">
        <v>13</v>
      </c>
      <c r="E967" s="8" t="s">
        <v>21</v>
      </c>
      <c r="F967" t="s">
        <v>15</v>
      </c>
      <c r="G967" s="8" t="s">
        <v>21</v>
      </c>
      <c r="H967" t="s">
        <v>440</v>
      </c>
      <c r="I967" t="e">
        <f>VLOOKUP(Tabela2[[#This Row],[Coluna7]],[1]!Tabela1[#All],2,0)</f>
        <v>#REF!</v>
      </c>
      <c r="J967" t="s">
        <v>441</v>
      </c>
      <c r="L967">
        <v>127.26</v>
      </c>
      <c r="Q967" s="10" t="str">
        <f>Tabela2[[#This Row],[Coluna5]]</f>
        <v>10/2025</v>
      </c>
      <c r="R967" s="10" t="str">
        <f>IF(Tabela2[[#This Row],[Coluna9]]&gt;0,"Entrada","Saída")</f>
        <v>Saída</v>
      </c>
      <c r="S967" s="10" t="str">
        <f>Tabela2[[#This Row],[Coluna8]]</f>
        <v>ENERGISA</v>
      </c>
      <c r="T967" s="10" t="e">
        <f>Tabela2[[#This Row],[Coluna72]]</f>
        <v>#REF!</v>
      </c>
      <c r="U967" s="10">
        <f>SUM(Tabela2[[#This Row],[Coluna9]],Tabela2[[#This Row],[Coluna10]])</f>
        <v>127.26</v>
      </c>
      <c r="V967" s="2" t="str">
        <f>Tabela2[[#This Row],[Coluna4]]</f>
        <v>06/10/2025</v>
      </c>
      <c r="W967" s="2" t="str">
        <f>Tabela2[[#This Row],[Coluna6]]</f>
        <v>06/10/2025</v>
      </c>
    </row>
    <row r="968" spans="2:23" x14ac:dyDescent="0.2">
      <c r="B968" t="s">
        <v>18</v>
      </c>
      <c r="C968" t="s">
        <v>95</v>
      </c>
      <c r="D968" t="s">
        <v>13</v>
      </c>
      <c r="E968" s="8" t="s">
        <v>24</v>
      </c>
      <c r="F968" t="s">
        <v>15</v>
      </c>
      <c r="G968" s="8" t="s">
        <v>24</v>
      </c>
      <c r="H968" t="s">
        <v>442</v>
      </c>
      <c r="I968" t="e">
        <f>VLOOKUP(Tabela2[[#This Row],[Coluna7]],[1]!Tabela1[#All],2,0)</f>
        <v>#REF!</v>
      </c>
      <c r="L968">
        <v>660.79</v>
      </c>
      <c r="Q968" s="10" t="str">
        <f>Tabela2[[#This Row],[Coluna5]]</f>
        <v>10/2025</v>
      </c>
      <c r="R968" s="10" t="str">
        <f>IF(Tabela2[[#This Row],[Coluna9]]&gt;0,"Entrada","Saída")</f>
        <v>Saída</v>
      </c>
      <c r="S968" s="10">
        <f>Tabela2[[#This Row],[Coluna8]]</f>
        <v>0</v>
      </c>
      <c r="T968" s="10" t="e">
        <f>Tabela2[[#This Row],[Coluna72]]</f>
        <v>#REF!</v>
      </c>
      <c r="U968" s="10">
        <f>SUM(Tabela2[[#This Row],[Coluna9]],Tabela2[[#This Row],[Coluna10]])</f>
        <v>660.79</v>
      </c>
      <c r="V968" s="2" t="str">
        <f>Tabela2[[#This Row],[Coluna4]]</f>
        <v>08/10/2025</v>
      </c>
      <c r="W968" s="2" t="str">
        <f>Tabela2[[#This Row],[Coluna6]]</f>
        <v>08/10/2025</v>
      </c>
    </row>
    <row r="969" spans="2:23" x14ac:dyDescent="0.2">
      <c r="B969" t="s">
        <v>18</v>
      </c>
      <c r="C969" t="s">
        <v>95</v>
      </c>
      <c r="D969" t="s">
        <v>13</v>
      </c>
      <c r="E969" s="8" t="s">
        <v>148</v>
      </c>
      <c r="F969" t="s">
        <v>15</v>
      </c>
      <c r="G969" s="8" t="s">
        <v>148</v>
      </c>
      <c r="H969" t="s">
        <v>443</v>
      </c>
      <c r="I969" t="e">
        <f>VLOOKUP(Tabela2[[#This Row],[Coluna7]],[1]!Tabela1[#All],2,0)</f>
        <v>#REF!</v>
      </c>
      <c r="J969" t="s">
        <v>444</v>
      </c>
      <c r="L969">
        <v>7</v>
      </c>
      <c r="Q969" s="10" t="str">
        <f>Tabela2[[#This Row],[Coluna5]]</f>
        <v>10/2025</v>
      </c>
      <c r="R969" s="10" t="str">
        <f>IF(Tabela2[[#This Row],[Coluna9]]&gt;0,"Entrada","Saída")</f>
        <v>Saída</v>
      </c>
      <c r="S969" s="10" t="str">
        <f>Tabela2[[#This Row],[Coluna8]]</f>
        <v>GELADEIRA LEGAL</v>
      </c>
      <c r="T969" s="10" t="e">
        <f>Tabela2[[#This Row],[Coluna72]]</f>
        <v>#REF!</v>
      </c>
      <c r="U969" s="10">
        <f>SUM(Tabela2[[#This Row],[Coluna9]],Tabela2[[#This Row],[Coluna10]])</f>
        <v>7</v>
      </c>
      <c r="V969" s="2" t="str">
        <f>Tabela2[[#This Row],[Coluna4]]</f>
        <v>09/10/2025</v>
      </c>
      <c r="W969" s="2" t="str">
        <f>Tabela2[[#This Row],[Coluna6]]</f>
        <v>09/10/2025</v>
      </c>
    </row>
    <row r="970" spans="2:23" x14ac:dyDescent="0.2">
      <c r="B970" t="s">
        <v>71</v>
      </c>
      <c r="C970" t="s">
        <v>95</v>
      </c>
      <c r="D970" t="s">
        <v>13</v>
      </c>
      <c r="E970" s="8" t="s">
        <v>158</v>
      </c>
      <c r="F970" t="s">
        <v>15</v>
      </c>
      <c r="G970" s="8" t="s">
        <v>158</v>
      </c>
      <c r="H970" t="s">
        <v>445</v>
      </c>
      <c r="I970" t="e">
        <f>VLOOKUP(Tabela2[[#This Row],[Coluna7]],[1]!Tabela1[#All],2,0)</f>
        <v>#REF!</v>
      </c>
      <c r="J970" t="s">
        <v>446</v>
      </c>
      <c r="L970">
        <v>1500</v>
      </c>
      <c r="Q970" s="10" t="str">
        <f>Tabela2[[#This Row],[Coluna5]]</f>
        <v>10/2025</v>
      </c>
      <c r="R970" s="10" t="str">
        <f>IF(Tabela2[[#This Row],[Coluna9]]&gt;0,"Entrada","Saída")</f>
        <v>Saída</v>
      </c>
      <c r="S970" s="10" t="str">
        <f>Tabela2[[#This Row],[Coluna8]]</f>
        <v>4/9 SISTEMA FINANCEIRO</v>
      </c>
      <c r="T970" s="10" t="e">
        <f>Tabela2[[#This Row],[Coluna72]]</f>
        <v>#REF!</v>
      </c>
      <c r="U970" s="10">
        <f>SUM(Tabela2[[#This Row],[Coluna9]],Tabela2[[#This Row],[Coluna10]])</f>
        <v>1500</v>
      </c>
      <c r="V970" s="2" t="str">
        <f>Tabela2[[#This Row],[Coluna4]]</f>
        <v>10/10/2025</v>
      </c>
      <c r="W970" s="2" t="str">
        <f>Tabela2[[#This Row],[Coluna6]]</f>
        <v>10/10/2025</v>
      </c>
    </row>
    <row r="971" spans="2:23" x14ac:dyDescent="0.2">
      <c r="B971" t="s">
        <v>27</v>
      </c>
      <c r="C971" t="s">
        <v>95</v>
      </c>
      <c r="D971" t="s">
        <v>13</v>
      </c>
      <c r="E971" s="8" t="s">
        <v>158</v>
      </c>
      <c r="F971" t="s">
        <v>15</v>
      </c>
      <c r="G971" s="8" t="s">
        <v>158</v>
      </c>
      <c r="H971" t="s">
        <v>445</v>
      </c>
      <c r="I971" t="e">
        <f>VLOOKUP(Tabela2[[#This Row],[Coluna7]],[1]!Tabela1[#All],2,0)</f>
        <v>#REF!</v>
      </c>
      <c r="J971" t="s">
        <v>447</v>
      </c>
      <c r="L971">
        <v>385</v>
      </c>
      <c r="Q971" s="10" t="str">
        <f>Tabela2[[#This Row],[Coluna5]]</f>
        <v>10/2025</v>
      </c>
      <c r="R971" s="10" t="str">
        <f>IF(Tabela2[[#This Row],[Coluna9]]&gt;0,"Entrada","Saída")</f>
        <v>Saída</v>
      </c>
      <c r="S971" s="10" t="str">
        <f>Tabela2[[#This Row],[Coluna8]]</f>
        <v>LEGALMAIL</v>
      </c>
      <c r="T971" s="10" t="e">
        <f>Tabela2[[#This Row],[Coluna72]]</f>
        <v>#REF!</v>
      </c>
      <c r="U971" s="10">
        <f>SUM(Tabela2[[#This Row],[Coluna9]],Tabela2[[#This Row],[Coluna10]])</f>
        <v>385</v>
      </c>
      <c r="V971" s="2" t="str">
        <f>Tabela2[[#This Row],[Coluna4]]</f>
        <v>10/10/2025</v>
      </c>
      <c r="W971" s="2" t="str">
        <f>Tabela2[[#This Row],[Coluna6]]</f>
        <v>10/10/2025</v>
      </c>
    </row>
    <row r="972" spans="2:23" x14ac:dyDescent="0.2">
      <c r="B972" t="s">
        <v>18</v>
      </c>
      <c r="C972" t="s">
        <v>95</v>
      </c>
      <c r="D972" t="s">
        <v>13</v>
      </c>
      <c r="E972" s="8" t="s">
        <v>158</v>
      </c>
      <c r="F972" t="s">
        <v>15</v>
      </c>
      <c r="G972" s="8" t="s">
        <v>158</v>
      </c>
      <c r="H972" t="s">
        <v>442</v>
      </c>
      <c r="I972" t="e">
        <f>VLOOKUP(Tabela2[[#This Row],[Coluna7]],[1]!Tabela1[#All],2,0)</f>
        <v>#REF!</v>
      </c>
      <c r="J972" t="s">
        <v>448</v>
      </c>
      <c r="L972">
        <v>1100</v>
      </c>
      <c r="Q972" s="10" t="str">
        <f>Tabela2[[#This Row],[Coluna5]]</f>
        <v>10/2025</v>
      </c>
      <c r="R972" s="10" t="str">
        <f>IF(Tabela2[[#This Row],[Coluna9]]&gt;0,"Entrada","Saída")</f>
        <v>Saída</v>
      </c>
      <c r="S972" s="10" t="str">
        <f>Tabela2[[#This Row],[Coluna8]]</f>
        <v>COMPRA RPV - ELIEL ANTONIO</v>
      </c>
      <c r="T972" s="10" t="e">
        <f>Tabela2[[#This Row],[Coluna72]]</f>
        <v>#REF!</v>
      </c>
      <c r="U972" s="10">
        <f>SUM(Tabela2[[#This Row],[Coluna9]],Tabela2[[#This Row],[Coluna10]])</f>
        <v>1100</v>
      </c>
      <c r="V972" s="2" t="str">
        <f>Tabela2[[#This Row],[Coluna4]]</f>
        <v>10/10/2025</v>
      </c>
      <c r="W972" s="2" t="str">
        <f>Tabela2[[#This Row],[Coluna6]]</f>
        <v>10/10/2025</v>
      </c>
    </row>
    <row r="973" spans="2:23" x14ac:dyDescent="0.2">
      <c r="B973" t="s">
        <v>27</v>
      </c>
      <c r="C973" t="s">
        <v>95</v>
      </c>
      <c r="D973" t="s">
        <v>13</v>
      </c>
      <c r="E973" s="8" t="s">
        <v>158</v>
      </c>
      <c r="F973" t="s">
        <v>15</v>
      </c>
      <c r="G973" s="8" t="s">
        <v>158</v>
      </c>
      <c r="H973" t="s">
        <v>449</v>
      </c>
      <c r="I973" t="e">
        <f>VLOOKUP(Tabela2[[#This Row],[Coluna7]],[1]!Tabela1[#All],2,0)</f>
        <v>#REF!</v>
      </c>
      <c r="J973" t="s">
        <v>450</v>
      </c>
      <c r="L973">
        <v>2384</v>
      </c>
      <c r="Q973" s="10" t="str">
        <f>Tabela2[[#This Row],[Coluna5]]</f>
        <v>10/2025</v>
      </c>
      <c r="R973" s="10" t="str">
        <f>IF(Tabela2[[#This Row],[Coluna9]]&gt;0,"Entrada","Saída")</f>
        <v>Saída</v>
      </c>
      <c r="S973" s="10" t="str">
        <f>Tabela2[[#This Row],[Coluna8]]</f>
        <v>BERRY CONSULTORIA</v>
      </c>
      <c r="T973" s="10" t="e">
        <f>Tabela2[[#This Row],[Coluna72]]</f>
        <v>#REF!</v>
      </c>
      <c r="U973" s="10">
        <f>SUM(Tabela2[[#This Row],[Coluna9]],Tabela2[[#This Row],[Coluna10]])</f>
        <v>2384</v>
      </c>
      <c r="V973" s="2" t="str">
        <f>Tabela2[[#This Row],[Coluna4]]</f>
        <v>10/10/2025</v>
      </c>
      <c r="W973" s="2" t="str">
        <f>Tabela2[[#This Row],[Coluna6]]</f>
        <v>10/10/2025</v>
      </c>
    </row>
    <row r="974" spans="2:23" x14ac:dyDescent="0.2">
      <c r="B974" t="s">
        <v>27</v>
      </c>
      <c r="C974" t="s">
        <v>95</v>
      </c>
      <c r="D974" t="s">
        <v>13</v>
      </c>
      <c r="E974" s="8" t="s">
        <v>158</v>
      </c>
      <c r="F974" t="s">
        <v>15</v>
      </c>
      <c r="G974" s="8" t="s">
        <v>158</v>
      </c>
      <c r="H974" t="s">
        <v>451</v>
      </c>
      <c r="I974" t="e">
        <f>VLOOKUP(Tabela2[[#This Row],[Coluna7]],[1]!Tabela1[#All],2,0)</f>
        <v>#REF!</v>
      </c>
      <c r="J974" t="s">
        <v>452</v>
      </c>
      <c r="L974">
        <v>94.9</v>
      </c>
      <c r="Q974" s="10" t="str">
        <f>Tabela2[[#This Row],[Coluna5]]</f>
        <v>10/2025</v>
      </c>
      <c r="R974" s="10" t="str">
        <f>IF(Tabela2[[#This Row],[Coluna9]]&gt;0,"Entrada","Saída")</f>
        <v>Saída</v>
      </c>
      <c r="S974" s="10" t="str">
        <f>Tabela2[[#This Row],[Coluna8]]</f>
        <v>CLARO</v>
      </c>
      <c r="T974" s="10" t="e">
        <f>Tabela2[[#This Row],[Coluna72]]</f>
        <v>#REF!</v>
      </c>
      <c r="U974" s="10">
        <f>SUM(Tabela2[[#This Row],[Coluna9]],Tabela2[[#This Row],[Coluna10]])</f>
        <v>94.9</v>
      </c>
      <c r="V974" s="2" t="str">
        <f>Tabela2[[#This Row],[Coluna4]]</f>
        <v>10/10/2025</v>
      </c>
      <c r="W974" s="2" t="str">
        <f>Tabela2[[#This Row],[Coluna6]]</f>
        <v>10/10/2025</v>
      </c>
    </row>
    <row r="975" spans="2:23" x14ac:dyDescent="0.2">
      <c r="B975" t="s">
        <v>27</v>
      </c>
      <c r="C975" t="s">
        <v>95</v>
      </c>
      <c r="D975" t="s">
        <v>13</v>
      </c>
      <c r="E975" s="8" t="s">
        <v>143</v>
      </c>
      <c r="F975" t="s">
        <v>15</v>
      </c>
      <c r="G975" s="8" t="s">
        <v>143</v>
      </c>
      <c r="H975" t="s">
        <v>442</v>
      </c>
      <c r="I975" t="e">
        <f>VLOOKUP(Tabela2[[#This Row],[Coluna7]],[1]!Tabela1[#All],2,0)</f>
        <v>#REF!</v>
      </c>
      <c r="J975" t="s">
        <v>453</v>
      </c>
      <c r="L975">
        <v>996.99</v>
      </c>
      <c r="Q975" s="10" t="str">
        <f>Tabela2[[#This Row],[Coluna5]]</f>
        <v>10/2025</v>
      </c>
      <c r="R975" s="10" t="str">
        <f>IF(Tabela2[[#This Row],[Coluna9]]&gt;0,"Entrada","Saída")</f>
        <v>Saída</v>
      </c>
      <c r="S975" s="10" t="str">
        <f>Tabela2[[#This Row],[Coluna8]]</f>
        <v>CAPITAL DE GIRO</v>
      </c>
      <c r="T975" s="10" t="e">
        <f>Tabela2[[#This Row],[Coluna72]]</f>
        <v>#REF!</v>
      </c>
      <c r="U975" s="10">
        <f>SUM(Tabela2[[#This Row],[Coluna9]],Tabela2[[#This Row],[Coluna10]])</f>
        <v>996.99</v>
      </c>
      <c r="V975" s="2" t="str">
        <f>Tabela2[[#This Row],[Coluna4]]</f>
        <v>13/10/2025</v>
      </c>
      <c r="W975" s="2" t="str">
        <f>Tabela2[[#This Row],[Coluna6]]</f>
        <v>13/10/2025</v>
      </c>
    </row>
    <row r="976" spans="2:23" x14ac:dyDescent="0.2">
      <c r="B976" t="s">
        <v>18</v>
      </c>
      <c r="C976" t="s">
        <v>95</v>
      </c>
      <c r="D976" t="s">
        <v>13</v>
      </c>
      <c r="E976" s="8" t="s">
        <v>143</v>
      </c>
      <c r="F976" t="s">
        <v>15</v>
      </c>
      <c r="G976" s="8" t="s">
        <v>143</v>
      </c>
      <c r="H976" t="s">
        <v>443</v>
      </c>
      <c r="I976" t="e">
        <f>VLOOKUP(Tabela2[[#This Row],[Coluna7]],[1]!Tabela1[#All],2,0)</f>
        <v>#REF!</v>
      </c>
      <c r="J976" t="s">
        <v>454</v>
      </c>
      <c r="L976">
        <v>22</v>
      </c>
      <c r="Q976" s="10" t="str">
        <f>Tabela2[[#This Row],[Coluna5]]</f>
        <v>10/2025</v>
      </c>
      <c r="R976" s="10" t="str">
        <f>IF(Tabela2[[#This Row],[Coluna9]]&gt;0,"Entrada","Saída")</f>
        <v>Saída</v>
      </c>
      <c r="S976" s="10" t="str">
        <f>Tabela2[[#This Row],[Coluna8]]</f>
        <v>ALMOÇO</v>
      </c>
      <c r="T976" s="10" t="e">
        <f>Tabela2[[#This Row],[Coluna72]]</f>
        <v>#REF!</v>
      </c>
      <c r="U976" s="10">
        <f>SUM(Tabela2[[#This Row],[Coluna9]],Tabela2[[#This Row],[Coluna10]])</f>
        <v>22</v>
      </c>
      <c r="V976" s="2" t="str">
        <f>Tabela2[[#This Row],[Coluna4]]</f>
        <v>13/10/2025</v>
      </c>
      <c r="W976" s="2" t="str">
        <f>Tabela2[[#This Row],[Coluna6]]</f>
        <v>13/10/2025</v>
      </c>
    </row>
    <row r="977" spans="2:23" x14ac:dyDescent="0.2">
      <c r="B977" t="s">
        <v>18</v>
      </c>
      <c r="C977" t="s">
        <v>95</v>
      </c>
      <c r="D977" t="s">
        <v>13</v>
      </c>
      <c r="E977" s="8" t="s">
        <v>29</v>
      </c>
      <c r="F977" t="s">
        <v>15</v>
      </c>
      <c r="G977" s="8" t="s">
        <v>29</v>
      </c>
      <c r="H977" t="s">
        <v>438</v>
      </c>
      <c r="I977" t="e">
        <f>VLOOKUP(Tabela2[[#This Row],[Coluna7]],[1]!Tabela1[#All],2,0)</f>
        <v>#REF!</v>
      </c>
      <c r="J977" t="s">
        <v>455</v>
      </c>
      <c r="L977">
        <v>60</v>
      </c>
      <c r="Q977" s="10" t="str">
        <f>Tabela2[[#This Row],[Coluna5]]</f>
        <v>10/2025</v>
      </c>
      <c r="R977" s="10" t="str">
        <f>IF(Tabela2[[#This Row],[Coluna9]]&gt;0,"Entrada","Saída")</f>
        <v>Saída</v>
      </c>
      <c r="S977" s="10" t="str">
        <f>Tabela2[[#This Row],[Coluna8]]</f>
        <v>MICROONDAS</v>
      </c>
      <c r="T977" s="10" t="e">
        <f>Tabela2[[#This Row],[Coluna72]]</f>
        <v>#REF!</v>
      </c>
      <c r="U977" s="10">
        <f>SUM(Tabela2[[#This Row],[Coluna9]],Tabela2[[#This Row],[Coluna10]])</f>
        <v>60</v>
      </c>
      <c r="V977" s="2" t="str">
        <f>Tabela2[[#This Row],[Coluna4]]</f>
        <v>16/10/2025</v>
      </c>
      <c r="W977" s="2" t="str">
        <f>Tabela2[[#This Row],[Coluna6]]</f>
        <v>16/10/2025</v>
      </c>
    </row>
    <row r="978" spans="2:23" x14ac:dyDescent="0.2">
      <c r="B978" t="s">
        <v>12</v>
      </c>
      <c r="C978" t="s">
        <v>95</v>
      </c>
      <c r="D978" t="s">
        <v>13</v>
      </c>
      <c r="E978" s="8" t="s">
        <v>29</v>
      </c>
      <c r="F978" t="s">
        <v>15</v>
      </c>
      <c r="G978" s="8" t="s">
        <v>29</v>
      </c>
      <c r="H978" t="s">
        <v>443</v>
      </c>
      <c r="I978" t="e">
        <f>VLOOKUP(Tabela2[[#This Row],[Coluna7]],[1]!Tabela1[#All],2,0)</f>
        <v>#REF!</v>
      </c>
      <c r="J978" t="s">
        <v>444</v>
      </c>
      <c r="L978">
        <v>101.7</v>
      </c>
      <c r="Q978" s="10" t="str">
        <f>Tabela2[[#This Row],[Coluna5]]</f>
        <v>10/2025</v>
      </c>
      <c r="R978" s="10" t="str">
        <f>IF(Tabela2[[#This Row],[Coluna9]]&gt;0,"Entrada","Saída")</f>
        <v>Saída</v>
      </c>
      <c r="S978" s="10" t="str">
        <f>Tabela2[[#This Row],[Coluna8]]</f>
        <v>GELADEIRA LEGAL</v>
      </c>
      <c r="T978" s="10" t="e">
        <f>Tabela2[[#This Row],[Coluna72]]</f>
        <v>#REF!</v>
      </c>
      <c r="U978" s="10">
        <f>SUM(Tabela2[[#This Row],[Coluna9]],Tabela2[[#This Row],[Coluna10]])</f>
        <v>101.7</v>
      </c>
      <c r="V978" s="2" t="str">
        <f>Tabela2[[#This Row],[Coluna4]]</f>
        <v>16/10/2025</v>
      </c>
      <c r="W978" s="2" t="str">
        <f>Tabela2[[#This Row],[Coluna6]]</f>
        <v>16/10/2025</v>
      </c>
    </row>
    <row r="979" spans="2:23" x14ac:dyDescent="0.2">
      <c r="B979" t="s">
        <v>18</v>
      </c>
      <c r="C979" t="s">
        <v>95</v>
      </c>
      <c r="D979" t="s">
        <v>13</v>
      </c>
      <c r="E979" s="8" t="s">
        <v>31</v>
      </c>
      <c r="F979" t="s">
        <v>15</v>
      </c>
      <c r="G979" s="8" t="s">
        <v>31</v>
      </c>
      <c r="H979" t="s">
        <v>445</v>
      </c>
      <c r="I979" t="e">
        <f>VLOOKUP(Tabela2[[#This Row],[Coluna7]],[1]!Tabela1[#All],2,0)</f>
        <v>#REF!</v>
      </c>
      <c r="J979" t="s">
        <v>456</v>
      </c>
      <c r="L979">
        <v>397</v>
      </c>
      <c r="Q979" s="10" t="str">
        <f>Tabela2[[#This Row],[Coluna5]]</f>
        <v>10/2025</v>
      </c>
      <c r="R979" s="10" t="str">
        <f>IF(Tabela2[[#This Row],[Coluna9]]&gt;0,"Entrada","Saída")</f>
        <v>Saída</v>
      </c>
      <c r="S979" s="10" t="str">
        <f>Tabela2[[#This Row],[Coluna8]]</f>
        <v>ZAP</v>
      </c>
      <c r="T979" s="10" t="e">
        <f>Tabela2[[#This Row],[Coluna72]]</f>
        <v>#REF!</v>
      </c>
      <c r="U979" s="10">
        <f>SUM(Tabela2[[#This Row],[Coluna9]],Tabela2[[#This Row],[Coluna10]])</f>
        <v>397</v>
      </c>
      <c r="V979" s="2" t="str">
        <f>Tabela2[[#This Row],[Coluna4]]</f>
        <v>17/10/2025</v>
      </c>
      <c r="W979" s="2" t="str">
        <f>Tabela2[[#This Row],[Coluna6]]</f>
        <v>17/10/2025</v>
      </c>
    </row>
    <row r="980" spans="2:23" x14ac:dyDescent="0.2">
      <c r="B980" t="s">
        <v>18</v>
      </c>
      <c r="C980" t="s">
        <v>95</v>
      </c>
      <c r="D980" t="s">
        <v>13</v>
      </c>
      <c r="E980" s="8" t="s">
        <v>457</v>
      </c>
      <c r="F980" t="s">
        <v>15</v>
      </c>
      <c r="G980" s="8" t="s">
        <v>457</v>
      </c>
      <c r="H980" t="s">
        <v>458</v>
      </c>
      <c r="I980" t="e">
        <f>VLOOKUP(Tabela2[[#This Row],[Coluna7]],[1]!Tabela1[#All],2,0)</f>
        <v>#REF!</v>
      </c>
      <c r="J980" t="s">
        <v>459</v>
      </c>
      <c r="L980">
        <v>83.8</v>
      </c>
      <c r="Q980" s="10" t="str">
        <f>Tabela2[[#This Row],[Coluna5]]</f>
        <v>10/2025</v>
      </c>
      <c r="R980" s="10" t="str">
        <f>IF(Tabela2[[#This Row],[Coluna9]]&gt;0,"Entrada","Saída")</f>
        <v>Saída</v>
      </c>
      <c r="S980" s="10" t="str">
        <f>Tabela2[[#This Row],[Coluna8]]</f>
        <v>JOAO FELICIANO</v>
      </c>
      <c r="T980" s="10" t="e">
        <f>Tabela2[[#This Row],[Coluna72]]</f>
        <v>#REF!</v>
      </c>
      <c r="U980" s="10">
        <f>SUM(Tabela2[[#This Row],[Coluna9]],Tabela2[[#This Row],[Coluna10]])</f>
        <v>83.8</v>
      </c>
      <c r="V980" s="2" t="str">
        <f>Tabela2[[#This Row],[Coluna4]]</f>
        <v>18/10/2025</v>
      </c>
      <c r="W980" s="2" t="str">
        <f>Tabela2[[#This Row],[Coluna6]]</f>
        <v>18/10/2025</v>
      </c>
    </row>
    <row r="981" spans="2:23" x14ac:dyDescent="0.2">
      <c r="B981" t="s">
        <v>12</v>
      </c>
      <c r="C981" t="s">
        <v>95</v>
      </c>
      <c r="D981" t="s">
        <v>13</v>
      </c>
      <c r="E981" s="8" t="s">
        <v>457</v>
      </c>
      <c r="F981" t="s">
        <v>15</v>
      </c>
      <c r="G981" s="8" t="s">
        <v>457</v>
      </c>
      <c r="H981" t="s">
        <v>443</v>
      </c>
      <c r="I981" t="e">
        <f>VLOOKUP(Tabela2[[#This Row],[Coluna7]],[1]!Tabela1[#All],2,0)</f>
        <v>#REF!</v>
      </c>
      <c r="J981" t="s">
        <v>444</v>
      </c>
      <c r="L981">
        <v>91.51</v>
      </c>
      <c r="Q981" s="10" t="str">
        <f>Tabela2[[#This Row],[Coluna5]]</f>
        <v>10/2025</v>
      </c>
      <c r="R981" s="10" t="str">
        <f>IF(Tabela2[[#This Row],[Coluna9]]&gt;0,"Entrada","Saída")</f>
        <v>Saída</v>
      </c>
      <c r="S981" s="10" t="str">
        <f>Tabela2[[#This Row],[Coluna8]]</f>
        <v>GELADEIRA LEGAL</v>
      </c>
      <c r="T981" s="10" t="e">
        <f>Tabela2[[#This Row],[Coluna72]]</f>
        <v>#REF!</v>
      </c>
      <c r="U981" s="10">
        <f>SUM(Tabela2[[#This Row],[Coluna9]],Tabela2[[#This Row],[Coluna10]])</f>
        <v>91.51</v>
      </c>
      <c r="V981" s="2" t="str">
        <f>Tabela2[[#This Row],[Coluna4]]</f>
        <v>18/10/2025</v>
      </c>
      <c r="W981" s="2" t="str">
        <f>Tabela2[[#This Row],[Coluna6]]</f>
        <v>18/10/2025</v>
      </c>
    </row>
    <row r="982" spans="2:23" x14ac:dyDescent="0.2">
      <c r="B982" t="s">
        <v>18</v>
      </c>
      <c r="C982" t="s">
        <v>95</v>
      </c>
      <c r="D982" t="s">
        <v>13</v>
      </c>
      <c r="E982" s="8" t="s">
        <v>191</v>
      </c>
      <c r="F982" t="s">
        <v>15</v>
      </c>
      <c r="G982" s="8" t="s">
        <v>191</v>
      </c>
      <c r="H982" t="s">
        <v>458</v>
      </c>
      <c r="I982" t="e">
        <f>VLOOKUP(Tabela2[[#This Row],[Coluna7]],[1]!Tabela1[#All],2,0)</f>
        <v>#REF!</v>
      </c>
      <c r="J982" t="s">
        <v>460</v>
      </c>
      <c r="L982">
        <v>100</v>
      </c>
      <c r="Q982" s="10" t="str">
        <f>Tabela2[[#This Row],[Coluna5]]</f>
        <v>10/2025</v>
      </c>
      <c r="R982" s="10" t="str">
        <f>IF(Tabela2[[#This Row],[Coluna9]]&gt;0,"Entrada","Saída")</f>
        <v>Saída</v>
      </c>
      <c r="S982" s="10" t="str">
        <f>Tabela2[[#This Row],[Coluna8]]</f>
        <v>GASOLINA ELIEL</v>
      </c>
      <c r="T982" s="10" t="e">
        <f>Tabela2[[#This Row],[Coluna72]]</f>
        <v>#REF!</v>
      </c>
      <c r="U982" s="10">
        <f>SUM(Tabela2[[#This Row],[Coluna9]],Tabela2[[#This Row],[Coluna10]])</f>
        <v>100</v>
      </c>
      <c r="V982" s="2" t="str">
        <f>Tabela2[[#This Row],[Coluna4]]</f>
        <v>21/10/2025</v>
      </c>
      <c r="W982" s="2" t="str">
        <f>Tabela2[[#This Row],[Coluna6]]</f>
        <v>21/10/2025</v>
      </c>
    </row>
    <row r="983" spans="2:23" x14ac:dyDescent="0.2">
      <c r="B983" t="s">
        <v>18</v>
      </c>
      <c r="C983" t="s">
        <v>95</v>
      </c>
      <c r="D983" t="s">
        <v>13</v>
      </c>
      <c r="E983" s="8" t="s">
        <v>191</v>
      </c>
      <c r="F983" t="s">
        <v>15</v>
      </c>
      <c r="G983" s="8" t="s">
        <v>190</v>
      </c>
      <c r="H983" t="s">
        <v>445</v>
      </c>
      <c r="I983" t="e">
        <f>VLOOKUP(Tabela2[[#This Row],[Coluna7]],[1]!Tabela1[#All],2,0)</f>
        <v>#REF!</v>
      </c>
      <c r="J983" t="s">
        <v>461</v>
      </c>
      <c r="L983">
        <v>744.84</v>
      </c>
      <c r="Q983" s="10" t="str">
        <f>Tabela2[[#This Row],[Coluna5]]</f>
        <v>10/2025</v>
      </c>
      <c r="R983" s="10" t="str">
        <f>IF(Tabela2[[#This Row],[Coluna9]]&gt;0,"Entrada","Saída")</f>
        <v>Saída</v>
      </c>
      <c r="S983" s="10" t="str">
        <f>Tabela2[[#This Row],[Coluna8]]</f>
        <v>E-AUDITORIA</v>
      </c>
      <c r="T983" s="10" t="e">
        <f>Tabela2[[#This Row],[Coluna72]]</f>
        <v>#REF!</v>
      </c>
      <c r="U983" s="10">
        <f>SUM(Tabela2[[#This Row],[Coluna9]],Tabela2[[#This Row],[Coluna10]])</f>
        <v>744.84</v>
      </c>
      <c r="V983" s="2" t="str">
        <f>Tabela2[[#This Row],[Coluna4]]</f>
        <v>21/10/2025</v>
      </c>
      <c r="W983" s="2" t="str">
        <f>Tabela2[[#This Row],[Coluna6]]</f>
        <v>22/10/2025</v>
      </c>
    </row>
    <row r="984" spans="2:23" x14ac:dyDescent="0.2">
      <c r="B984" t="s">
        <v>18</v>
      </c>
      <c r="C984" t="s">
        <v>95</v>
      </c>
      <c r="D984" t="s">
        <v>13</v>
      </c>
      <c r="E984" s="8" t="s">
        <v>391</v>
      </c>
      <c r="F984" t="s">
        <v>15</v>
      </c>
      <c r="G984" s="8" t="s">
        <v>391</v>
      </c>
      <c r="H984" t="s">
        <v>443</v>
      </c>
      <c r="I984" t="e">
        <f>VLOOKUP(Tabela2[[#This Row],[Coluna7]],[1]!Tabela1[#All],2,0)</f>
        <v>#REF!</v>
      </c>
      <c r="J984" t="s">
        <v>462</v>
      </c>
      <c r="L984">
        <v>110</v>
      </c>
      <c r="Q984" s="10" t="str">
        <f>Tabela2[[#This Row],[Coluna5]]</f>
        <v>10/2025</v>
      </c>
      <c r="R984" s="10" t="str">
        <f>IF(Tabela2[[#This Row],[Coluna9]]&gt;0,"Entrada","Saída")</f>
        <v>Saída</v>
      </c>
      <c r="S984" s="10" t="str">
        <f>Tabela2[[#This Row],[Coluna8]]</f>
        <v>GÁS DE COZINHA</v>
      </c>
      <c r="T984" s="10" t="e">
        <f>Tabela2[[#This Row],[Coluna72]]</f>
        <v>#REF!</v>
      </c>
      <c r="U984" s="10">
        <f>SUM(Tabela2[[#This Row],[Coluna9]],Tabela2[[#This Row],[Coluna10]])</f>
        <v>110</v>
      </c>
      <c r="V984" s="2" t="str">
        <f>Tabela2[[#This Row],[Coluna4]]</f>
        <v>23/10/2025</v>
      </c>
      <c r="W984" s="2" t="str">
        <f>Tabela2[[#This Row],[Coluna6]]</f>
        <v>23/10/2025</v>
      </c>
    </row>
    <row r="985" spans="2:23" x14ac:dyDescent="0.2">
      <c r="B985" t="s">
        <v>18</v>
      </c>
      <c r="C985" t="s">
        <v>95</v>
      </c>
      <c r="D985" t="s">
        <v>13</v>
      </c>
      <c r="E985" s="8" t="s">
        <v>194</v>
      </c>
      <c r="F985" t="s">
        <v>15</v>
      </c>
      <c r="G985" s="8" t="s">
        <v>194</v>
      </c>
      <c r="H985" t="s">
        <v>438</v>
      </c>
      <c r="I985" t="e">
        <f>VLOOKUP(Tabela2[[#This Row],[Coluna7]],[1]!Tabela1[#All],2,0)</f>
        <v>#REF!</v>
      </c>
      <c r="J985" t="s">
        <v>463</v>
      </c>
      <c r="L985">
        <v>250</v>
      </c>
      <c r="Q985" s="10" t="str">
        <f>Tabela2[[#This Row],[Coluna5]]</f>
        <v>10/2025</v>
      </c>
      <c r="R985" s="10" t="str">
        <f>IF(Tabela2[[#This Row],[Coluna9]]&gt;0,"Entrada","Saída")</f>
        <v>Saída</v>
      </c>
      <c r="S985" s="10" t="str">
        <f>Tabela2[[#This Row],[Coluna8]]</f>
        <v>NOTEBOOK PATRICIA</v>
      </c>
      <c r="T985" s="10" t="e">
        <f>Tabela2[[#This Row],[Coluna72]]</f>
        <v>#REF!</v>
      </c>
      <c r="U985" s="10">
        <f>SUM(Tabela2[[#This Row],[Coluna9]],Tabela2[[#This Row],[Coluna10]])</f>
        <v>250</v>
      </c>
      <c r="V985" s="2" t="str">
        <f>Tabela2[[#This Row],[Coluna4]]</f>
        <v>24/10/2025</v>
      </c>
      <c r="W985" s="2" t="str">
        <f>Tabela2[[#This Row],[Coluna6]]</f>
        <v>24/10/2025</v>
      </c>
    </row>
    <row r="986" spans="2:23" x14ac:dyDescent="0.2">
      <c r="B986" t="s">
        <v>18</v>
      </c>
      <c r="C986" t="s">
        <v>95</v>
      </c>
      <c r="D986" t="s">
        <v>13</v>
      </c>
      <c r="E986" s="8" t="s">
        <v>194</v>
      </c>
      <c r="F986" t="s">
        <v>15</v>
      </c>
      <c r="G986" s="8" t="s">
        <v>194</v>
      </c>
      <c r="H986" t="s">
        <v>451</v>
      </c>
      <c r="I986" t="e">
        <f>VLOOKUP(Tabela2[[#This Row],[Coluna7]],[1]!Tabela1[#All],2,0)</f>
        <v>#REF!</v>
      </c>
      <c r="J986" t="s">
        <v>464</v>
      </c>
      <c r="L986">
        <v>156.88</v>
      </c>
      <c r="Q986" s="10" t="str">
        <f>Tabela2[[#This Row],[Coluna5]]</f>
        <v>10/2025</v>
      </c>
      <c r="R986" s="10" t="str">
        <f>IF(Tabela2[[#This Row],[Coluna9]]&gt;0,"Entrada","Saída")</f>
        <v>Saída</v>
      </c>
      <c r="S986" s="10" t="str">
        <f>Tabela2[[#This Row],[Coluna8]]</f>
        <v>BRISANET</v>
      </c>
      <c r="T986" s="10" t="e">
        <f>Tabela2[[#This Row],[Coluna72]]</f>
        <v>#REF!</v>
      </c>
      <c r="U986" s="10">
        <f>SUM(Tabela2[[#This Row],[Coluna9]],Tabela2[[#This Row],[Coluna10]])</f>
        <v>156.88</v>
      </c>
      <c r="V986" s="2" t="str">
        <f>Tabela2[[#This Row],[Coluna4]]</f>
        <v>24/10/2025</v>
      </c>
      <c r="W986" s="2" t="str">
        <f>Tabela2[[#This Row],[Coluna6]]</f>
        <v>24/10/2025</v>
      </c>
    </row>
    <row r="987" spans="2:23" x14ac:dyDescent="0.2">
      <c r="B987" t="s">
        <v>18</v>
      </c>
      <c r="C987" t="s">
        <v>95</v>
      </c>
      <c r="D987" t="s">
        <v>13</v>
      </c>
      <c r="E987" s="8" t="s">
        <v>194</v>
      </c>
      <c r="F987" t="s">
        <v>15</v>
      </c>
      <c r="G987" s="8" t="s">
        <v>194</v>
      </c>
      <c r="H987" t="s">
        <v>445</v>
      </c>
      <c r="I987" t="e">
        <f>VLOOKUP(Tabela2[[#This Row],[Coluna7]],[1]!Tabela1[#All],2,0)</f>
        <v>#REF!</v>
      </c>
      <c r="J987" t="s">
        <v>465</v>
      </c>
      <c r="L987">
        <v>482.06</v>
      </c>
      <c r="Q987" s="10" t="str">
        <f>Tabela2[[#This Row],[Coluna5]]</f>
        <v>10/2025</v>
      </c>
      <c r="R987" s="10" t="str">
        <f>IF(Tabela2[[#This Row],[Coluna9]]&gt;0,"Entrada","Saída")</f>
        <v>Saída</v>
      </c>
      <c r="S987" s="10" t="str">
        <f>Tabela2[[#This Row],[Coluna8]]</f>
        <v>OMNI</v>
      </c>
      <c r="T987" s="10" t="e">
        <f>Tabela2[[#This Row],[Coluna72]]</f>
        <v>#REF!</v>
      </c>
      <c r="U987" s="10">
        <f>SUM(Tabela2[[#This Row],[Coluna9]],Tabela2[[#This Row],[Coluna10]])</f>
        <v>482.06</v>
      </c>
      <c r="V987" s="2" t="str">
        <f>Tabela2[[#This Row],[Coluna4]]</f>
        <v>24/10/2025</v>
      </c>
      <c r="W987" s="2" t="str">
        <f>Tabela2[[#This Row],[Coluna6]]</f>
        <v>24/10/2025</v>
      </c>
    </row>
    <row r="988" spans="2:23" x14ac:dyDescent="0.2">
      <c r="B988" t="s">
        <v>12</v>
      </c>
      <c r="C988" t="s">
        <v>95</v>
      </c>
      <c r="D988" t="s">
        <v>13</v>
      </c>
      <c r="E988" s="8" t="s">
        <v>197</v>
      </c>
      <c r="F988" t="s">
        <v>15</v>
      </c>
      <c r="G988" s="8" t="s">
        <v>197</v>
      </c>
      <c r="H988" t="s">
        <v>443</v>
      </c>
      <c r="I988" t="e">
        <f>VLOOKUP(Tabela2[[#This Row],[Coluna7]],[1]!Tabela1[#All],2,0)</f>
        <v>#REF!</v>
      </c>
      <c r="J988" t="s">
        <v>444</v>
      </c>
      <c r="L988">
        <v>22.28</v>
      </c>
      <c r="Q988" s="10" t="str">
        <f>Tabela2[[#This Row],[Coluna5]]</f>
        <v>10/2025</v>
      </c>
      <c r="R988" s="10" t="str">
        <f>IF(Tabela2[[#This Row],[Coluna9]]&gt;0,"Entrada","Saída")</f>
        <v>Saída</v>
      </c>
      <c r="S988" s="10" t="str">
        <f>Tabela2[[#This Row],[Coluna8]]</f>
        <v>GELADEIRA LEGAL</v>
      </c>
      <c r="T988" s="10" t="e">
        <f>Tabela2[[#This Row],[Coluna72]]</f>
        <v>#REF!</v>
      </c>
      <c r="U988" s="10">
        <f>SUM(Tabela2[[#This Row],[Coluna9]],Tabela2[[#This Row],[Coluna10]])</f>
        <v>22.28</v>
      </c>
      <c r="V988" s="2" t="str">
        <f>Tabela2[[#This Row],[Coluna4]]</f>
        <v>25/10/2025</v>
      </c>
      <c r="W988" s="2" t="str">
        <f>Tabela2[[#This Row],[Coluna6]]</f>
        <v>25/10/2025</v>
      </c>
    </row>
    <row r="989" spans="2:23" x14ac:dyDescent="0.2">
      <c r="B989" t="s">
        <v>18</v>
      </c>
      <c r="C989" t="s">
        <v>95</v>
      </c>
      <c r="D989" t="s">
        <v>13</v>
      </c>
      <c r="E989" s="8" t="s">
        <v>38</v>
      </c>
      <c r="F989" t="s">
        <v>15</v>
      </c>
      <c r="G989" s="8" t="s">
        <v>38</v>
      </c>
      <c r="H989" t="s">
        <v>458</v>
      </c>
      <c r="I989" t="e">
        <f>VLOOKUP(Tabela2[[#This Row],[Coluna7]],[1]!Tabela1[#All],2,0)</f>
        <v>#REF!</v>
      </c>
      <c r="J989" t="s">
        <v>466</v>
      </c>
      <c r="L989">
        <v>100</v>
      </c>
      <c r="Q989" s="10" t="str">
        <f>Tabela2[[#This Row],[Coluna5]]</f>
        <v>10/2025</v>
      </c>
      <c r="R989" s="10" t="str">
        <f>IF(Tabela2[[#This Row],[Coluna9]]&gt;0,"Entrada","Saída")</f>
        <v>Saída</v>
      </c>
      <c r="S989" s="10" t="str">
        <f>Tabela2[[#This Row],[Coluna8]]</f>
        <v>ELIEL ANTONIO - GASOLINA</v>
      </c>
      <c r="T989" s="10" t="e">
        <f>Tabela2[[#This Row],[Coluna72]]</f>
        <v>#REF!</v>
      </c>
      <c r="U989" s="10">
        <f>SUM(Tabela2[[#This Row],[Coluna9]],Tabela2[[#This Row],[Coluna10]])</f>
        <v>100</v>
      </c>
      <c r="V989" s="2" t="str">
        <f>Tabela2[[#This Row],[Coluna4]]</f>
        <v>27/10/2025</v>
      </c>
      <c r="W989" s="2" t="str">
        <f>Tabela2[[#This Row],[Coluna6]]</f>
        <v>27/10/2025</v>
      </c>
    </row>
    <row r="990" spans="2:23" x14ac:dyDescent="0.2">
      <c r="B990" t="s">
        <v>18</v>
      </c>
      <c r="C990" t="s">
        <v>95</v>
      </c>
      <c r="D990" t="s">
        <v>13</v>
      </c>
      <c r="E990" s="8" t="s">
        <v>38</v>
      </c>
      <c r="F990" t="s">
        <v>15</v>
      </c>
      <c r="G990" s="8" t="s">
        <v>38</v>
      </c>
      <c r="H990" t="s">
        <v>458</v>
      </c>
      <c r="I990" t="e">
        <f>VLOOKUP(Tabela2[[#This Row],[Coluna7]],[1]!Tabela1[#All],2,0)</f>
        <v>#REF!</v>
      </c>
      <c r="J990" t="s">
        <v>467</v>
      </c>
      <c r="L990">
        <v>150</v>
      </c>
      <c r="Q990" s="10" t="str">
        <f>Tabela2[[#This Row],[Coluna5]]</f>
        <v>10/2025</v>
      </c>
      <c r="R990" s="10" t="str">
        <f>IF(Tabela2[[#This Row],[Coluna9]]&gt;0,"Entrada","Saída")</f>
        <v>Saída</v>
      </c>
      <c r="S990" s="10" t="str">
        <f>Tabela2[[#This Row],[Coluna8]]</f>
        <v>REBOQUE STRADA</v>
      </c>
      <c r="T990" s="10" t="e">
        <f>Tabela2[[#This Row],[Coluna72]]</f>
        <v>#REF!</v>
      </c>
      <c r="U990" s="10">
        <f>SUM(Tabela2[[#This Row],[Coluna9]],Tabela2[[#This Row],[Coluna10]])</f>
        <v>150</v>
      </c>
      <c r="V990" s="2" t="str">
        <f>Tabela2[[#This Row],[Coluna4]]</f>
        <v>27/10/2025</v>
      </c>
      <c r="W990" s="2" t="str">
        <f>Tabela2[[#This Row],[Coluna6]]</f>
        <v>27/10/2025</v>
      </c>
    </row>
    <row r="991" spans="2:23" x14ac:dyDescent="0.2">
      <c r="B991" t="s">
        <v>18</v>
      </c>
      <c r="C991" t="s">
        <v>95</v>
      </c>
      <c r="D991" t="s">
        <v>13</v>
      </c>
      <c r="E991" s="8" t="s">
        <v>38</v>
      </c>
      <c r="F991" t="s">
        <v>15</v>
      </c>
      <c r="G991" s="8" t="s">
        <v>38</v>
      </c>
      <c r="H991" t="s">
        <v>458</v>
      </c>
      <c r="I991" t="e">
        <f>VLOOKUP(Tabela2[[#This Row],[Coluna7]],[1]!Tabela1[#All],2,0)</f>
        <v>#REF!</v>
      </c>
      <c r="J991" t="s">
        <v>468</v>
      </c>
      <c r="L991">
        <v>100</v>
      </c>
      <c r="Q991" s="10" t="str">
        <f>Tabela2[[#This Row],[Coluna5]]</f>
        <v>10/2025</v>
      </c>
      <c r="R991" s="10" t="str">
        <f>IF(Tabela2[[#This Row],[Coluna9]]&gt;0,"Entrada","Saída")</f>
        <v>Saída</v>
      </c>
      <c r="S991" s="10" t="str">
        <f>Tabela2[[#This Row],[Coluna8]]</f>
        <v>ELIEL ANTONIO -  GASOLINA (24/10)</v>
      </c>
      <c r="T991" s="10" t="e">
        <f>Tabela2[[#This Row],[Coluna72]]</f>
        <v>#REF!</v>
      </c>
      <c r="U991" s="10">
        <f>SUM(Tabela2[[#This Row],[Coluna9]],Tabela2[[#This Row],[Coluna10]])</f>
        <v>100</v>
      </c>
      <c r="V991" s="2" t="str">
        <f>Tabela2[[#This Row],[Coluna4]]</f>
        <v>27/10/2025</v>
      </c>
      <c r="W991" s="2" t="str">
        <f>Tabela2[[#This Row],[Coluna6]]</f>
        <v>27/10/2025</v>
      </c>
    </row>
    <row r="992" spans="2:23" x14ac:dyDescent="0.2">
      <c r="B992" t="s">
        <v>27</v>
      </c>
      <c r="C992" t="s">
        <v>95</v>
      </c>
      <c r="D992" t="s">
        <v>13</v>
      </c>
      <c r="E992" s="8" t="s">
        <v>38</v>
      </c>
      <c r="F992" t="s">
        <v>42</v>
      </c>
      <c r="G992" s="8" t="s">
        <v>38</v>
      </c>
      <c r="H992" t="s">
        <v>442</v>
      </c>
      <c r="I992" t="e">
        <f>VLOOKUP(Tabela2[[#This Row],[Coluna7]],[1]!Tabela1[#All],2,0)</f>
        <v>#REF!</v>
      </c>
      <c r="J992" t="s">
        <v>453</v>
      </c>
      <c r="L992">
        <v>1007.31</v>
      </c>
      <c r="Q992" s="10" t="str">
        <f>Tabela2[[#This Row],[Coluna5]]</f>
        <v>11/2025</v>
      </c>
      <c r="R992" s="10" t="str">
        <f>IF(Tabela2[[#This Row],[Coluna9]]&gt;0,"Entrada","Saída")</f>
        <v>Saída</v>
      </c>
      <c r="S992" s="10" t="str">
        <f>Tabela2[[#This Row],[Coluna8]]</f>
        <v>CAPITAL DE GIRO</v>
      </c>
      <c r="T992" s="10" t="e">
        <f>Tabela2[[#This Row],[Coluna72]]</f>
        <v>#REF!</v>
      </c>
      <c r="U992" s="10">
        <f>SUM(Tabela2[[#This Row],[Coluna9]],Tabela2[[#This Row],[Coluna10]])</f>
        <v>1007.31</v>
      </c>
      <c r="V992" s="2" t="str">
        <f>Tabela2[[#This Row],[Coluna4]]</f>
        <v>27/10/2025</v>
      </c>
      <c r="W992" s="2" t="str">
        <f>Tabela2[[#This Row],[Coluna6]]</f>
        <v>27/10/2025</v>
      </c>
    </row>
    <row r="993" spans="2:23" x14ac:dyDescent="0.2">
      <c r="B993" t="s">
        <v>18</v>
      </c>
      <c r="C993" t="s">
        <v>95</v>
      </c>
      <c r="D993" t="s">
        <v>13</v>
      </c>
      <c r="E993" s="8" t="s">
        <v>201</v>
      </c>
      <c r="F993" t="s">
        <v>15</v>
      </c>
      <c r="G993" s="8" t="s">
        <v>201</v>
      </c>
      <c r="H993" t="s">
        <v>469</v>
      </c>
      <c r="I993" t="e">
        <f>VLOOKUP(Tabela2[[#This Row],[Coluna7]],[1]!Tabela1[#All],2,0)</f>
        <v>#REF!</v>
      </c>
      <c r="J993" t="s">
        <v>470</v>
      </c>
      <c r="L993">
        <v>10.5</v>
      </c>
      <c r="Q993" s="10" t="str">
        <f>Tabela2[[#This Row],[Coluna5]]</f>
        <v>10/2025</v>
      </c>
      <c r="R993" s="10" t="str">
        <f>IF(Tabela2[[#This Row],[Coluna9]]&gt;0,"Entrada","Saída")</f>
        <v>Saída</v>
      </c>
      <c r="S993" s="10" t="str">
        <f>Tabela2[[#This Row],[Coluna8]]</f>
        <v>DESCARTÁVEIS</v>
      </c>
      <c r="T993" s="10" t="e">
        <f>Tabela2[[#This Row],[Coluna72]]</f>
        <v>#REF!</v>
      </c>
      <c r="U993" s="10">
        <f>SUM(Tabela2[[#This Row],[Coluna9]],Tabela2[[#This Row],[Coluna10]])</f>
        <v>10.5</v>
      </c>
      <c r="V993" s="2" t="str">
        <f>Tabela2[[#This Row],[Coluna4]]</f>
        <v>28/10/2025</v>
      </c>
      <c r="W993" s="2" t="str">
        <f>Tabela2[[#This Row],[Coluna6]]</f>
        <v>28/10/2025</v>
      </c>
    </row>
    <row r="994" spans="2:23" x14ac:dyDescent="0.2">
      <c r="B994" t="s">
        <v>18</v>
      </c>
      <c r="C994" t="s">
        <v>95</v>
      </c>
      <c r="D994" t="s">
        <v>13</v>
      </c>
      <c r="E994" s="8" t="s">
        <v>201</v>
      </c>
      <c r="F994" t="s">
        <v>15</v>
      </c>
      <c r="G994" s="8" t="s">
        <v>201</v>
      </c>
      <c r="H994" t="s">
        <v>458</v>
      </c>
      <c r="I994" t="e">
        <f>VLOOKUP(Tabela2[[#This Row],[Coluna7]],[1]!Tabela1[#All],2,0)</f>
        <v>#REF!</v>
      </c>
      <c r="J994" t="s">
        <v>471</v>
      </c>
      <c r="L994">
        <v>430</v>
      </c>
      <c r="Q994" s="10" t="str">
        <f>Tabela2[[#This Row],[Coluna5]]</f>
        <v>10/2025</v>
      </c>
      <c r="R994" s="10" t="str">
        <f>IF(Tabela2[[#This Row],[Coluna9]]&gt;0,"Entrada","Saída")</f>
        <v>Saída</v>
      </c>
      <c r="S994" s="10" t="str">
        <f>Tabela2[[#This Row],[Coluna8]]</f>
        <v>MANUTENÇÃO STRADA</v>
      </c>
      <c r="T994" s="10" t="e">
        <f>Tabela2[[#This Row],[Coluna72]]</f>
        <v>#REF!</v>
      </c>
      <c r="U994" s="10">
        <f>SUM(Tabela2[[#This Row],[Coluna9]],Tabela2[[#This Row],[Coluna10]])</f>
        <v>430</v>
      </c>
      <c r="V994" s="2" t="str">
        <f>Tabela2[[#This Row],[Coluna4]]</f>
        <v>28/10/2025</v>
      </c>
      <c r="W994" s="2" t="str">
        <f>Tabela2[[#This Row],[Coluna6]]</f>
        <v>28/10/2025</v>
      </c>
    </row>
    <row r="995" spans="2:23" x14ac:dyDescent="0.2">
      <c r="B995" t="s">
        <v>18</v>
      </c>
      <c r="C995" t="s">
        <v>95</v>
      </c>
      <c r="D995" t="s">
        <v>13</v>
      </c>
      <c r="E995" s="8" t="s">
        <v>127</v>
      </c>
      <c r="F995" t="s">
        <v>42</v>
      </c>
      <c r="G995" s="8" t="s">
        <v>127</v>
      </c>
      <c r="H995" t="s">
        <v>458</v>
      </c>
      <c r="I995" t="e">
        <f>VLOOKUP(Tabela2[[#This Row],[Coluna7]],[1]!Tabela1[#All],2,0)</f>
        <v>#REF!</v>
      </c>
      <c r="J995" t="s">
        <v>472</v>
      </c>
      <c r="L995">
        <v>60</v>
      </c>
      <c r="Q995" s="10" t="str">
        <f>Tabela2[[#This Row],[Coluna5]]</f>
        <v>11/2025</v>
      </c>
      <c r="R995" s="10" t="str">
        <f>IF(Tabela2[[#This Row],[Coluna9]]&gt;0,"Entrada","Saída")</f>
        <v>Saída</v>
      </c>
      <c r="S995" s="10" t="str">
        <f>Tabela2[[#This Row],[Coluna8]]</f>
        <v>EDUARDO FERREIRA BARBOSA</v>
      </c>
      <c r="T995" s="10" t="e">
        <f>Tabela2[[#This Row],[Coluna72]]</f>
        <v>#REF!</v>
      </c>
      <c r="U995" s="10">
        <f>SUM(Tabela2[[#This Row],[Coluna9]],Tabela2[[#This Row],[Coluna10]])</f>
        <v>60</v>
      </c>
      <c r="V995" s="2" t="str">
        <f>Tabela2[[#This Row],[Coluna4]]</f>
        <v>29/10/2025</v>
      </c>
      <c r="W995" s="2" t="str">
        <f>Tabela2[[#This Row],[Coluna6]]</f>
        <v>29/10/2025</v>
      </c>
    </row>
    <row r="996" spans="2:23" x14ac:dyDescent="0.2">
      <c r="B996" t="s">
        <v>18</v>
      </c>
      <c r="C996" t="s">
        <v>95</v>
      </c>
      <c r="D996" t="s">
        <v>13</v>
      </c>
      <c r="E996" s="8" t="s">
        <v>127</v>
      </c>
      <c r="F996" t="s">
        <v>42</v>
      </c>
      <c r="G996" s="8" t="s">
        <v>127</v>
      </c>
      <c r="H996" t="s">
        <v>438</v>
      </c>
      <c r="I996" t="e">
        <f>VLOOKUP(Tabela2[[#This Row],[Coluna7]],[1]!Tabela1[#All],2,0)</f>
        <v>#REF!</v>
      </c>
      <c r="J996" t="s">
        <v>473</v>
      </c>
      <c r="L996">
        <v>110</v>
      </c>
      <c r="Q996" s="10" t="str">
        <f>Tabela2[[#This Row],[Coluna5]]</f>
        <v>11/2025</v>
      </c>
      <c r="R996" s="10" t="str">
        <f>IF(Tabela2[[#This Row],[Coluna9]]&gt;0,"Entrada","Saída")</f>
        <v>Saída</v>
      </c>
      <c r="S996" s="10" t="str">
        <f>Tabela2[[#This Row],[Coluna8]]</f>
        <v>ELETRÔNICOS - JOACI VARELO DA COSTA</v>
      </c>
      <c r="T996" s="10" t="e">
        <f>Tabela2[[#This Row],[Coluna72]]</f>
        <v>#REF!</v>
      </c>
      <c r="U996" s="10">
        <f>SUM(Tabela2[[#This Row],[Coluna9]],Tabela2[[#This Row],[Coluna10]])</f>
        <v>110</v>
      </c>
      <c r="V996" s="2" t="str">
        <f>Tabela2[[#This Row],[Coluna4]]</f>
        <v>29/10/2025</v>
      </c>
      <c r="W996" s="2" t="str">
        <f>Tabela2[[#This Row],[Coluna6]]</f>
        <v>29/10/2025</v>
      </c>
    </row>
    <row r="997" spans="2:23" x14ac:dyDescent="0.2">
      <c r="B997" t="s">
        <v>18</v>
      </c>
      <c r="C997" t="s">
        <v>95</v>
      </c>
      <c r="D997" t="s">
        <v>13</v>
      </c>
      <c r="E997" s="8" t="s">
        <v>474</v>
      </c>
      <c r="F997" t="s">
        <v>42</v>
      </c>
      <c r="G997" s="8" t="s">
        <v>474</v>
      </c>
      <c r="H997" t="s">
        <v>458</v>
      </c>
      <c r="I997" t="e">
        <f>VLOOKUP(Tabela2[[#This Row],[Coluna7]],[1]!Tabela1[#All],2,0)</f>
        <v>#REF!</v>
      </c>
      <c r="J997" t="s">
        <v>475</v>
      </c>
      <c r="L997">
        <v>150</v>
      </c>
      <c r="Q997" s="10" t="str">
        <f>Tabela2[[#This Row],[Coluna5]]</f>
        <v>11/2025</v>
      </c>
      <c r="R997" s="10" t="str">
        <f>IF(Tabela2[[#This Row],[Coluna9]]&gt;0,"Entrada","Saída")</f>
        <v>Saída</v>
      </c>
      <c r="S997" s="10" t="str">
        <f>Tabela2[[#This Row],[Coluna8]]</f>
        <v>REBOQUE - MARCIO RICARDO</v>
      </c>
      <c r="T997" s="10" t="e">
        <f>Tabela2[[#This Row],[Coluna72]]</f>
        <v>#REF!</v>
      </c>
      <c r="U997" s="10">
        <f>SUM(Tabela2[[#This Row],[Coluna9]],Tabela2[[#This Row],[Coluna10]])</f>
        <v>150</v>
      </c>
      <c r="V997" s="2" t="str">
        <f>Tabela2[[#This Row],[Coluna4]]</f>
        <v>01/11/2025</v>
      </c>
      <c r="W997" s="2" t="str">
        <f>Tabela2[[#This Row],[Coluna6]]</f>
        <v>01/11/2025</v>
      </c>
    </row>
    <row r="998" spans="2:23" x14ac:dyDescent="0.2">
      <c r="B998" t="s">
        <v>18</v>
      </c>
      <c r="C998" t="s">
        <v>95</v>
      </c>
      <c r="D998" t="s">
        <v>13</v>
      </c>
      <c r="E998" s="8" t="s">
        <v>52</v>
      </c>
      <c r="F998" t="s">
        <v>42</v>
      </c>
      <c r="G998" s="8" t="s">
        <v>52</v>
      </c>
      <c r="H998" t="s">
        <v>435</v>
      </c>
      <c r="I998" t="e">
        <f>VLOOKUP(Tabela2[[#This Row],[Coluna7]],[1]!Tabela1[#All],2,0)</f>
        <v>#REF!</v>
      </c>
      <c r="J998" t="s">
        <v>476</v>
      </c>
      <c r="L998">
        <v>162.80000000000001</v>
      </c>
      <c r="Q998" s="10" t="str">
        <f>Tabela2[[#This Row],[Coluna5]]</f>
        <v>11/2025</v>
      </c>
      <c r="R998" s="10" t="str">
        <f>IF(Tabela2[[#This Row],[Coluna9]]&gt;0,"Entrada","Saída")</f>
        <v>Saída</v>
      </c>
      <c r="S998" s="10" t="str">
        <f>Tabela2[[#This Row],[Coluna8]]</f>
        <v>TAPETE PARA AREA DE DESCOMPRESSAO</v>
      </c>
      <c r="T998" s="10" t="e">
        <f>Tabela2[[#This Row],[Coluna72]]</f>
        <v>#REF!</v>
      </c>
      <c r="U998" s="10">
        <f>SUM(Tabela2[[#This Row],[Coluna9]],Tabela2[[#This Row],[Coluna10]])</f>
        <v>162.80000000000001</v>
      </c>
      <c r="V998" s="2" t="str">
        <f>Tabela2[[#This Row],[Coluna4]]</f>
        <v>03/11/2025</v>
      </c>
      <c r="W998" s="2" t="str">
        <f>Tabela2[[#This Row],[Coluna6]]</f>
        <v>03/11/2025</v>
      </c>
    </row>
    <row r="999" spans="2:23" x14ac:dyDescent="0.2">
      <c r="B999" t="s">
        <v>18</v>
      </c>
      <c r="C999" t="s">
        <v>95</v>
      </c>
      <c r="D999" t="s">
        <v>13</v>
      </c>
      <c r="E999" s="8" t="s">
        <v>41</v>
      </c>
      <c r="F999" t="s">
        <v>42</v>
      </c>
      <c r="G999" s="8" t="s">
        <v>41</v>
      </c>
      <c r="H999" t="s">
        <v>458</v>
      </c>
      <c r="I999" t="e">
        <f>VLOOKUP(Tabela2[[#This Row],[Coluna7]],[1]!Tabela1[#All],2,0)</f>
        <v>#REF!</v>
      </c>
      <c r="J999" t="s">
        <v>472</v>
      </c>
      <c r="L999">
        <v>650</v>
      </c>
      <c r="Q999" s="10" t="str">
        <f>Tabela2[[#This Row],[Coluna5]]</f>
        <v>11/2025</v>
      </c>
      <c r="R999" s="10" t="str">
        <f>IF(Tabela2[[#This Row],[Coluna9]]&gt;0,"Entrada","Saída")</f>
        <v>Saída</v>
      </c>
      <c r="S999" s="10" t="str">
        <f>Tabela2[[#This Row],[Coluna8]]</f>
        <v>EDUARDO FERREIRA BARBOSA</v>
      </c>
      <c r="T999" s="10" t="e">
        <f>Tabela2[[#This Row],[Coluna72]]</f>
        <v>#REF!</v>
      </c>
      <c r="U999" s="10">
        <f>SUM(Tabela2[[#This Row],[Coluna9]],Tabela2[[#This Row],[Coluna10]])</f>
        <v>650</v>
      </c>
      <c r="V999" s="2" t="str">
        <f>Tabela2[[#This Row],[Coluna4]]</f>
        <v>04/11/2025</v>
      </c>
      <c r="W999" s="2" t="str">
        <f>Tabela2[[#This Row],[Coluna6]]</f>
        <v>04/11/2025</v>
      </c>
    </row>
    <row r="1000" spans="2:23" x14ac:dyDescent="0.2">
      <c r="B1000" t="s">
        <v>18</v>
      </c>
      <c r="C1000" t="s">
        <v>95</v>
      </c>
      <c r="D1000" t="s">
        <v>13</v>
      </c>
      <c r="E1000" s="8" t="s">
        <v>43</v>
      </c>
      <c r="F1000" t="s">
        <v>42</v>
      </c>
      <c r="G1000" s="8" t="s">
        <v>231</v>
      </c>
      <c r="H1000" t="s">
        <v>477</v>
      </c>
      <c r="I1000" t="e">
        <f>VLOOKUP(Tabela2[[#This Row],[Coluna7]],[1]!Tabela1[#All],2,0)</f>
        <v>#REF!</v>
      </c>
      <c r="J1000" t="s">
        <v>478</v>
      </c>
      <c r="L1000">
        <v>800</v>
      </c>
      <c r="Q1000" s="10" t="str">
        <f>Tabela2[[#This Row],[Coluna5]]</f>
        <v>11/2025</v>
      </c>
      <c r="R1000" s="10" t="str">
        <f>IF(Tabela2[[#This Row],[Coluna9]]&gt;0,"Entrada","Saída")</f>
        <v>Saída</v>
      </c>
      <c r="S1000" s="10" t="str">
        <f>Tabela2[[#This Row],[Coluna8]]</f>
        <v>ALISSON TRAJANO</v>
      </c>
      <c r="T1000" s="10" t="e">
        <f>Tabela2[[#This Row],[Coluna72]]</f>
        <v>#REF!</v>
      </c>
      <c r="U1000" s="10">
        <f>SUM(Tabela2[[#This Row],[Coluna9]],Tabela2[[#This Row],[Coluna10]])</f>
        <v>800</v>
      </c>
      <c r="V1000" s="2" t="str">
        <f>Tabela2[[#This Row],[Coluna4]]</f>
        <v>05/11/2025</v>
      </c>
      <c r="W1000" s="2" t="str">
        <f>Tabela2[[#This Row],[Coluna6]]</f>
        <v>07/11/2025</v>
      </c>
    </row>
    <row r="1001" spans="2:23" x14ac:dyDescent="0.2">
      <c r="B1001" t="s">
        <v>71</v>
      </c>
      <c r="C1001" t="s">
        <v>95</v>
      </c>
      <c r="D1001" t="s">
        <v>13</v>
      </c>
      <c r="E1001" s="8" t="s">
        <v>44</v>
      </c>
      <c r="F1001" t="s">
        <v>42</v>
      </c>
      <c r="G1001" s="8" t="s">
        <v>231</v>
      </c>
      <c r="H1001" t="s">
        <v>440</v>
      </c>
      <c r="I1001" t="e">
        <f>VLOOKUP(Tabela2[[#This Row],[Coluna7]],[1]!Tabela1[#All],2,0)</f>
        <v>#REF!</v>
      </c>
      <c r="J1001" t="s">
        <v>441</v>
      </c>
      <c r="L1001">
        <v>127.26</v>
      </c>
      <c r="Q1001" s="10" t="str">
        <f>Tabela2[[#This Row],[Coluna5]]</f>
        <v>11/2025</v>
      </c>
      <c r="R1001" s="10" t="str">
        <f>IF(Tabela2[[#This Row],[Coluna9]]&gt;0,"Entrada","Saída")</f>
        <v>Saída</v>
      </c>
      <c r="S1001" s="10" t="str">
        <f>Tabela2[[#This Row],[Coluna8]]</f>
        <v>ENERGISA</v>
      </c>
      <c r="T1001" s="10" t="e">
        <f>Tabela2[[#This Row],[Coluna72]]</f>
        <v>#REF!</v>
      </c>
      <c r="U1001" s="10">
        <f>SUM(Tabela2[[#This Row],[Coluna9]],Tabela2[[#This Row],[Coluna10]])</f>
        <v>127.26</v>
      </c>
      <c r="V1001" s="2" t="str">
        <f>Tabela2[[#This Row],[Coluna4]]</f>
        <v>06/11/2025</v>
      </c>
      <c r="W1001" s="2" t="str">
        <f>Tabela2[[#This Row],[Coluna6]]</f>
        <v>07/11/2025</v>
      </c>
    </row>
    <row r="1002" spans="2:23" x14ac:dyDescent="0.2">
      <c r="B1002" t="s">
        <v>18</v>
      </c>
      <c r="C1002" t="s">
        <v>95</v>
      </c>
      <c r="D1002" t="s">
        <v>13</v>
      </c>
      <c r="E1002" s="8" t="s">
        <v>231</v>
      </c>
      <c r="F1002" t="s">
        <v>42</v>
      </c>
      <c r="G1002" s="8" t="s">
        <v>231</v>
      </c>
      <c r="H1002" t="s">
        <v>443</v>
      </c>
      <c r="I1002" t="e">
        <f>VLOOKUP(Tabela2[[#This Row],[Coluna7]],[1]!Tabela1[#All],2,0)</f>
        <v>#REF!</v>
      </c>
      <c r="J1002" t="s">
        <v>444</v>
      </c>
      <c r="L1002">
        <v>31</v>
      </c>
      <c r="Q1002" s="10" t="str">
        <f>Tabela2[[#This Row],[Coluna5]]</f>
        <v>11/2025</v>
      </c>
      <c r="R1002" s="10" t="str">
        <f>IF(Tabela2[[#This Row],[Coluna9]]&gt;0,"Entrada","Saída")</f>
        <v>Saída</v>
      </c>
      <c r="S1002" s="10" t="str">
        <f>Tabela2[[#This Row],[Coluna8]]</f>
        <v>GELADEIRA LEGAL</v>
      </c>
      <c r="T1002" s="10" t="e">
        <f>Tabela2[[#This Row],[Coluna72]]</f>
        <v>#REF!</v>
      </c>
      <c r="U1002" s="10">
        <f>SUM(Tabela2[[#This Row],[Coluna9]],Tabela2[[#This Row],[Coluna10]])</f>
        <v>31</v>
      </c>
      <c r="V1002" s="2" t="str">
        <f>Tabela2[[#This Row],[Coluna4]]</f>
        <v>07/11/2025</v>
      </c>
      <c r="W1002" s="2" t="str">
        <f>Tabela2[[#This Row],[Coluna6]]</f>
        <v>07/11/2025</v>
      </c>
    </row>
    <row r="1003" spans="2:23" x14ac:dyDescent="0.2">
      <c r="B1003" t="s">
        <v>71</v>
      </c>
      <c r="C1003" t="s">
        <v>95</v>
      </c>
      <c r="D1003" t="s">
        <v>13</v>
      </c>
      <c r="E1003" s="8" t="s">
        <v>47</v>
      </c>
      <c r="F1003" t="s">
        <v>42</v>
      </c>
      <c r="G1003" s="8" t="s">
        <v>47</v>
      </c>
      <c r="H1003" t="s">
        <v>445</v>
      </c>
      <c r="I1003" t="e">
        <f>VLOOKUP(Tabela2[[#This Row],[Coluna7]],[1]!Tabela1[#All],2,0)</f>
        <v>#REF!</v>
      </c>
      <c r="J1003" t="s">
        <v>479</v>
      </c>
      <c r="L1003">
        <v>1500</v>
      </c>
      <c r="Q1003" s="10" t="str">
        <f>Tabela2[[#This Row],[Coluna5]]</f>
        <v>11/2025</v>
      </c>
      <c r="R1003" s="10" t="str">
        <f>IF(Tabela2[[#This Row],[Coluna9]]&gt;0,"Entrada","Saída")</f>
        <v>Saída</v>
      </c>
      <c r="S1003" s="10" t="str">
        <f>Tabela2[[#This Row],[Coluna8]]</f>
        <v>5/9 SISTEMA FINANCEIRO</v>
      </c>
      <c r="T1003" s="10" t="e">
        <f>Tabela2[[#This Row],[Coluna72]]</f>
        <v>#REF!</v>
      </c>
      <c r="U1003" s="10">
        <f>SUM(Tabela2[[#This Row],[Coluna9]],Tabela2[[#This Row],[Coluna10]])</f>
        <v>1500</v>
      </c>
      <c r="V1003" s="2" t="str">
        <f>Tabela2[[#This Row],[Coluna4]]</f>
        <v>10/11/2025</v>
      </c>
      <c r="W1003" s="2" t="str">
        <f>Tabela2[[#This Row],[Coluna6]]</f>
        <v>10/11/2025</v>
      </c>
    </row>
    <row r="1004" spans="2:23" x14ac:dyDescent="0.2">
      <c r="B1004" t="s">
        <v>18</v>
      </c>
      <c r="C1004" t="s">
        <v>95</v>
      </c>
      <c r="D1004" t="s">
        <v>13</v>
      </c>
      <c r="E1004" s="8" t="s">
        <v>47</v>
      </c>
      <c r="F1004" t="s">
        <v>42</v>
      </c>
      <c r="G1004" s="8" t="s">
        <v>46</v>
      </c>
      <c r="H1004" t="s">
        <v>445</v>
      </c>
      <c r="I1004" t="e">
        <f>VLOOKUP(Tabela2[[#This Row],[Coluna7]],[1]!Tabela1[#All],2,0)</f>
        <v>#REF!</v>
      </c>
      <c r="J1004" t="s">
        <v>447</v>
      </c>
      <c r="L1004">
        <v>392.82</v>
      </c>
      <c r="Q1004" s="10" t="str">
        <f>Tabela2[[#This Row],[Coluna5]]</f>
        <v>11/2025</v>
      </c>
      <c r="R1004" s="10" t="str">
        <f>IF(Tabela2[[#This Row],[Coluna9]]&gt;0,"Entrada","Saída")</f>
        <v>Saída</v>
      </c>
      <c r="S1004" s="10" t="str">
        <f>Tabela2[[#This Row],[Coluna8]]</f>
        <v>LEGALMAIL</v>
      </c>
      <c r="T1004" s="10" t="e">
        <f>Tabela2[[#This Row],[Coluna72]]</f>
        <v>#REF!</v>
      </c>
      <c r="U1004" s="10">
        <f>SUM(Tabela2[[#This Row],[Coluna9]],Tabela2[[#This Row],[Coluna10]])</f>
        <v>392.82</v>
      </c>
      <c r="V1004" s="2" t="str">
        <f>Tabela2[[#This Row],[Coluna4]]</f>
        <v>10/11/2025</v>
      </c>
      <c r="W1004" s="2" t="str">
        <f>Tabela2[[#This Row],[Coluna6]]</f>
        <v>11/11/2025</v>
      </c>
    </row>
    <row r="1005" spans="2:23" x14ac:dyDescent="0.2">
      <c r="B1005" t="s">
        <v>18</v>
      </c>
      <c r="C1005" t="s">
        <v>95</v>
      </c>
      <c r="D1005" t="s">
        <v>13</v>
      </c>
      <c r="E1005" s="8" t="s">
        <v>47</v>
      </c>
      <c r="F1005" t="s">
        <v>42</v>
      </c>
      <c r="G1005" s="8" t="s">
        <v>46</v>
      </c>
      <c r="H1005" t="s">
        <v>451</v>
      </c>
      <c r="I1005" t="e">
        <f>VLOOKUP(Tabela2[[#This Row],[Coluna7]],[1]!Tabela1[#All],2,0)</f>
        <v>#REF!</v>
      </c>
      <c r="J1005" t="s">
        <v>452</v>
      </c>
      <c r="L1005">
        <v>149.78</v>
      </c>
      <c r="Q1005" s="10" t="str">
        <f>Tabela2[[#This Row],[Coluna5]]</f>
        <v>11/2025</v>
      </c>
      <c r="R1005" s="10" t="str">
        <f>IF(Tabela2[[#This Row],[Coluna9]]&gt;0,"Entrada","Saída")</f>
        <v>Saída</v>
      </c>
      <c r="S1005" s="10" t="str">
        <f>Tabela2[[#This Row],[Coluna8]]</f>
        <v>CLARO</v>
      </c>
      <c r="T1005" s="10" t="e">
        <f>Tabela2[[#This Row],[Coluna72]]</f>
        <v>#REF!</v>
      </c>
      <c r="U1005" s="10">
        <f>SUM(Tabela2[[#This Row],[Coluna9]],Tabela2[[#This Row],[Coluna10]])</f>
        <v>149.78</v>
      </c>
      <c r="V1005" s="2" t="str">
        <f>Tabela2[[#This Row],[Coluna4]]</f>
        <v>10/11/2025</v>
      </c>
      <c r="W1005" s="2" t="str">
        <f>Tabela2[[#This Row],[Coluna6]]</f>
        <v>11/11/2025</v>
      </c>
    </row>
    <row r="1006" spans="2:23" x14ac:dyDescent="0.2">
      <c r="B1006" t="s">
        <v>58</v>
      </c>
      <c r="C1006" t="s">
        <v>95</v>
      </c>
      <c r="D1006" t="s">
        <v>13</v>
      </c>
      <c r="E1006" s="8" t="s">
        <v>47</v>
      </c>
      <c r="F1006" t="s">
        <v>42</v>
      </c>
      <c r="G1006" s="8" t="s">
        <v>47</v>
      </c>
      <c r="H1006" t="s">
        <v>445</v>
      </c>
      <c r="I1006" t="e">
        <f>VLOOKUP(Tabela2[[#This Row],[Coluna7]],[1]!Tabela1[#All],2,0)</f>
        <v>#REF!</v>
      </c>
      <c r="J1006" t="s">
        <v>480</v>
      </c>
      <c r="L1006">
        <v>1500</v>
      </c>
      <c r="Q1006" s="10" t="str">
        <f>Tabela2[[#This Row],[Coluna5]]</f>
        <v>11/2025</v>
      </c>
      <c r="R1006" s="10" t="str">
        <f>IF(Tabela2[[#This Row],[Coluna9]]&gt;0,"Entrada","Saída")</f>
        <v>Saída</v>
      </c>
      <c r="S1006" s="10" t="str">
        <f>Tabela2[[#This Row],[Coluna8]]</f>
        <v>LUCAS</v>
      </c>
      <c r="T1006" s="10" t="e">
        <f>Tabela2[[#This Row],[Coluna72]]</f>
        <v>#REF!</v>
      </c>
      <c r="U1006" s="10">
        <f>SUM(Tabela2[[#This Row],[Coluna9]],Tabela2[[#This Row],[Coluna10]])</f>
        <v>1500</v>
      </c>
      <c r="V1006" s="2" t="str">
        <f>Tabela2[[#This Row],[Coluna4]]</f>
        <v>10/11/2025</v>
      </c>
      <c r="W1006" s="2" t="str">
        <f>Tabela2[[#This Row],[Coluna6]]</f>
        <v>10/11/2025</v>
      </c>
    </row>
    <row r="1007" spans="2:23" x14ac:dyDescent="0.2">
      <c r="B1007" t="s">
        <v>18</v>
      </c>
      <c r="C1007" t="s">
        <v>95</v>
      </c>
      <c r="D1007" t="s">
        <v>13</v>
      </c>
      <c r="E1007" s="8" t="s">
        <v>47</v>
      </c>
      <c r="F1007" t="s">
        <v>42</v>
      </c>
      <c r="G1007" s="8" t="s">
        <v>47</v>
      </c>
      <c r="H1007" t="s">
        <v>469</v>
      </c>
      <c r="I1007" t="e">
        <f>VLOOKUP(Tabela2[[#This Row],[Coluna7]],[1]!Tabela1[#All],2,0)</f>
        <v>#REF!</v>
      </c>
      <c r="J1007" t="s">
        <v>481</v>
      </c>
      <c r="L1007">
        <v>12</v>
      </c>
      <c r="Q1007" s="10" t="str">
        <f>Tabela2[[#This Row],[Coluna5]]</f>
        <v>11/2025</v>
      </c>
      <c r="R1007" s="10" t="str">
        <f>IF(Tabela2[[#This Row],[Coluna9]]&gt;0,"Entrada","Saída")</f>
        <v>Saída</v>
      </c>
      <c r="S1007" s="10" t="str">
        <f>Tabela2[[#This Row],[Coluna8]]</f>
        <v>VASSOURA</v>
      </c>
      <c r="T1007" s="10" t="e">
        <f>Tabela2[[#This Row],[Coluna72]]</f>
        <v>#REF!</v>
      </c>
      <c r="U1007" s="10">
        <f>SUM(Tabela2[[#This Row],[Coluna9]],Tabela2[[#This Row],[Coluna10]])</f>
        <v>12</v>
      </c>
      <c r="V1007" s="2" t="str">
        <f>Tabela2[[#This Row],[Coluna4]]</f>
        <v>10/11/2025</v>
      </c>
      <c r="W1007" s="2" t="str">
        <f>Tabela2[[#This Row],[Coluna6]]</f>
        <v>10/11/2025</v>
      </c>
    </row>
    <row r="1008" spans="2:23" x14ac:dyDescent="0.2">
      <c r="B1008" t="s">
        <v>18</v>
      </c>
      <c r="C1008" t="s">
        <v>95</v>
      </c>
      <c r="D1008" t="s">
        <v>13</v>
      </c>
      <c r="E1008" s="8" t="s">
        <v>46</v>
      </c>
      <c r="F1008" t="s">
        <v>42</v>
      </c>
      <c r="G1008" s="8" t="s">
        <v>46</v>
      </c>
      <c r="H1008" t="s">
        <v>469</v>
      </c>
      <c r="I1008" t="e">
        <f>VLOOKUP(Tabela2[[#This Row],[Coluna7]],[1]!Tabela1[#All],2,0)</f>
        <v>#REF!</v>
      </c>
      <c r="J1008" t="s">
        <v>482</v>
      </c>
      <c r="L1008">
        <v>30</v>
      </c>
      <c r="Q1008" s="10" t="str">
        <f>Tabela2[[#This Row],[Coluna5]]</f>
        <v>11/2025</v>
      </c>
      <c r="R1008" s="10" t="str">
        <f>IF(Tabela2[[#This Row],[Coluna9]]&gt;0,"Entrada","Saída")</f>
        <v>Saída</v>
      </c>
      <c r="S1008" s="10" t="str">
        <f>Tabela2[[#This Row],[Coluna8]]</f>
        <v>JUDITH</v>
      </c>
      <c r="T1008" s="10" t="e">
        <f>Tabela2[[#This Row],[Coluna72]]</f>
        <v>#REF!</v>
      </c>
      <c r="U1008" s="10">
        <f>SUM(Tabela2[[#This Row],[Coluna9]],Tabela2[[#This Row],[Coluna10]])</f>
        <v>30</v>
      </c>
      <c r="V1008" s="2" t="str">
        <f>Tabela2[[#This Row],[Coluna4]]</f>
        <v>11/11/2025</v>
      </c>
      <c r="W1008" s="2" t="str">
        <f>Tabela2[[#This Row],[Coluna6]]</f>
        <v>11/11/2025</v>
      </c>
    </row>
    <row r="1009" spans="2:23" x14ac:dyDescent="0.2">
      <c r="B1009" t="s">
        <v>18</v>
      </c>
      <c r="C1009" t="s">
        <v>95</v>
      </c>
      <c r="D1009" t="s">
        <v>13</v>
      </c>
      <c r="E1009" s="8" t="s">
        <v>46</v>
      </c>
      <c r="F1009" t="s">
        <v>42</v>
      </c>
      <c r="G1009" s="8" t="s">
        <v>46</v>
      </c>
      <c r="H1009" t="s">
        <v>442</v>
      </c>
      <c r="I1009" t="e">
        <f>VLOOKUP(Tabela2[[#This Row],[Coluna7]],[1]!Tabela1[#All],2,0)</f>
        <v>#REF!</v>
      </c>
      <c r="L1009">
        <v>674.22</v>
      </c>
      <c r="Q1009" s="10" t="str">
        <f>Tabela2[[#This Row],[Coluna5]]</f>
        <v>11/2025</v>
      </c>
      <c r="R1009" s="10" t="str">
        <f>IF(Tabela2[[#This Row],[Coluna9]]&gt;0,"Entrada","Saída")</f>
        <v>Saída</v>
      </c>
      <c r="S1009" s="10">
        <f>Tabela2[[#This Row],[Coluna8]]</f>
        <v>0</v>
      </c>
      <c r="T1009" s="10" t="e">
        <f>Tabela2[[#This Row],[Coluna72]]</f>
        <v>#REF!</v>
      </c>
      <c r="U1009" s="10">
        <f>SUM(Tabela2[[#This Row],[Coluna9]],Tabela2[[#This Row],[Coluna10]])</f>
        <v>674.22</v>
      </c>
      <c r="V1009" s="2" t="str">
        <f>Tabela2[[#This Row],[Coluna4]]</f>
        <v>11/11/2025</v>
      </c>
      <c r="W1009" s="2" t="str">
        <f>Tabela2[[#This Row],[Coluna6]]</f>
        <v>11/11/2025</v>
      </c>
    </row>
    <row r="1010" spans="2:23" x14ac:dyDescent="0.2">
      <c r="B1010" t="s">
        <v>27</v>
      </c>
      <c r="C1010" t="s">
        <v>95</v>
      </c>
      <c r="D1010" t="s">
        <v>13</v>
      </c>
      <c r="E1010" s="8" t="s">
        <v>51</v>
      </c>
      <c r="F1010" t="s">
        <v>42</v>
      </c>
      <c r="G1010" s="8" t="s">
        <v>51</v>
      </c>
      <c r="H1010" t="s">
        <v>442</v>
      </c>
      <c r="I1010" t="e">
        <f>VLOOKUP(Tabela2[[#This Row],[Coluna7]],[1]!Tabela1[#All],2,0)</f>
        <v>#REF!</v>
      </c>
      <c r="J1010" t="s">
        <v>453</v>
      </c>
      <c r="L1010">
        <v>1009.7</v>
      </c>
      <c r="Q1010" s="10" t="str">
        <f>Tabela2[[#This Row],[Coluna5]]</f>
        <v>11/2025</v>
      </c>
      <c r="R1010" s="10" t="str">
        <f>IF(Tabela2[[#This Row],[Coluna9]]&gt;0,"Entrada","Saída")</f>
        <v>Saída</v>
      </c>
      <c r="S1010" s="10" t="str">
        <f>Tabela2[[#This Row],[Coluna8]]</f>
        <v>CAPITAL DE GIRO</v>
      </c>
      <c r="T1010" s="10" t="e">
        <f>Tabela2[[#This Row],[Coluna72]]</f>
        <v>#REF!</v>
      </c>
      <c r="U1010" s="10">
        <f>SUM(Tabela2[[#This Row],[Coluna9]],Tabela2[[#This Row],[Coluna10]])</f>
        <v>1009.7</v>
      </c>
      <c r="V1010" s="2" t="str">
        <f>Tabela2[[#This Row],[Coluna4]]</f>
        <v>13/11/2025</v>
      </c>
      <c r="W1010" s="2" t="str">
        <f>Tabela2[[#This Row],[Coluna6]]</f>
        <v>13/11/2025</v>
      </c>
    </row>
    <row r="1011" spans="2:23" x14ac:dyDescent="0.2">
      <c r="B1011" t="s">
        <v>18</v>
      </c>
      <c r="C1011" t="s">
        <v>95</v>
      </c>
      <c r="D1011" t="s">
        <v>13</v>
      </c>
      <c r="E1011" s="8" t="s">
        <v>51</v>
      </c>
      <c r="F1011" t="s">
        <v>42</v>
      </c>
      <c r="G1011" s="8" t="s">
        <v>51</v>
      </c>
      <c r="H1011" t="s">
        <v>438</v>
      </c>
      <c r="I1011" t="e">
        <f>VLOOKUP(Tabela2[[#This Row],[Coluna7]],[1]!Tabela1[#All],2,0)</f>
        <v>#REF!</v>
      </c>
      <c r="J1011" t="s">
        <v>483</v>
      </c>
      <c r="L1011">
        <v>60</v>
      </c>
      <c r="Q1011" s="10" t="str">
        <f>Tabela2[[#This Row],[Coluna5]]</f>
        <v>11/2025</v>
      </c>
      <c r="R1011" s="10" t="str">
        <f>IF(Tabela2[[#This Row],[Coluna9]]&gt;0,"Entrada","Saída")</f>
        <v>Saída</v>
      </c>
      <c r="S1011" s="10" t="str">
        <f>Tabela2[[#This Row],[Coluna8]]</f>
        <v>IMPRESSORAS</v>
      </c>
      <c r="T1011" s="10" t="e">
        <f>Tabela2[[#This Row],[Coluna72]]</f>
        <v>#REF!</v>
      </c>
      <c r="U1011" s="10">
        <f>SUM(Tabela2[[#This Row],[Coluna9]],Tabela2[[#This Row],[Coluna10]])</f>
        <v>60</v>
      </c>
      <c r="V1011" s="2" t="str">
        <f>Tabela2[[#This Row],[Coluna4]]</f>
        <v>13/11/2025</v>
      </c>
      <c r="W1011" s="2" t="str">
        <f>Tabela2[[#This Row],[Coluna6]]</f>
        <v>13/11/2025</v>
      </c>
    </row>
    <row r="1012" spans="2:23" x14ac:dyDescent="0.2">
      <c r="B1012" t="s">
        <v>18</v>
      </c>
      <c r="C1012" t="s">
        <v>95</v>
      </c>
      <c r="D1012" t="s">
        <v>13</v>
      </c>
      <c r="E1012" s="8" t="s">
        <v>54</v>
      </c>
      <c r="F1012" t="s">
        <v>42</v>
      </c>
      <c r="G1012" s="8" t="s">
        <v>54</v>
      </c>
      <c r="H1012" t="s">
        <v>449</v>
      </c>
      <c r="I1012" t="e">
        <f>VLOOKUP(Tabela2[[#This Row],[Coluna7]],[1]!Tabela1[#All],2,0)</f>
        <v>#REF!</v>
      </c>
      <c r="J1012" t="s">
        <v>484</v>
      </c>
      <c r="L1012">
        <v>2384</v>
      </c>
      <c r="Q1012" s="10" t="str">
        <f>Tabela2[[#This Row],[Coluna5]]</f>
        <v>11/2025</v>
      </c>
      <c r="R1012" s="10" t="str">
        <f>IF(Tabela2[[#This Row],[Coluna9]]&gt;0,"Entrada","Saída")</f>
        <v>Saída</v>
      </c>
      <c r="S1012" s="10" t="str">
        <f>Tabela2[[#This Row],[Coluna8]]</f>
        <v>BERRY</v>
      </c>
      <c r="T1012" s="10" t="e">
        <f>Tabela2[[#This Row],[Coluna72]]</f>
        <v>#REF!</v>
      </c>
      <c r="U1012" s="10">
        <f>SUM(Tabela2[[#This Row],[Coluna9]],Tabela2[[#This Row],[Coluna10]])</f>
        <v>2384</v>
      </c>
      <c r="V1012" s="2" t="str">
        <f>Tabela2[[#This Row],[Coluna4]]</f>
        <v>14/11/2025</v>
      </c>
      <c r="W1012" s="2" t="str">
        <f>Tabela2[[#This Row],[Coluna6]]</f>
        <v>14/11/2025</v>
      </c>
    </row>
    <row r="1013" spans="2:23" x14ac:dyDescent="0.2">
      <c r="B1013" t="s">
        <v>18</v>
      </c>
      <c r="C1013" t="s">
        <v>95</v>
      </c>
      <c r="D1013" t="s">
        <v>13</v>
      </c>
      <c r="E1013" s="8" t="s">
        <v>54</v>
      </c>
      <c r="F1013" t="s">
        <v>42</v>
      </c>
      <c r="G1013" s="8" t="s">
        <v>54</v>
      </c>
      <c r="H1013" t="s">
        <v>443</v>
      </c>
      <c r="I1013" t="e">
        <f>VLOOKUP(Tabela2[[#This Row],[Coluna7]],[1]!Tabela1[#All],2,0)</f>
        <v>#REF!</v>
      </c>
      <c r="J1013" t="s">
        <v>444</v>
      </c>
      <c r="L1013">
        <v>39</v>
      </c>
      <c r="Q1013" s="10" t="str">
        <f>Tabela2[[#This Row],[Coluna5]]</f>
        <v>11/2025</v>
      </c>
      <c r="R1013" s="10" t="str">
        <f>IF(Tabela2[[#This Row],[Coluna9]]&gt;0,"Entrada","Saída")</f>
        <v>Saída</v>
      </c>
      <c r="S1013" s="10" t="str">
        <f>Tabela2[[#This Row],[Coluna8]]</f>
        <v>GELADEIRA LEGAL</v>
      </c>
      <c r="T1013" s="10" t="e">
        <f>Tabela2[[#This Row],[Coluna72]]</f>
        <v>#REF!</v>
      </c>
      <c r="U1013" s="10">
        <f>SUM(Tabela2[[#This Row],[Coluna9]],Tabela2[[#This Row],[Coluna10]])</f>
        <v>39</v>
      </c>
      <c r="V1013" s="2" t="str">
        <f>Tabela2[[#This Row],[Coluna4]]</f>
        <v>14/11/2025</v>
      </c>
      <c r="W1013" s="2" t="str">
        <f>Tabela2[[#This Row],[Coluna6]]</f>
        <v>14/11/2025</v>
      </c>
    </row>
    <row r="1014" spans="2:23" x14ac:dyDescent="0.2">
      <c r="B1014" t="s">
        <v>12</v>
      </c>
      <c r="C1014" t="s">
        <v>95</v>
      </c>
      <c r="D1014" t="s">
        <v>13</v>
      </c>
      <c r="E1014" s="8" t="s">
        <v>55</v>
      </c>
      <c r="F1014" t="s">
        <v>42</v>
      </c>
      <c r="G1014" s="8" t="s">
        <v>55</v>
      </c>
      <c r="H1014" t="s">
        <v>443</v>
      </c>
      <c r="I1014" t="e">
        <f>VLOOKUP(Tabela2[[#This Row],[Coluna7]],[1]!Tabela1[#All],2,0)</f>
        <v>#REF!</v>
      </c>
      <c r="J1014" t="s">
        <v>485</v>
      </c>
      <c r="L1014">
        <v>9.7799999999999994</v>
      </c>
      <c r="Q1014" s="10" t="str">
        <f>Tabela2[[#This Row],[Coluna5]]</f>
        <v>11/2025</v>
      </c>
      <c r="R1014" s="10" t="str">
        <f>IF(Tabela2[[#This Row],[Coluna9]]&gt;0,"Entrada","Saída")</f>
        <v>Saída</v>
      </c>
      <c r="S1014" s="10" t="str">
        <f>Tabela2[[#This Row],[Coluna8]]</f>
        <v>REDE MENOR PREÇO</v>
      </c>
      <c r="T1014" s="10" t="e">
        <f>Tabela2[[#This Row],[Coluna72]]</f>
        <v>#REF!</v>
      </c>
      <c r="U1014" s="10">
        <f>SUM(Tabela2[[#This Row],[Coluna9]],Tabela2[[#This Row],[Coluna10]])</f>
        <v>9.7799999999999994</v>
      </c>
      <c r="V1014" s="2" t="str">
        <f>Tabela2[[#This Row],[Coluna4]]</f>
        <v>15/11/2025</v>
      </c>
      <c r="W1014" s="2" t="str">
        <f>Tabela2[[#This Row],[Coluna6]]</f>
        <v>15/11/2025</v>
      </c>
    </row>
    <row r="1015" spans="2:23" x14ac:dyDescent="0.2">
      <c r="B1015" t="s">
        <v>12</v>
      </c>
      <c r="C1015" t="s">
        <v>95</v>
      </c>
      <c r="D1015" t="s">
        <v>13</v>
      </c>
      <c r="E1015" s="8" t="s">
        <v>55</v>
      </c>
      <c r="F1015" t="s">
        <v>42</v>
      </c>
      <c r="G1015" s="8" t="s">
        <v>55</v>
      </c>
      <c r="H1015" t="s">
        <v>443</v>
      </c>
      <c r="I1015" t="e">
        <f>VLOOKUP(Tabela2[[#This Row],[Coluna7]],[1]!Tabela1[#All],2,0)</f>
        <v>#REF!</v>
      </c>
      <c r="J1015" t="s">
        <v>444</v>
      </c>
      <c r="L1015">
        <v>78.790000000000006</v>
      </c>
      <c r="Q1015" s="10" t="str">
        <f>Tabela2[[#This Row],[Coluna5]]</f>
        <v>11/2025</v>
      </c>
      <c r="R1015" s="10" t="str">
        <f>IF(Tabela2[[#This Row],[Coluna9]]&gt;0,"Entrada","Saída")</f>
        <v>Saída</v>
      </c>
      <c r="S1015" s="10" t="str">
        <f>Tabela2[[#This Row],[Coluna8]]</f>
        <v>GELADEIRA LEGAL</v>
      </c>
      <c r="T1015" s="10" t="e">
        <f>Tabela2[[#This Row],[Coluna72]]</f>
        <v>#REF!</v>
      </c>
      <c r="U1015" s="10">
        <f>SUM(Tabela2[[#This Row],[Coluna9]],Tabela2[[#This Row],[Coluna10]])</f>
        <v>78.790000000000006</v>
      </c>
      <c r="V1015" s="2" t="str">
        <f>Tabela2[[#This Row],[Coluna4]]</f>
        <v>15/11/2025</v>
      </c>
      <c r="W1015" s="2" t="str">
        <f>Tabela2[[#This Row],[Coluna6]]</f>
        <v>15/11/2025</v>
      </c>
    </row>
    <row r="1016" spans="2:23" x14ac:dyDescent="0.2">
      <c r="B1016" t="s">
        <v>18</v>
      </c>
      <c r="C1016" t="s">
        <v>95</v>
      </c>
      <c r="D1016" t="s">
        <v>13</v>
      </c>
      <c r="E1016" s="8" t="s">
        <v>56</v>
      </c>
      <c r="F1016" t="s">
        <v>42</v>
      </c>
      <c r="G1016" s="8" t="s">
        <v>56</v>
      </c>
      <c r="H1016" t="s">
        <v>486</v>
      </c>
      <c r="I1016" t="e">
        <f>VLOOKUP(Tabela2[[#This Row],[Coluna7]],[1]!Tabela1[#All],2,0)</f>
        <v>#REF!</v>
      </c>
      <c r="J1016" t="s">
        <v>487</v>
      </c>
      <c r="L1016">
        <v>30</v>
      </c>
      <c r="Q1016" s="10" t="str">
        <f>Tabela2[[#This Row],[Coluna5]]</f>
        <v>11/2025</v>
      </c>
      <c r="R1016" s="10" t="str">
        <f>IF(Tabela2[[#This Row],[Coluna9]]&gt;0,"Entrada","Saída")</f>
        <v>Saída</v>
      </c>
      <c r="S1016" s="10" t="str">
        <f>Tabela2[[#This Row],[Coluna8]]</f>
        <v>RECARGA DE CELULAR</v>
      </c>
      <c r="T1016" s="10" t="e">
        <f>Tabela2[[#This Row],[Coluna72]]</f>
        <v>#REF!</v>
      </c>
      <c r="U1016" s="10">
        <f>SUM(Tabela2[[#This Row],[Coluna9]],Tabela2[[#This Row],[Coluna10]])</f>
        <v>30</v>
      </c>
      <c r="V1016" s="2" t="str">
        <f>Tabela2[[#This Row],[Coluna4]]</f>
        <v>17/11/2025</v>
      </c>
      <c r="W1016" s="2" t="str">
        <f>Tabela2[[#This Row],[Coluna6]]</f>
        <v>17/11/2025</v>
      </c>
    </row>
    <row r="1017" spans="2:23" x14ac:dyDescent="0.2">
      <c r="B1017" t="s">
        <v>18</v>
      </c>
      <c r="C1017" t="s">
        <v>95</v>
      </c>
      <c r="D1017" t="s">
        <v>13</v>
      </c>
      <c r="E1017" s="8" t="s">
        <v>56</v>
      </c>
      <c r="F1017" t="s">
        <v>42</v>
      </c>
      <c r="G1017" s="8" t="s">
        <v>56</v>
      </c>
      <c r="H1017" t="s">
        <v>435</v>
      </c>
      <c r="I1017" t="e">
        <f>VLOOKUP(Tabela2[[#This Row],[Coluna7]],[1]!Tabela1[#All],2,0)</f>
        <v>#REF!</v>
      </c>
      <c r="J1017" t="s">
        <v>436</v>
      </c>
      <c r="L1017">
        <v>350</v>
      </c>
      <c r="Q1017" s="10" t="str">
        <f>Tabela2[[#This Row],[Coluna5]]</f>
        <v>11/2025</v>
      </c>
      <c r="R1017" s="10" t="str">
        <f>IF(Tabela2[[#This Row],[Coluna9]]&gt;0,"Entrada","Saída")</f>
        <v>Saída</v>
      </c>
      <c r="S1017" s="10" t="str">
        <f>Tabela2[[#This Row],[Coluna8]]</f>
        <v>FERNANDO SILVESTRE DE SOUZA</v>
      </c>
      <c r="T1017" s="10" t="e">
        <f>Tabela2[[#This Row],[Coluna72]]</f>
        <v>#REF!</v>
      </c>
      <c r="U1017" s="10">
        <f>SUM(Tabela2[[#This Row],[Coluna9]],Tabela2[[#This Row],[Coluna10]])</f>
        <v>350</v>
      </c>
      <c r="V1017" s="2" t="str">
        <f>Tabela2[[#This Row],[Coluna4]]</f>
        <v>17/11/2025</v>
      </c>
      <c r="W1017" s="2" t="str">
        <f>Tabela2[[#This Row],[Coluna6]]</f>
        <v>17/11/2025</v>
      </c>
    </row>
    <row r="1018" spans="2:23" x14ac:dyDescent="0.2">
      <c r="B1018" t="s">
        <v>18</v>
      </c>
      <c r="C1018" t="s">
        <v>95</v>
      </c>
      <c r="D1018" t="s">
        <v>13</v>
      </c>
      <c r="E1018" s="8" t="s">
        <v>49</v>
      </c>
      <c r="F1018" t="s">
        <v>42</v>
      </c>
      <c r="G1018" s="8" t="s">
        <v>49</v>
      </c>
      <c r="H1018" t="s">
        <v>443</v>
      </c>
      <c r="I1018" t="e">
        <f>VLOOKUP(Tabela2[[#This Row],[Coluna7]],[1]!Tabela1[#All],2,0)</f>
        <v>#REF!</v>
      </c>
      <c r="J1018" t="s">
        <v>444</v>
      </c>
      <c r="L1018">
        <v>21.5</v>
      </c>
      <c r="Q1018" s="10" t="str">
        <f>Tabela2[[#This Row],[Coluna5]]</f>
        <v>11/2025</v>
      </c>
      <c r="R1018" s="10" t="str">
        <f>IF(Tabela2[[#This Row],[Coluna9]]&gt;0,"Entrada","Saída")</f>
        <v>Saída</v>
      </c>
      <c r="S1018" s="10" t="str">
        <f>Tabela2[[#This Row],[Coluna8]]</f>
        <v>GELADEIRA LEGAL</v>
      </c>
      <c r="T1018" s="10" t="e">
        <f>Tabela2[[#This Row],[Coluna72]]</f>
        <v>#REF!</v>
      </c>
      <c r="U1018" s="10">
        <f>SUM(Tabela2[[#This Row],[Coluna9]],Tabela2[[#This Row],[Coluna10]])</f>
        <v>21.5</v>
      </c>
      <c r="V1018" s="2" t="str">
        <f>Tabela2[[#This Row],[Coluna4]]</f>
        <v>18/11/2025</v>
      </c>
      <c r="W1018" s="2" t="str">
        <f>Tabela2[[#This Row],[Coluna6]]</f>
        <v>18/11/2025</v>
      </c>
    </row>
    <row r="1019" spans="2:23" x14ac:dyDescent="0.2">
      <c r="B1019" t="s">
        <v>18</v>
      </c>
      <c r="C1019" t="s">
        <v>95</v>
      </c>
      <c r="D1019" t="s">
        <v>13</v>
      </c>
      <c r="E1019" s="8" t="s">
        <v>49</v>
      </c>
      <c r="F1019" t="s">
        <v>42</v>
      </c>
      <c r="G1019" s="8" t="s">
        <v>49</v>
      </c>
      <c r="H1019" t="s">
        <v>488</v>
      </c>
      <c r="I1019" t="e">
        <f>VLOOKUP(Tabela2[[#This Row],[Coluna7]],[1]!Tabela1[#All],2,0)</f>
        <v>#REF!</v>
      </c>
      <c r="L1019">
        <v>100</v>
      </c>
      <c r="Q1019" s="10" t="str">
        <f>Tabela2[[#This Row],[Coluna5]]</f>
        <v>11/2025</v>
      </c>
      <c r="R1019" s="10" t="str">
        <f>IF(Tabela2[[#This Row],[Coluna9]]&gt;0,"Entrada","Saída")</f>
        <v>Saída</v>
      </c>
      <c r="S1019" s="10">
        <f>Tabela2[[#This Row],[Coluna8]]</f>
        <v>0</v>
      </c>
      <c r="T1019" s="10" t="e">
        <f>Tabela2[[#This Row],[Coluna72]]</f>
        <v>#REF!</v>
      </c>
      <c r="U1019" s="10">
        <f>SUM(Tabela2[[#This Row],[Coluna9]],Tabela2[[#This Row],[Coluna10]])</f>
        <v>100</v>
      </c>
      <c r="V1019" s="2" t="str">
        <f>Tabela2[[#This Row],[Coluna4]]</f>
        <v>18/11/2025</v>
      </c>
      <c r="W1019" s="2" t="str">
        <f>Tabela2[[#This Row],[Coluna6]]</f>
        <v>18/11/2025</v>
      </c>
    </row>
    <row r="1020" spans="2:23" x14ac:dyDescent="0.2">
      <c r="B1020" t="s">
        <v>18</v>
      </c>
      <c r="C1020" t="s">
        <v>95</v>
      </c>
      <c r="D1020" t="s">
        <v>13</v>
      </c>
      <c r="E1020" s="8" t="s">
        <v>60</v>
      </c>
      <c r="F1020" t="s">
        <v>42</v>
      </c>
      <c r="G1020" s="8" t="s">
        <v>60</v>
      </c>
      <c r="H1020" t="s">
        <v>443</v>
      </c>
      <c r="I1020" t="e">
        <f>VLOOKUP(Tabela2[[#This Row],[Coluna7]],[1]!Tabela1[#All],2,0)</f>
        <v>#REF!</v>
      </c>
      <c r="J1020" t="s">
        <v>444</v>
      </c>
      <c r="L1020">
        <v>18.670000000000002</v>
      </c>
      <c r="Q1020" s="10" t="str">
        <f>Tabela2[[#This Row],[Coluna5]]</f>
        <v>11/2025</v>
      </c>
      <c r="R1020" s="10" t="str">
        <f>IF(Tabela2[[#This Row],[Coluna9]]&gt;0,"Entrada","Saída")</f>
        <v>Saída</v>
      </c>
      <c r="S1020" s="10" t="str">
        <f>Tabela2[[#This Row],[Coluna8]]</f>
        <v>GELADEIRA LEGAL</v>
      </c>
      <c r="T1020" s="10" t="e">
        <f>Tabela2[[#This Row],[Coluna72]]</f>
        <v>#REF!</v>
      </c>
      <c r="U1020" s="10">
        <f>SUM(Tabela2[[#This Row],[Coluna9]],Tabela2[[#This Row],[Coluna10]])</f>
        <v>18.670000000000002</v>
      </c>
      <c r="V1020" s="2" t="str">
        <f>Tabela2[[#This Row],[Coluna4]]</f>
        <v>20/11/2025</v>
      </c>
      <c r="W1020" s="2" t="str">
        <f>Tabela2[[#This Row],[Coluna6]]</f>
        <v>20/11/2025</v>
      </c>
    </row>
    <row r="1021" spans="2:23" x14ac:dyDescent="0.2">
      <c r="B1021" t="s">
        <v>27</v>
      </c>
      <c r="C1021" t="s">
        <v>95</v>
      </c>
      <c r="D1021" t="s">
        <v>13</v>
      </c>
      <c r="E1021" s="8" t="s">
        <v>253</v>
      </c>
      <c r="F1021" t="s">
        <v>42</v>
      </c>
      <c r="G1021" s="8" t="s">
        <v>60</v>
      </c>
      <c r="H1021" t="s">
        <v>445</v>
      </c>
      <c r="I1021" t="e">
        <f>VLOOKUP(Tabela2[[#This Row],[Coluna7]],[1]!Tabela1[#All],2,0)</f>
        <v>#REF!</v>
      </c>
      <c r="J1021" t="s">
        <v>461</v>
      </c>
      <c r="L1021">
        <v>730</v>
      </c>
      <c r="Q1021" s="10" t="str">
        <f>Tabela2[[#This Row],[Coluna5]]</f>
        <v>11/2025</v>
      </c>
      <c r="R1021" s="10" t="str">
        <f>IF(Tabela2[[#This Row],[Coluna9]]&gt;0,"Entrada","Saída")</f>
        <v>Saída</v>
      </c>
      <c r="S1021" s="10" t="str">
        <f>Tabela2[[#This Row],[Coluna8]]</f>
        <v>E-AUDITORIA</v>
      </c>
      <c r="T1021" s="10" t="e">
        <f>Tabela2[[#This Row],[Coluna72]]</f>
        <v>#REF!</v>
      </c>
      <c r="U1021" s="10">
        <f>SUM(Tabela2[[#This Row],[Coluna9]],Tabela2[[#This Row],[Coluna10]])</f>
        <v>730</v>
      </c>
      <c r="V1021" s="2" t="str">
        <f>Tabela2[[#This Row],[Coluna4]]</f>
        <v>21/11/2025</v>
      </c>
      <c r="W1021" s="2" t="str">
        <f>Tabela2[[#This Row],[Coluna6]]</f>
        <v>20/11/2025</v>
      </c>
    </row>
    <row r="1022" spans="2:23" x14ac:dyDescent="0.2">
      <c r="B1022" t="s">
        <v>27</v>
      </c>
      <c r="C1022" t="s">
        <v>95</v>
      </c>
      <c r="D1022" t="s">
        <v>13</v>
      </c>
      <c r="E1022" s="8" t="s">
        <v>253</v>
      </c>
      <c r="F1022" t="s">
        <v>42</v>
      </c>
      <c r="G1022" s="8" t="s">
        <v>253</v>
      </c>
      <c r="H1022" t="s">
        <v>445</v>
      </c>
      <c r="I1022" t="e">
        <f>VLOOKUP(Tabela2[[#This Row],[Coluna7]],[1]!Tabela1[#All],2,0)</f>
        <v>#REF!</v>
      </c>
      <c r="J1022" t="s">
        <v>456</v>
      </c>
      <c r="L1022">
        <v>397</v>
      </c>
      <c r="Q1022" s="10" t="str">
        <f>Tabela2[[#This Row],[Coluna5]]</f>
        <v>11/2025</v>
      </c>
      <c r="R1022" s="10" t="str">
        <f>IF(Tabela2[[#This Row],[Coluna9]]&gt;0,"Entrada","Saída")</f>
        <v>Saída</v>
      </c>
      <c r="S1022" s="10" t="str">
        <f>Tabela2[[#This Row],[Coluna8]]</f>
        <v>ZAP</v>
      </c>
      <c r="T1022" s="10" t="e">
        <f>Tabela2[[#This Row],[Coluna72]]</f>
        <v>#REF!</v>
      </c>
      <c r="U1022" s="10">
        <f>SUM(Tabela2[[#This Row],[Coluna9]],Tabela2[[#This Row],[Coluna10]])</f>
        <v>397</v>
      </c>
      <c r="V1022" s="2" t="str">
        <f>Tabela2[[#This Row],[Coluna4]]</f>
        <v>21/11/2025</v>
      </c>
      <c r="W1022" s="2" t="str">
        <f>Tabela2[[#This Row],[Coluna6]]</f>
        <v>21/11/2025</v>
      </c>
    </row>
    <row r="1023" spans="2:23" x14ac:dyDescent="0.2">
      <c r="B1023" t="s">
        <v>12</v>
      </c>
      <c r="C1023" t="s">
        <v>95</v>
      </c>
      <c r="D1023" t="s">
        <v>13</v>
      </c>
      <c r="E1023" s="8" t="s">
        <v>253</v>
      </c>
      <c r="F1023" t="s">
        <v>42</v>
      </c>
      <c r="G1023" s="8" t="s">
        <v>253</v>
      </c>
      <c r="H1023" t="s">
        <v>443</v>
      </c>
      <c r="I1023" t="e">
        <f>VLOOKUP(Tabela2[[#This Row],[Coluna7]],[1]!Tabela1[#All],2,0)</f>
        <v>#REF!</v>
      </c>
      <c r="J1023" t="s">
        <v>444</v>
      </c>
      <c r="L1023">
        <v>24.27</v>
      </c>
      <c r="Q1023" s="10" t="str">
        <f>Tabela2[[#This Row],[Coluna5]]</f>
        <v>11/2025</v>
      </c>
      <c r="R1023" s="10" t="str">
        <f>IF(Tabela2[[#This Row],[Coluna9]]&gt;0,"Entrada","Saída")</f>
        <v>Saída</v>
      </c>
      <c r="S1023" s="10" t="str">
        <f>Tabela2[[#This Row],[Coluna8]]</f>
        <v>GELADEIRA LEGAL</v>
      </c>
      <c r="T1023" s="10" t="e">
        <f>Tabela2[[#This Row],[Coluna72]]</f>
        <v>#REF!</v>
      </c>
      <c r="U1023" s="10">
        <f>SUM(Tabela2[[#This Row],[Coluna9]],Tabela2[[#This Row],[Coluna10]])</f>
        <v>24.27</v>
      </c>
      <c r="V1023" s="2" t="str">
        <f>Tabela2[[#This Row],[Coluna4]]</f>
        <v>21/11/2025</v>
      </c>
      <c r="W1023" s="2" t="str">
        <f>Tabela2[[#This Row],[Coluna6]]</f>
        <v>21/11/2025</v>
      </c>
    </row>
    <row r="1024" spans="2:23" x14ac:dyDescent="0.2">
      <c r="B1024" t="s">
        <v>18</v>
      </c>
      <c r="C1024" t="s">
        <v>95</v>
      </c>
      <c r="D1024" t="s">
        <v>13</v>
      </c>
      <c r="E1024" s="8" t="s">
        <v>62</v>
      </c>
      <c r="F1024" t="s">
        <v>42</v>
      </c>
      <c r="G1024" s="8" t="s">
        <v>256</v>
      </c>
      <c r="H1024" t="s">
        <v>451</v>
      </c>
      <c r="I1024" t="e">
        <f>VLOOKUP(Tabela2[[#This Row],[Coluna7]],[1]!Tabela1[#All],2,0)</f>
        <v>#REF!</v>
      </c>
      <c r="J1024" t="s">
        <v>464</v>
      </c>
      <c r="L1024">
        <v>156.88</v>
      </c>
      <c r="Q1024" s="10" t="str">
        <f>Tabela2[[#This Row],[Coluna5]]</f>
        <v>11/2025</v>
      </c>
      <c r="R1024" s="10" t="str">
        <f>IF(Tabela2[[#This Row],[Coluna9]]&gt;0,"Entrada","Saída")</f>
        <v>Saída</v>
      </c>
      <c r="S1024" s="10" t="str">
        <f>Tabela2[[#This Row],[Coluna8]]</f>
        <v>BRISANET</v>
      </c>
      <c r="T1024" s="10" t="e">
        <f>Tabela2[[#This Row],[Coluna72]]</f>
        <v>#REF!</v>
      </c>
      <c r="U1024" s="10">
        <f>SUM(Tabela2[[#This Row],[Coluna9]],Tabela2[[#This Row],[Coluna10]])</f>
        <v>156.88</v>
      </c>
      <c r="V1024" s="2" t="str">
        <f>Tabela2[[#This Row],[Coluna4]]</f>
        <v>24/11/2025</v>
      </c>
      <c r="W1024" s="2" t="str">
        <f>Tabela2[[#This Row],[Coluna6]]</f>
        <v>25/11/2025</v>
      </c>
    </row>
    <row r="1025" spans="2:23" x14ac:dyDescent="0.2">
      <c r="B1025" t="s">
        <v>27</v>
      </c>
      <c r="C1025" t="s">
        <v>95</v>
      </c>
      <c r="D1025" t="s">
        <v>13</v>
      </c>
      <c r="E1025" s="8" t="s">
        <v>257</v>
      </c>
      <c r="F1025" t="s">
        <v>42</v>
      </c>
      <c r="G1025" s="8" t="s">
        <v>257</v>
      </c>
      <c r="H1025" t="s">
        <v>442</v>
      </c>
      <c r="I1025" t="e">
        <f>VLOOKUP(Tabela2[[#This Row],[Coluna7]],[1]!Tabela1[#All],2,0)</f>
        <v>#REF!</v>
      </c>
      <c r="J1025" t="s">
        <v>453</v>
      </c>
      <c r="L1025">
        <v>1019.03</v>
      </c>
      <c r="Q1025" s="10" t="str">
        <f>Tabela2[[#This Row],[Coluna5]]</f>
        <v>11/2025</v>
      </c>
      <c r="R1025" s="10" t="str">
        <f>IF(Tabela2[[#This Row],[Coluna9]]&gt;0,"Entrada","Saída")</f>
        <v>Saída</v>
      </c>
      <c r="S1025" s="10" t="str">
        <f>Tabela2[[#This Row],[Coluna8]]</f>
        <v>CAPITAL DE GIRO</v>
      </c>
      <c r="T1025" s="10" t="e">
        <f>Tabela2[[#This Row],[Coluna72]]</f>
        <v>#REF!</v>
      </c>
      <c r="U1025" s="10">
        <f>SUM(Tabela2[[#This Row],[Coluna9]],Tabela2[[#This Row],[Coluna10]])</f>
        <v>1019.03</v>
      </c>
      <c r="V1025" s="2" t="str">
        <f>Tabela2[[#This Row],[Coluna4]]</f>
        <v>26/11/2025</v>
      </c>
      <c r="W1025" s="2" t="str">
        <f>Tabela2[[#This Row],[Coluna6]]</f>
        <v>26/11/2025</v>
      </c>
    </row>
    <row r="1026" spans="2:23" x14ac:dyDescent="0.2">
      <c r="B1026" t="s">
        <v>18</v>
      </c>
      <c r="C1026" t="s">
        <v>95</v>
      </c>
      <c r="D1026" t="s">
        <v>13</v>
      </c>
      <c r="E1026" s="8" t="s">
        <v>63</v>
      </c>
      <c r="F1026" t="s">
        <v>64</v>
      </c>
      <c r="G1026" s="8" t="s">
        <v>63</v>
      </c>
      <c r="H1026" t="s">
        <v>490</v>
      </c>
      <c r="I1026" t="e">
        <f>VLOOKUP(Tabela2[[#This Row],[Coluna7]],[1]!Tabela1[#All],2,0)</f>
        <v>#REF!</v>
      </c>
      <c r="J1026" t="s">
        <v>491</v>
      </c>
      <c r="L1026">
        <v>51.93</v>
      </c>
      <c r="Q1026" s="10" t="str">
        <f>Tabela2[[#This Row],[Coluna5]]</f>
        <v>12/2025</v>
      </c>
      <c r="R1026" s="10" t="str">
        <f>IF(Tabela2[[#This Row],[Coluna9]]&gt;0,"Entrada","Saída")</f>
        <v>Saída</v>
      </c>
      <c r="S1026" s="10" t="str">
        <f>Tabela2[[#This Row],[Coluna8]]</f>
        <v>CLARO - JURÍDICO</v>
      </c>
      <c r="T1026" s="10" t="e">
        <f>Tabela2[[#This Row],[Coluna72]]</f>
        <v>#REF!</v>
      </c>
      <c r="U1026" s="10">
        <f>SUM(Tabela2[[#This Row],[Coluna9]],Tabela2[[#This Row],[Coluna10]])</f>
        <v>51.93</v>
      </c>
      <c r="V1026" s="2" t="str">
        <f>Tabela2[[#This Row],[Coluna4]]</f>
        <v>01/12/2025</v>
      </c>
      <c r="W1026" s="2" t="str">
        <f>Tabela2[[#This Row],[Coluna6]]</f>
        <v>01/12/2025</v>
      </c>
    </row>
    <row r="1027" spans="2:23" x14ac:dyDescent="0.2">
      <c r="B1027" t="s">
        <v>27</v>
      </c>
      <c r="C1027" t="s">
        <v>95</v>
      </c>
      <c r="D1027" t="s">
        <v>13</v>
      </c>
      <c r="E1027" s="8" t="s">
        <v>66</v>
      </c>
      <c r="F1027" t="s">
        <v>64</v>
      </c>
      <c r="G1027" s="8" t="s">
        <v>66</v>
      </c>
      <c r="H1027" t="s">
        <v>442</v>
      </c>
      <c r="I1027" t="e">
        <f>VLOOKUP(Tabela2[[#This Row],[Coluna7]],[1]!Tabela1[#All],2,0)</f>
        <v>#REF!</v>
      </c>
      <c r="L1027">
        <v>647.37</v>
      </c>
      <c r="Q1027" s="10" t="str">
        <f>Tabela2[[#This Row],[Coluna5]]</f>
        <v>12/2025</v>
      </c>
      <c r="R1027" s="10" t="str">
        <f>IF(Tabela2[[#This Row],[Coluna9]]&gt;0,"Entrada","Saída")</f>
        <v>Saída</v>
      </c>
      <c r="S1027" s="10">
        <f>Tabela2[[#This Row],[Coluna8]]</f>
        <v>0</v>
      </c>
      <c r="T1027" s="10" t="e">
        <f>Tabela2[[#This Row],[Coluna72]]</f>
        <v>#REF!</v>
      </c>
      <c r="U1027" s="10">
        <f>SUM(Tabela2[[#This Row],[Coluna9]],Tabela2[[#This Row],[Coluna10]])</f>
        <v>647.37</v>
      </c>
      <c r="V1027" s="2" t="str">
        <f>Tabela2[[#This Row],[Coluna4]]</f>
        <v>04/12/2025</v>
      </c>
      <c r="W1027" s="2" t="str">
        <f>Tabela2[[#This Row],[Coluna6]]</f>
        <v>04/12/2025</v>
      </c>
    </row>
    <row r="1028" spans="2:23" x14ac:dyDescent="0.2">
      <c r="B1028" t="s">
        <v>18</v>
      </c>
      <c r="C1028" t="s">
        <v>95</v>
      </c>
      <c r="D1028" t="s">
        <v>13</v>
      </c>
      <c r="E1028" s="8" t="s">
        <v>66</v>
      </c>
      <c r="F1028" t="s">
        <v>64</v>
      </c>
      <c r="G1028" s="8" t="s">
        <v>66</v>
      </c>
      <c r="H1028" t="s">
        <v>469</v>
      </c>
      <c r="I1028" t="e">
        <f>VLOOKUP(Tabela2[[#This Row],[Coluna7]],[1]!Tabela1[#All],2,0)</f>
        <v>#REF!</v>
      </c>
      <c r="L1028">
        <v>21.02</v>
      </c>
      <c r="Q1028" s="10" t="str">
        <f>Tabela2[[#This Row],[Coluna5]]</f>
        <v>12/2025</v>
      </c>
      <c r="R1028" s="10" t="str">
        <f>IF(Tabela2[[#This Row],[Coluna9]]&gt;0,"Entrada","Saída")</f>
        <v>Saída</v>
      </c>
      <c r="S1028" s="10">
        <f>Tabela2[[#This Row],[Coluna8]]</f>
        <v>0</v>
      </c>
      <c r="T1028" s="10" t="e">
        <f>Tabela2[[#This Row],[Coluna72]]</f>
        <v>#REF!</v>
      </c>
      <c r="U1028" s="10">
        <f>SUM(Tabela2[[#This Row],[Coluna9]],Tabela2[[#This Row],[Coluna10]])</f>
        <v>21.02</v>
      </c>
      <c r="V1028" s="2" t="str">
        <f>Tabela2[[#This Row],[Coluna4]]</f>
        <v>04/12/2025</v>
      </c>
      <c r="W1028" s="2" t="str">
        <f>Tabela2[[#This Row],[Coluna6]]</f>
        <v>04/12/2025</v>
      </c>
    </row>
    <row r="1029" spans="2:23" x14ac:dyDescent="0.2">
      <c r="B1029" t="s">
        <v>18</v>
      </c>
      <c r="C1029" t="s">
        <v>95</v>
      </c>
      <c r="D1029" t="s">
        <v>13</v>
      </c>
      <c r="E1029" s="8" t="s">
        <v>289</v>
      </c>
      <c r="F1029" t="s">
        <v>64</v>
      </c>
      <c r="G1029" s="8" t="s">
        <v>65</v>
      </c>
      <c r="H1029" t="s">
        <v>477</v>
      </c>
      <c r="I1029" t="e">
        <f>VLOOKUP(Tabela2[[#This Row],[Coluna7]],[1]!Tabela1[#All],2,0)</f>
        <v>#REF!</v>
      </c>
      <c r="J1029" t="s">
        <v>478</v>
      </c>
      <c r="L1029">
        <v>800</v>
      </c>
      <c r="Q1029" s="10" t="str">
        <f>Tabela2[[#This Row],[Coluna5]]</f>
        <v>12/2025</v>
      </c>
      <c r="R1029" s="10" t="str">
        <f>IF(Tabela2[[#This Row],[Coluna9]]&gt;0,"Entrada","Saída")</f>
        <v>Saída</v>
      </c>
      <c r="S1029" s="10" t="str">
        <f>Tabela2[[#This Row],[Coluna8]]</f>
        <v>ALISSON TRAJANO</v>
      </c>
      <c r="T1029" s="10" t="e">
        <f>Tabela2[[#This Row],[Coluna72]]</f>
        <v>#REF!</v>
      </c>
      <c r="U1029" s="10">
        <f>SUM(Tabela2[[#This Row],[Coluna9]],Tabela2[[#This Row],[Coluna10]])</f>
        <v>800</v>
      </c>
      <c r="V1029" s="2" t="str">
        <f>Tabela2[[#This Row],[Coluna4]]</f>
        <v>05/12/2025</v>
      </c>
      <c r="W1029" s="2" t="str">
        <f>Tabela2[[#This Row],[Coluna6]]</f>
        <v>03/12/2025</v>
      </c>
    </row>
    <row r="1030" spans="2:23" x14ac:dyDescent="0.2">
      <c r="B1030" t="s">
        <v>18</v>
      </c>
      <c r="C1030" t="s">
        <v>95</v>
      </c>
      <c r="D1030" t="s">
        <v>13</v>
      </c>
      <c r="E1030" s="8" t="s">
        <v>289</v>
      </c>
      <c r="F1030" t="s">
        <v>64</v>
      </c>
      <c r="G1030" s="8" t="s">
        <v>289</v>
      </c>
      <c r="H1030" t="s">
        <v>443</v>
      </c>
      <c r="I1030" t="e">
        <f>VLOOKUP(Tabela2[[#This Row],[Coluna7]],[1]!Tabela1[#All],2,0)</f>
        <v>#REF!</v>
      </c>
      <c r="J1030" t="s">
        <v>492</v>
      </c>
      <c r="L1030">
        <v>50</v>
      </c>
      <c r="Q1030" s="10" t="str">
        <f>Tabela2[[#This Row],[Coluna5]]</f>
        <v>12/2025</v>
      </c>
      <c r="R1030" s="10" t="str">
        <f>IF(Tabela2[[#This Row],[Coluna9]]&gt;0,"Entrada","Saída")</f>
        <v>Saída</v>
      </c>
      <c r="S1030" s="10" t="str">
        <f>Tabela2[[#This Row],[Coluna8]]</f>
        <v>GELADEIRA LEGAL (PIX PARA D JUDITH)</v>
      </c>
      <c r="T1030" s="10" t="e">
        <f>Tabela2[[#This Row],[Coluna72]]</f>
        <v>#REF!</v>
      </c>
      <c r="U1030" s="10">
        <f>SUM(Tabela2[[#This Row],[Coluna9]],Tabela2[[#This Row],[Coluna10]])</f>
        <v>50</v>
      </c>
      <c r="V1030" s="2" t="str">
        <f>Tabela2[[#This Row],[Coluna4]]</f>
        <v>05/12/2025</v>
      </c>
      <c r="W1030" s="2" t="str">
        <f>Tabela2[[#This Row],[Coluna6]]</f>
        <v>05/12/2025</v>
      </c>
    </row>
    <row r="1031" spans="2:23" x14ac:dyDescent="0.2">
      <c r="B1031" t="s">
        <v>18</v>
      </c>
      <c r="C1031" t="s">
        <v>95</v>
      </c>
      <c r="D1031" t="s">
        <v>13</v>
      </c>
      <c r="E1031" s="8" t="s">
        <v>289</v>
      </c>
      <c r="F1031" t="s">
        <v>64</v>
      </c>
      <c r="G1031" s="8" t="s">
        <v>289</v>
      </c>
      <c r="H1031" t="s">
        <v>443</v>
      </c>
      <c r="I1031" t="e">
        <f>VLOOKUP(Tabela2[[#This Row],[Coluna7]],[1]!Tabela1[#All],2,0)</f>
        <v>#REF!</v>
      </c>
      <c r="J1031" t="s">
        <v>493</v>
      </c>
      <c r="L1031">
        <v>16</v>
      </c>
      <c r="Q1031" s="10" t="str">
        <f>Tabela2[[#This Row],[Coluna5]]</f>
        <v>12/2025</v>
      </c>
      <c r="R1031" s="10" t="str">
        <f>IF(Tabela2[[#This Row],[Coluna9]]&gt;0,"Entrada","Saída")</f>
        <v>Saída</v>
      </c>
      <c r="S1031" s="10" t="str">
        <f>Tabela2[[#This Row],[Coluna8]]</f>
        <v>GELADEIRA LEGAL (ALMOÇO COLETIVO - PIX PARA VICTOR)</v>
      </c>
      <c r="T1031" s="10" t="e">
        <f>Tabela2[[#This Row],[Coluna72]]</f>
        <v>#REF!</v>
      </c>
      <c r="U1031" s="10">
        <f>SUM(Tabela2[[#This Row],[Coluna9]],Tabela2[[#This Row],[Coluna10]])</f>
        <v>16</v>
      </c>
      <c r="V1031" s="2" t="str">
        <f>Tabela2[[#This Row],[Coluna4]]</f>
        <v>05/12/2025</v>
      </c>
      <c r="W1031" s="2" t="str">
        <f>Tabela2[[#This Row],[Coluna6]]</f>
        <v>05/12/2025</v>
      </c>
    </row>
    <row r="1032" spans="2:23" x14ac:dyDescent="0.2">
      <c r="B1032" t="s">
        <v>18</v>
      </c>
      <c r="C1032" t="s">
        <v>95</v>
      </c>
      <c r="D1032" t="s">
        <v>13</v>
      </c>
      <c r="E1032" s="8" t="s">
        <v>67</v>
      </c>
      <c r="F1032" t="s">
        <v>64</v>
      </c>
      <c r="G1032" s="8" t="s">
        <v>65</v>
      </c>
      <c r="H1032" t="s">
        <v>440</v>
      </c>
      <c r="I1032" t="e">
        <f>VLOOKUP(Tabela2[[#This Row],[Coluna7]],[1]!Tabela1[#All],2,0)</f>
        <v>#REF!</v>
      </c>
      <c r="J1032" t="s">
        <v>441</v>
      </c>
      <c r="L1032">
        <v>173.48</v>
      </c>
      <c r="Q1032" s="10" t="str">
        <f>Tabela2[[#This Row],[Coluna5]]</f>
        <v>12/2025</v>
      </c>
      <c r="R1032" s="10" t="str">
        <f>IF(Tabela2[[#This Row],[Coluna9]]&gt;0,"Entrada","Saída")</f>
        <v>Saída</v>
      </c>
      <c r="S1032" s="10" t="str">
        <f>Tabela2[[#This Row],[Coluna8]]</f>
        <v>ENERGISA</v>
      </c>
      <c r="T1032" s="10" t="e">
        <f>Tabela2[[#This Row],[Coluna72]]</f>
        <v>#REF!</v>
      </c>
      <c r="U1032" s="10">
        <f>SUM(Tabela2[[#This Row],[Coluna9]],Tabela2[[#This Row],[Coluna10]])</f>
        <v>173.48</v>
      </c>
      <c r="V1032" s="2" t="str">
        <f>Tabela2[[#This Row],[Coluna4]]</f>
        <v>06/12/2025</v>
      </c>
      <c r="W1032" s="2" t="str">
        <f>Tabela2[[#This Row],[Coluna6]]</f>
        <v>03/12/2025</v>
      </c>
    </row>
    <row r="1033" spans="2:23" x14ac:dyDescent="0.2">
      <c r="B1033" t="s">
        <v>18</v>
      </c>
      <c r="C1033" t="s">
        <v>95</v>
      </c>
      <c r="D1033" t="s">
        <v>13</v>
      </c>
      <c r="E1033" s="8" t="s">
        <v>292</v>
      </c>
      <c r="F1033" t="s">
        <v>64</v>
      </c>
      <c r="G1033" s="8" t="s">
        <v>292</v>
      </c>
      <c r="H1033" t="s">
        <v>490</v>
      </c>
      <c r="I1033" t="e">
        <f>VLOOKUP(Tabela2[[#This Row],[Coluna7]],[1]!Tabela1[#All],2,0)</f>
        <v>#REF!</v>
      </c>
      <c r="J1033" t="s">
        <v>494</v>
      </c>
      <c r="L1033">
        <v>15</v>
      </c>
      <c r="Q1033" s="10" t="str">
        <f>Tabela2[[#This Row],[Coluna5]]</f>
        <v>12/2025</v>
      </c>
      <c r="R1033" s="10" t="str">
        <f>IF(Tabela2[[#This Row],[Coluna9]]&gt;0,"Entrada","Saída")</f>
        <v>Saída</v>
      </c>
      <c r="S1033" s="10" t="str">
        <f>Tabela2[[#This Row],[Coluna8]]</f>
        <v>TELEFONE DO FINANCEIRO</v>
      </c>
      <c r="T1033" s="10" t="e">
        <f>Tabela2[[#This Row],[Coluna72]]</f>
        <v>#REF!</v>
      </c>
      <c r="U1033" s="10">
        <f>SUM(Tabela2[[#This Row],[Coluna9]],Tabela2[[#This Row],[Coluna10]])</f>
        <v>15</v>
      </c>
      <c r="V1033" s="2" t="str">
        <f>Tabela2[[#This Row],[Coluna4]]</f>
        <v>09/12/2025</v>
      </c>
      <c r="W1033" s="2" t="str">
        <f>Tabela2[[#This Row],[Coluna6]]</f>
        <v>09/12/2025</v>
      </c>
    </row>
    <row r="1034" spans="2:23" x14ac:dyDescent="0.2">
      <c r="B1034" t="s">
        <v>71</v>
      </c>
      <c r="C1034" t="s">
        <v>95</v>
      </c>
      <c r="D1034" t="s">
        <v>13</v>
      </c>
      <c r="E1034" s="8" t="s">
        <v>69</v>
      </c>
      <c r="F1034" t="s">
        <v>64</v>
      </c>
      <c r="G1034" s="8" t="s">
        <v>309</v>
      </c>
      <c r="H1034" t="s">
        <v>445</v>
      </c>
      <c r="I1034" t="e">
        <f>VLOOKUP(Tabela2[[#This Row],[Coluna7]],[1]!Tabela1[#All],2,0)</f>
        <v>#REF!</v>
      </c>
      <c r="J1034" t="s">
        <v>495</v>
      </c>
      <c r="L1034">
        <v>1500</v>
      </c>
      <c r="Q1034" s="10" t="str">
        <f>Tabela2[[#This Row],[Coluna5]]</f>
        <v>12/2025</v>
      </c>
      <c r="R1034" s="10" t="str">
        <f>IF(Tabela2[[#This Row],[Coluna9]]&gt;0,"Entrada","Saída")</f>
        <v>Saída</v>
      </c>
      <c r="S1034" s="10" t="str">
        <f>Tabela2[[#This Row],[Coluna8]]</f>
        <v>6/9 SISTEMA FINANCEIRO</v>
      </c>
      <c r="T1034" s="10" t="e">
        <f>Tabela2[[#This Row],[Coluna72]]</f>
        <v>#REF!</v>
      </c>
      <c r="U1034" s="10">
        <f>SUM(Tabela2[[#This Row],[Coluna9]],Tabela2[[#This Row],[Coluna10]])</f>
        <v>1500</v>
      </c>
      <c r="V1034" s="2" t="str">
        <f>Tabela2[[#This Row],[Coluna4]]</f>
        <v>10/12/2025</v>
      </c>
      <c r="W1034" s="2" t="str">
        <f>Tabela2[[#This Row],[Coluna6]]</f>
        <v>12/12/2025</v>
      </c>
    </row>
    <row r="1035" spans="2:23" x14ac:dyDescent="0.2">
      <c r="B1035" t="s">
        <v>18</v>
      </c>
      <c r="C1035" t="s">
        <v>95</v>
      </c>
      <c r="D1035" t="s">
        <v>13</v>
      </c>
      <c r="E1035" s="8" t="s">
        <v>69</v>
      </c>
      <c r="F1035" t="s">
        <v>64</v>
      </c>
      <c r="G1035" s="8" t="s">
        <v>66</v>
      </c>
      <c r="H1035" t="s">
        <v>445</v>
      </c>
      <c r="I1035" t="e">
        <f>VLOOKUP(Tabela2[[#This Row],[Coluna7]],[1]!Tabela1[#All],2,0)</f>
        <v>#REF!</v>
      </c>
      <c r="J1035" t="s">
        <v>447</v>
      </c>
      <c r="L1035">
        <v>385</v>
      </c>
      <c r="Q1035" s="10" t="str">
        <f>Tabela2[[#This Row],[Coluna5]]</f>
        <v>12/2025</v>
      </c>
      <c r="R1035" s="10" t="str">
        <f>IF(Tabela2[[#This Row],[Coluna9]]&gt;0,"Entrada","Saída")</f>
        <v>Saída</v>
      </c>
      <c r="S1035" s="10" t="str">
        <f>Tabela2[[#This Row],[Coluna8]]</f>
        <v>LEGALMAIL</v>
      </c>
      <c r="T1035" s="10" t="e">
        <f>Tabela2[[#This Row],[Coluna72]]</f>
        <v>#REF!</v>
      </c>
      <c r="U1035" s="10">
        <f>SUM(Tabela2[[#This Row],[Coluna9]],Tabela2[[#This Row],[Coluna10]])</f>
        <v>385</v>
      </c>
      <c r="V1035" s="2" t="str">
        <f>Tabela2[[#This Row],[Coluna4]]</f>
        <v>10/12/2025</v>
      </c>
      <c r="W1035" s="2" t="str">
        <f>Tabela2[[#This Row],[Coluna6]]</f>
        <v>04/12/2025</v>
      </c>
    </row>
    <row r="1036" spans="2:23" x14ac:dyDescent="0.2">
      <c r="B1036" t="s">
        <v>18</v>
      </c>
      <c r="C1036" t="s">
        <v>95</v>
      </c>
      <c r="D1036" t="s">
        <v>13</v>
      </c>
      <c r="E1036" s="8" t="s">
        <v>69</v>
      </c>
      <c r="F1036" t="s">
        <v>64</v>
      </c>
      <c r="G1036" s="8" t="s">
        <v>69</v>
      </c>
      <c r="H1036" t="s">
        <v>490</v>
      </c>
      <c r="I1036" t="e">
        <f>VLOOKUP(Tabela2[[#This Row],[Coluna7]],[1]!Tabela1[#All],2,0)</f>
        <v>#REF!</v>
      </c>
      <c r="J1036" t="s">
        <v>496</v>
      </c>
      <c r="L1036">
        <v>53.16</v>
      </c>
      <c r="Q1036" s="10" t="str">
        <f>Tabela2[[#This Row],[Coluna5]]</f>
        <v>12/2025</v>
      </c>
      <c r="R1036" s="10" t="str">
        <f>IF(Tabela2[[#This Row],[Coluna9]]&gt;0,"Entrada","Saída")</f>
        <v>Saída</v>
      </c>
      <c r="S1036" s="10" t="str">
        <f>Tabela2[[#This Row],[Coluna8]]</f>
        <v>CLARO JURÍDICO</v>
      </c>
      <c r="T1036" s="10" t="e">
        <f>Tabela2[[#This Row],[Coluna72]]</f>
        <v>#REF!</v>
      </c>
      <c r="U1036" s="10">
        <f>SUM(Tabela2[[#This Row],[Coluna9]],Tabela2[[#This Row],[Coluna10]])</f>
        <v>53.16</v>
      </c>
      <c r="V1036" s="2" t="str">
        <f>Tabela2[[#This Row],[Coluna4]]</f>
        <v>10/12/2025</v>
      </c>
      <c r="W1036" s="2" t="str">
        <f>Tabela2[[#This Row],[Coluna6]]</f>
        <v>10/12/2025</v>
      </c>
    </row>
    <row r="1037" spans="2:23" x14ac:dyDescent="0.2">
      <c r="B1037" t="s">
        <v>18</v>
      </c>
      <c r="C1037" t="s">
        <v>95</v>
      </c>
      <c r="D1037" t="s">
        <v>13</v>
      </c>
      <c r="E1037" s="8" t="s">
        <v>69</v>
      </c>
      <c r="F1037" t="s">
        <v>64</v>
      </c>
      <c r="G1037" s="8" t="s">
        <v>69</v>
      </c>
      <c r="H1037" t="s">
        <v>451</v>
      </c>
      <c r="I1037" t="e">
        <f>VLOOKUP(Tabela2[[#This Row],[Coluna7]],[1]!Tabela1[#All],2,0)</f>
        <v>#REF!</v>
      </c>
      <c r="J1037" t="s">
        <v>452</v>
      </c>
      <c r="L1037">
        <v>156.72</v>
      </c>
      <c r="Q1037" s="10" t="str">
        <f>Tabela2[[#This Row],[Coluna5]]</f>
        <v>12/2025</v>
      </c>
      <c r="R1037" s="10" t="str">
        <f>IF(Tabela2[[#This Row],[Coluna9]]&gt;0,"Entrada","Saída")</f>
        <v>Saída</v>
      </c>
      <c r="S1037" s="10" t="str">
        <f>Tabela2[[#This Row],[Coluna8]]</f>
        <v>CLARO</v>
      </c>
      <c r="T1037" s="10" t="e">
        <f>Tabela2[[#This Row],[Coluna72]]</f>
        <v>#REF!</v>
      </c>
      <c r="U1037" s="10">
        <f>SUM(Tabela2[[#This Row],[Coluna9]],Tabela2[[#This Row],[Coluna10]])</f>
        <v>156.72</v>
      </c>
      <c r="V1037" s="2" t="str">
        <f>Tabela2[[#This Row],[Coluna4]]</f>
        <v>10/12/2025</v>
      </c>
      <c r="W1037" s="2" t="str">
        <f>Tabela2[[#This Row],[Coluna6]]</f>
        <v>10/12/2025</v>
      </c>
    </row>
    <row r="1038" spans="2:23" x14ac:dyDescent="0.2">
      <c r="B1038" t="s">
        <v>12</v>
      </c>
      <c r="C1038" t="s">
        <v>95</v>
      </c>
      <c r="D1038" t="s">
        <v>13</v>
      </c>
      <c r="E1038" s="8" t="s">
        <v>309</v>
      </c>
      <c r="F1038" t="s">
        <v>64</v>
      </c>
      <c r="G1038" s="8" t="s">
        <v>309</v>
      </c>
      <c r="H1038" t="s">
        <v>469</v>
      </c>
      <c r="I1038" t="e">
        <f>VLOOKUP(Tabela2[[#This Row],[Coluna7]],[1]!Tabela1[#All],2,0)</f>
        <v>#REF!</v>
      </c>
      <c r="J1038" t="s">
        <v>497</v>
      </c>
      <c r="L1038">
        <v>8.5</v>
      </c>
      <c r="Q1038" s="10" t="str">
        <f>Tabela2[[#This Row],[Coluna5]]</f>
        <v>12/2025</v>
      </c>
      <c r="R1038" s="10" t="str">
        <f>IF(Tabela2[[#This Row],[Coluna9]]&gt;0,"Entrada","Saída")</f>
        <v>Saída</v>
      </c>
      <c r="S1038" s="10" t="str">
        <f>Tabela2[[#This Row],[Coluna8]]</f>
        <v>PAPELARIA</v>
      </c>
      <c r="T1038" s="10" t="e">
        <f>Tabela2[[#This Row],[Coluna72]]</f>
        <v>#REF!</v>
      </c>
      <c r="U1038" s="10">
        <f>SUM(Tabela2[[#This Row],[Coluna9]],Tabela2[[#This Row],[Coluna10]])</f>
        <v>8.5</v>
      </c>
      <c r="V1038" s="2" t="str">
        <f>Tabela2[[#This Row],[Coluna4]]</f>
        <v>12/12/2025</v>
      </c>
      <c r="W1038" s="2" t="str">
        <f>Tabela2[[#This Row],[Coluna6]]</f>
        <v>12/12/2025</v>
      </c>
    </row>
    <row r="1039" spans="2:23" x14ac:dyDescent="0.2">
      <c r="B1039" t="s">
        <v>27</v>
      </c>
      <c r="C1039" t="s">
        <v>95</v>
      </c>
      <c r="D1039" t="s">
        <v>13</v>
      </c>
      <c r="E1039" s="8" t="s">
        <v>76</v>
      </c>
      <c r="F1039" t="s">
        <v>64</v>
      </c>
      <c r="G1039" s="8" t="s">
        <v>76</v>
      </c>
      <c r="H1039" t="s">
        <v>442</v>
      </c>
      <c r="I1039" t="e">
        <f>VLOOKUP(Tabela2[[#This Row],[Coluna7]],[1]!Tabela1[#All],2,0)</f>
        <v>#REF!</v>
      </c>
      <c r="J1039" t="s">
        <v>498</v>
      </c>
      <c r="L1039">
        <v>1021.45</v>
      </c>
      <c r="Q1039" s="10" t="str">
        <f>Tabela2[[#This Row],[Coluna5]]</f>
        <v>12/2025</v>
      </c>
      <c r="R1039" s="10" t="str">
        <f>IF(Tabela2[[#This Row],[Coluna9]]&gt;0,"Entrada","Saída")</f>
        <v>Saída</v>
      </c>
      <c r="S1039" s="10" t="str">
        <f>Tabela2[[#This Row],[Coluna8]]</f>
        <v>OP CAPITAL DE GIRO</v>
      </c>
      <c r="T1039" s="10" t="e">
        <f>Tabela2[[#This Row],[Coluna72]]</f>
        <v>#REF!</v>
      </c>
      <c r="U1039" s="10">
        <f>SUM(Tabela2[[#This Row],[Coluna9]],Tabela2[[#This Row],[Coluna10]])</f>
        <v>1021.45</v>
      </c>
      <c r="V1039" s="2" t="str">
        <f>Tabela2[[#This Row],[Coluna4]]</f>
        <v>15/12/2025</v>
      </c>
      <c r="W1039" s="2" t="str">
        <f>Tabela2[[#This Row],[Coluna6]]</f>
        <v>15/12/2025</v>
      </c>
    </row>
    <row r="1040" spans="2:23" x14ac:dyDescent="0.2">
      <c r="B1040" t="s">
        <v>27</v>
      </c>
      <c r="C1040" t="s">
        <v>95</v>
      </c>
      <c r="D1040" t="s">
        <v>13</v>
      </c>
      <c r="E1040" s="8" t="s">
        <v>76</v>
      </c>
      <c r="F1040" t="s">
        <v>64</v>
      </c>
      <c r="G1040" s="8" t="s">
        <v>76</v>
      </c>
      <c r="H1040" t="s">
        <v>442</v>
      </c>
      <c r="I1040" t="e">
        <f>VLOOKUP(Tabela2[[#This Row],[Coluna7]],[1]!Tabela1[#All],2,0)</f>
        <v>#REF!</v>
      </c>
      <c r="J1040" t="s">
        <v>498</v>
      </c>
      <c r="L1040">
        <v>1546.2</v>
      </c>
      <c r="Q1040" s="10" t="str">
        <f>Tabela2[[#This Row],[Coluna5]]</f>
        <v>12/2025</v>
      </c>
      <c r="R1040" s="10" t="str">
        <f>IF(Tabela2[[#This Row],[Coluna9]]&gt;0,"Entrada","Saída")</f>
        <v>Saída</v>
      </c>
      <c r="S1040" s="10" t="str">
        <f>Tabela2[[#This Row],[Coluna8]]</f>
        <v>OP CAPITAL DE GIRO</v>
      </c>
      <c r="T1040" s="10" t="e">
        <f>Tabela2[[#This Row],[Coluna72]]</f>
        <v>#REF!</v>
      </c>
      <c r="U1040" s="10">
        <f>SUM(Tabela2[[#This Row],[Coluna9]],Tabela2[[#This Row],[Coluna10]])</f>
        <v>1546.2</v>
      </c>
      <c r="V1040" s="2" t="str">
        <f>Tabela2[[#This Row],[Coluna4]]</f>
        <v>15/12/2025</v>
      </c>
      <c r="W1040" s="2" t="str">
        <f>Tabela2[[#This Row],[Coluna6]]</f>
        <v>15/12/2025</v>
      </c>
    </row>
    <row r="1041" spans="2:23" x14ac:dyDescent="0.2">
      <c r="B1041" t="s">
        <v>18</v>
      </c>
      <c r="C1041" t="s">
        <v>125</v>
      </c>
      <c r="D1041" t="s">
        <v>13</v>
      </c>
      <c r="E1041" s="8" t="s">
        <v>317</v>
      </c>
      <c r="F1041" t="s">
        <v>64</v>
      </c>
      <c r="G1041" s="8" t="s">
        <v>317</v>
      </c>
      <c r="H1041" t="s">
        <v>488</v>
      </c>
      <c r="I1041" t="e">
        <f>VLOOKUP(Tabela2[[#This Row],[Coluna7]],[1]!Tabela1[#All],2,0)</f>
        <v>#REF!</v>
      </c>
      <c r="L1041">
        <v>50</v>
      </c>
      <c r="N1041" t="s">
        <v>499</v>
      </c>
      <c r="Q1041" s="10" t="str">
        <f>Tabela2[[#This Row],[Coluna5]]</f>
        <v>12/2025</v>
      </c>
      <c r="R1041" s="10" t="str">
        <f>IF(Tabela2[[#This Row],[Coluna9]]&gt;0,"Entrada","Saída")</f>
        <v>Saída</v>
      </c>
      <c r="S1041" s="10">
        <f>Tabela2[[#This Row],[Coluna8]]</f>
        <v>0</v>
      </c>
      <c r="T1041" s="10" t="e">
        <f>Tabela2[[#This Row],[Coluna72]]</f>
        <v>#REF!</v>
      </c>
      <c r="U1041" s="10">
        <f>SUM(Tabela2[[#This Row],[Coluna9]],Tabela2[[#This Row],[Coluna10]])</f>
        <v>50</v>
      </c>
      <c r="V1041" s="2" t="str">
        <f>Tabela2[[#This Row],[Coluna4]]</f>
        <v>16/12/2025</v>
      </c>
      <c r="W1041" s="2" t="str">
        <f>Tabela2[[#This Row],[Coluna6]]</f>
        <v>16/12/2025</v>
      </c>
    </row>
    <row r="1042" spans="2:23" x14ac:dyDescent="0.2">
      <c r="B1042" t="s">
        <v>27</v>
      </c>
      <c r="C1042" t="s">
        <v>95</v>
      </c>
      <c r="D1042" t="s">
        <v>13</v>
      </c>
      <c r="E1042" s="8" t="s">
        <v>317</v>
      </c>
      <c r="F1042" t="s">
        <v>64</v>
      </c>
      <c r="G1042" s="8" t="s">
        <v>317</v>
      </c>
      <c r="H1042" t="s">
        <v>445</v>
      </c>
      <c r="I1042" t="e">
        <f>VLOOKUP(Tabela2[[#This Row],[Coluna7]],[1]!Tabela1[#All],2,0)</f>
        <v>#REF!</v>
      </c>
      <c r="J1042" t="s">
        <v>500</v>
      </c>
      <c r="L1042">
        <v>570</v>
      </c>
      <c r="Q1042" s="10" t="str">
        <f>Tabela2[[#This Row],[Coluna5]]</f>
        <v>12/2025</v>
      </c>
      <c r="R1042" s="10" t="str">
        <f>IF(Tabela2[[#This Row],[Coluna9]]&gt;0,"Entrada","Saída")</f>
        <v>Saída</v>
      </c>
      <c r="S1042" s="10" t="str">
        <f>Tabela2[[#This Row],[Coluna8]]</f>
        <v>TOUCHWORKS - IMPLEMENTAÇÃO</v>
      </c>
      <c r="T1042" s="10" t="e">
        <f>Tabela2[[#This Row],[Coluna72]]</f>
        <v>#REF!</v>
      </c>
      <c r="U1042" s="10">
        <f>SUM(Tabela2[[#This Row],[Coluna9]],Tabela2[[#This Row],[Coluna10]])</f>
        <v>570</v>
      </c>
      <c r="V1042" s="2" t="str">
        <f>Tabela2[[#This Row],[Coluna4]]</f>
        <v>16/12/2025</v>
      </c>
      <c r="W1042" s="2" t="str">
        <f>Tabela2[[#This Row],[Coluna6]]</f>
        <v>16/12/2025</v>
      </c>
    </row>
    <row r="1043" spans="2:23" x14ac:dyDescent="0.2">
      <c r="B1043" t="s">
        <v>12</v>
      </c>
      <c r="C1043" t="s">
        <v>95</v>
      </c>
      <c r="D1043" t="s">
        <v>13</v>
      </c>
      <c r="E1043" s="8" t="s">
        <v>78</v>
      </c>
      <c r="F1043" t="s">
        <v>64</v>
      </c>
      <c r="G1043" s="8" t="s">
        <v>78</v>
      </c>
      <c r="H1043" t="s">
        <v>438</v>
      </c>
      <c r="I1043" t="e">
        <f>VLOOKUP(Tabela2[[#This Row],[Coluna7]],[1]!Tabela1[#All],2,0)</f>
        <v>#REF!</v>
      </c>
      <c r="J1043" t="s">
        <v>501</v>
      </c>
      <c r="L1043">
        <v>85</v>
      </c>
      <c r="Q1043" s="10" t="str">
        <f>Tabela2[[#This Row],[Coluna5]]</f>
        <v>12/2025</v>
      </c>
      <c r="R1043" s="10" t="str">
        <f>IF(Tabela2[[#This Row],[Coluna9]]&gt;0,"Entrada","Saída")</f>
        <v>Saída</v>
      </c>
      <c r="S1043" s="10" t="str">
        <f>Tabela2[[#This Row],[Coluna8]]</f>
        <v>AC - PRÉ INSTALAÇÃO</v>
      </c>
      <c r="T1043" s="10" t="e">
        <f>Tabela2[[#This Row],[Coluna72]]</f>
        <v>#REF!</v>
      </c>
      <c r="U1043" s="10">
        <f>SUM(Tabela2[[#This Row],[Coluna9]],Tabela2[[#This Row],[Coluna10]])</f>
        <v>85</v>
      </c>
      <c r="V1043" s="2" t="str">
        <f>Tabela2[[#This Row],[Coluna4]]</f>
        <v>17/12/2025</v>
      </c>
      <c r="W1043" s="2" t="str">
        <f>Tabela2[[#This Row],[Coluna6]]</f>
        <v>17/12/2025</v>
      </c>
    </row>
    <row r="1044" spans="2:23" x14ac:dyDescent="0.2">
      <c r="B1044" t="s">
        <v>18</v>
      </c>
      <c r="C1044" t="s">
        <v>125</v>
      </c>
      <c r="D1044" t="s">
        <v>13</v>
      </c>
      <c r="E1044" s="8" t="s">
        <v>77</v>
      </c>
      <c r="F1044" t="s">
        <v>64</v>
      </c>
      <c r="G1044" s="8" t="s">
        <v>77</v>
      </c>
      <c r="H1044" t="s">
        <v>488</v>
      </c>
      <c r="I1044" t="e">
        <f>VLOOKUP(Tabela2[[#This Row],[Coluna7]],[1]!Tabela1[#All],2,0)</f>
        <v>#REF!</v>
      </c>
      <c r="J1044" t="s">
        <v>502</v>
      </c>
      <c r="L1044">
        <v>50</v>
      </c>
      <c r="N1044" t="s">
        <v>499</v>
      </c>
      <c r="Q1044" s="10" t="str">
        <f>Tabela2[[#This Row],[Coluna5]]</f>
        <v>12/2025</v>
      </c>
      <c r="R1044" s="10" t="str">
        <f>IF(Tabela2[[#This Row],[Coluna9]]&gt;0,"Entrada","Saída")</f>
        <v>Saída</v>
      </c>
      <c r="S1044" s="10" t="str">
        <f>Tabela2[[#This Row],[Coluna8]]</f>
        <v>GASOLINA</v>
      </c>
      <c r="T1044" s="10" t="e">
        <f>Tabela2[[#This Row],[Coluna72]]</f>
        <v>#REF!</v>
      </c>
      <c r="U1044" s="10">
        <f>SUM(Tabela2[[#This Row],[Coluna9]],Tabela2[[#This Row],[Coluna10]])</f>
        <v>50</v>
      </c>
      <c r="V1044" s="2" t="str">
        <f>Tabela2[[#This Row],[Coluna4]]</f>
        <v>18/12/2025</v>
      </c>
      <c r="W1044" s="2" t="str">
        <f>Tabela2[[#This Row],[Coluna6]]</f>
        <v>18/12/2025</v>
      </c>
    </row>
    <row r="1045" spans="2:23" x14ac:dyDescent="0.2">
      <c r="B1045" t="s">
        <v>18</v>
      </c>
      <c r="C1045" t="s">
        <v>125</v>
      </c>
      <c r="D1045" t="s">
        <v>13</v>
      </c>
      <c r="E1045" s="8" t="s">
        <v>77</v>
      </c>
      <c r="F1045" t="s">
        <v>64</v>
      </c>
      <c r="G1045" s="8" t="s">
        <v>77</v>
      </c>
      <c r="H1045" t="s">
        <v>486</v>
      </c>
      <c r="I1045" t="e">
        <f>VLOOKUP(Tabela2[[#This Row],[Coluna7]],[1]!Tabela1[#All],2,0)</f>
        <v>#REF!</v>
      </c>
      <c r="J1045" t="s">
        <v>503</v>
      </c>
      <c r="L1045">
        <v>30</v>
      </c>
      <c r="N1045" t="s">
        <v>499</v>
      </c>
      <c r="Q1045" s="10" t="str">
        <f>Tabela2[[#This Row],[Coluna5]]</f>
        <v>12/2025</v>
      </c>
      <c r="R1045" s="10" t="str">
        <f>IF(Tabela2[[#This Row],[Coluna9]]&gt;0,"Entrada","Saída")</f>
        <v>Saída</v>
      </c>
      <c r="S1045" s="10" t="str">
        <f>Tabela2[[#This Row],[Coluna8]]</f>
        <v>CRÉDITO NO CELULAR</v>
      </c>
      <c r="T1045" s="10" t="e">
        <f>Tabela2[[#This Row],[Coluna72]]</f>
        <v>#REF!</v>
      </c>
      <c r="U1045" s="10">
        <f>SUM(Tabela2[[#This Row],[Coluna9]],Tabela2[[#This Row],[Coluna10]])</f>
        <v>30</v>
      </c>
      <c r="V1045" s="2" t="str">
        <f>Tabela2[[#This Row],[Coluna4]]</f>
        <v>18/12/2025</v>
      </c>
      <c r="W1045" s="2" t="str">
        <f>Tabela2[[#This Row],[Coluna6]]</f>
        <v>18/12/2025</v>
      </c>
    </row>
    <row r="1046" spans="2:23" x14ac:dyDescent="0.2">
      <c r="B1046" t="s">
        <v>58</v>
      </c>
      <c r="C1046" t="s">
        <v>95</v>
      </c>
      <c r="D1046" t="s">
        <v>13</v>
      </c>
      <c r="E1046" s="8" t="s">
        <v>77</v>
      </c>
      <c r="F1046" t="s">
        <v>64</v>
      </c>
      <c r="G1046" s="8" t="s">
        <v>77</v>
      </c>
      <c r="H1046" t="s">
        <v>504</v>
      </c>
      <c r="I1046" t="e">
        <f>VLOOKUP(Tabela2[[#This Row],[Coluna7]],[1]!Tabela1[#All],2,0)</f>
        <v>#REF!</v>
      </c>
      <c r="J1046" t="s">
        <v>505</v>
      </c>
      <c r="L1046">
        <v>10200</v>
      </c>
      <c r="Q1046" s="10" t="str">
        <f>Tabela2[[#This Row],[Coluna5]]</f>
        <v>12/2025</v>
      </c>
      <c r="R1046" s="10" t="str">
        <f>IF(Tabela2[[#This Row],[Coluna9]]&gt;0,"Entrada","Saída")</f>
        <v>Saída</v>
      </c>
      <c r="S1046" s="10" t="str">
        <f>Tabela2[[#This Row],[Coluna8]]</f>
        <v>AGOSTO A DEZEMBRO</v>
      </c>
      <c r="T1046" s="10" t="e">
        <f>Tabela2[[#This Row],[Coluna72]]</f>
        <v>#REF!</v>
      </c>
      <c r="U1046" s="10">
        <f>SUM(Tabela2[[#This Row],[Coluna9]],Tabela2[[#This Row],[Coluna10]])</f>
        <v>10200</v>
      </c>
      <c r="V1046" s="2" t="str">
        <f>Tabela2[[#This Row],[Coluna4]]</f>
        <v>18/12/2025</v>
      </c>
      <c r="W1046" s="2" t="str">
        <f>Tabela2[[#This Row],[Coluna6]]</f>
        <v>18/12/2025</v>
      </c>
    </row>
    <row r="1047" spans="2:23" x14ac:dyDescent="0.2">
      <c r="B1047" t="s">
        <v>71</v>
      </c>
      <c r="C1047" t="s">
        <v>95</v>
      </c>
      <c r="D1047" t="s">
        <v>13</v>
      </c>
      <c r="E1047" s="8" t="s">
        <v>77</v>
      </c>
      <c r="F1047" t="s">
        <v>506</v>
      </c>
      <c r="G1047" s="8" t="s">
        <v>77</v>
      </c>
      <c r="H1047" t="s">
        <v>504</v>
      </c>
      <c r="I1047" t="e">
        <f>VLOOKUP(Tabela2[[#This Row],[Coluna7]],[1]!Tabela1[#All],2,0)</f>
        <v>#REF!</v>
      </c>
      <c r="J1047" t="s">
        <v>507</v>
      </c>
      <c r="L1047">
        <v>10200</v>
      </c>
      <c r="Q1047" s="10" t="str">
        <f>Tabela2[[#This Row],[Coluna5]]</f>
        <v>08/2025</v>
      </c>
      <c r="R1047" s="10" t="str">
        <f>IF(Tabela2[[#This Row],[Coluna9]]&gt;0,"Entrada","Saída")</f>
        <v>Saída</v>
      </c>
      <c r="S1047" s="10" t="str">
        <f>Tabela2[[#This Row],[Coluna8]]</f>
        <v>ALUGUEL - AGOSTO A DEZEMBRO</v>
      </c>
      <c r="T1047" s="10" t="e">
        <f>Tabela2[[#This Row],[Coluna72]]</f>
        <v>#REF!</v>
      </c>
      <c r="U1047" s="10">
        <f>SUM(Tabela2[[#This Row],[Coluna9]],Tabela2[[#This Row],[Coluna10]])</f>
        <v>10200</v>
      </c>
      <c r="V1047" s="2" t="str">
        <f>Tabela2[[#This Row],[Coluna4]]</f>
        <v>18/12/2025</v>
      </c>
      <c r="W1047" s="2" t="str">
        <f>Tabela2[[#This Row],[Coluna6]]</f>
        <v>18/12/2025</v>
      </c>
    </row>
    <row r="1048" spans="2:23" x14ac:dyDescent="0.2">
      <c r="B1048" t="s">
        <v>12</v>
      </c>
      <c r="C1048" t="s">
        <v>95</v>
      </c>
      <c r="D1048" t="s">
        <v>13</v>
      </c>
      <c r="E1048" s="8" t="s">
        <v>416</v>
      </c>
      <c r="F1048" t="s">
        <v>84</v>
      </c>
      <c r="G1048" s="8" t="s">
        <v>416</v>
      </c>
      <c r="H1048" t="s">
        <v>443</v>
      </c>
      <c r="I1048" t="e">
        <f>VLOOKUP(Tabela2[[#This Row],[Coluna7]],[1]!Tabela1[#All],2,0)</f>
        <v>#REF!</v>
      </c>
      <c r="J1048" t="s">
        <v>508</v>
      </c>
      <c r="L1048">
        <v>15.28</v>
      </c>
      <c r="Q1048" s="10" t="str">
        <f>Tabela2[[#This Row],[Coluna5]]</f>
        <v>01/2026</v>
      </c>
      <c r="R1048" s="10" t="str">
        <f>IF(Tabela2[[#This Row],[Coluna9]]&gt;0,"Entrada","Saída")</f>
        <v>Saída</v>
      </c>
      <c r="S1048" s="10" t="str">
        <f>Tabela2[[#This Row],[Coluna8]]</f>
        <v>GELADEIRA LEGAL (15,21 E 0,07)</v>
      </c>
      <c r="T1048" s="10" t="e">
        <f>Tabela2[[#This Row],[Coluna72]]</f>
        <v>#REF!</v>
      </c>
      <c r="U1048" s="10">
        <f>SUM(Tabela2[[#This Row],[Coluna9]],Tabela2[[#This Row],[Coluna10]])</f>
        <v>15.28</v>
      </c>
      <c r="V1048" s="2" t="str">
        <f>Tabela2[[#This Row],[Coluna4]]</f>
        <v>19/12/2025</v>
      </c>
      <c r="W1048" s="2" t="str">
        <f>Tabela2[[#This Row],[Coluna6]]</f>
        <v>19/12/2025</v>
      </c>
    </row>
    <row r="1049" spans="2:23" x14ac:dyDescent="0.2">
      <c r="B1049" t="s">
        <v>71</v>
      </c>
      <c r="C1049" t="s">
        <v>95</v>
      </c>
      <c r="D1049" t="s">
        <v>13</v>
      </c>
      <c r="E1049" s="8" t="s">
        <v>79</v>
      </c>
      <c r="F1049" t="s">
        <v>64</v>
      </c>
      <c r="G1049" s="8" t="s">
        <v>79</v>
      </c>
      <c r="H1049" t="s">
        <v>435</v>
      </c>
      <c r="I1049" t="e">
        <f>VLOOKUP(Tabela2[[#This Row],[Coluna7]],[1]!Tabela1[#All],2,0)</f>
        <v>#REF!</v>
      </c>
      <c r="J1049" t="s">
        <v>509</v>
      </c>
      <c r="L1049">
        <v>20000</v>
      </c>
      <c r="Q1049" s="10" t="str">
        <f>Tabela2[[#This Row],[Coluna5]]</f>
        <v>12/2025</v>
      </c>
      <c r="R1049" s="10" t="str">
        <f>IF(Tabela2[[#This Row],[Coluna9]]&gt;0,"Entrada","Saída")</f>
        <v>Saída</v>
      </c>
      <c r="S1049" s="10" t="str">
        <f>Tabela2[[#This Row],[Coluna8]]</f>
        <v>MÓVEIS - JOSELITO JUNIOR</v>
      </c>
      <c r="T1049" s="10" t="e">
        <f>Tabela2[[#This Row],[Coluna72]]</f>
        <v>#REF!</v>
      </c>
      <c r="U1049" s="10">
        <f>SUM(Tabela2[[#This Row],[Coluna9]],Tabela2[[#This Row],[Coluna10]])</f>
        <v>20000</v>
      </c>
      <c r="V1049" s="2" t="str">
        <f>Tabela2[[#This Row],[Coluna4]]</f>
        <v>20/12/2025</v>
      </c>
      <c r="W1049" s="2" t="str">
        <f>Tabela2[[#This Row],[Coluna6]]</f>
        <v>20/12/2025</v>
      </c>
    </row>
    <row r="1050" spans="2:23" x14ac:dyDescent="0.2">
      <c r="B1050" t="s">
        <v>12</v>
      </c>
      <c r="C1050" t="s">
        <v>95</v>
      </c>
      <c r="D1050" t="s">
        <v>13</v>
      </c>
      <c r="E1050" s="8" t="s">
        <v>510</v>
      </c>
      <c r="F1050" t="s">
        <v>64</v>
      </c>
      <c r="G1050" s="8" t="s">
        <v>80</v>
      </c>
      <c r="H1050" t="s">
        <v>445</v>
      </c>
      <c r="I1050" t="e">
        <f>VLOOKUP(Tabela2[[#This Row],[Coluna7]],[1]!Tabela1[#All],2,0)</f>
        <v>#REF!</v>
      </c>
      <c r="J1050" t="s">
        <v>461</v>
      </c>
      <c r="L1050">
        <v>745.08</v>
      </c>
      <c r="Q1050" s="10" t="str">
        <f>Tabela2[[#This Row],[Coluna5]]</f>
        <v>12/2025</v>
      </c>
      <c r="R1050" s="10" t="str">
        <f>IF(Tabela2[[#This Row],[Coluna9]]&gt;0,"Entrada","Saída")</f>
        <v>Saída</v>
      </c>
      <c r="S1050" s="10" t="str">
        <f>Tabela2[[#This Row],[Coluna8]]</f>
        <v>E-AUDITORIA</v>
      </c>
      <c r="T1050" s="10" t="e">
        <f>Tabela2[[#This Row],[Coluna72]]</f>
        <v>#REF!</v>
      </c>
      <c r="U1050" s="10">
        <f>SUM(Tabela2[[#This Row],[Coluna9]],Tabela2[[#This Row],[Coluna10]])</f>
        <v>745.08</v>
      </c>
      <c r="V1050" s="2" t="str">
        <f>Tabela2[[#This Row],[Coluna4]]</f>
        <v>21/12/2025</v>
      </c>
      <c r="W1050" s="2" t="str">
        <f>Tabela2[[#This Row],[Coluna6]]</f>
        <v>23/12/2025</v>
      </c>
    </row>
    <row r="1051" spans="2:23" x14ac:dyDescent="0.2">
      <c r="B1051" t="s">
        <v>12</v>
      </c>
      <c r="C1051" t="s">
        <v>95</v>
      </c>
      <c r="D1051" t="s">
        <v>13</v>
      </c>
      <c r="E1051" s="8" t="s">
        <v>325</v>
      </c>
      <c r="F1051" t="s">
        <v>64</v>
      </c>
      <c r="G1051" s="8" t="s">
        <v>325</v>
      </c>
      <c r="H1051" t="s">
        <v>435</v>
      </c>
      <c r="I1051" t="e">
        <f>VLOOKUP(Tabela2[[#This Row],[Coluna7]],[1]!Tabela1[#All],2,0)</f>
        <v>#REF!</v>
      </c>
      <c r="J1051" t="s">
        <v>436</v>
      </c>
      <c r="L1051">
        <v>250</v>
      </c>
      <c r="Q1051" s="10" t="str">
        <f>Tabela2[[#This Row],[Coluna5]]</f>
        <v>12/2025</v>
      </c>
      <c r="R1051" s="10" t="str">
        <f>IF(Tabela2[[#This Row],[Coluna9]]&gt;0,"Entrada","Saída")</f>
        <v>Saída</v>
      </c>
      <c r="S1051" s="10" t="str">
        <f>Tabela2[[#This Row],[Coluna8]]</f>
        <v>FERNANDO SILVESTRE DE SOUZA</v>
      </c>
      <c r="T1051" s="10" t="e">
        <f>Tabela2[[#This Row],[Coluna72]]</f>
        <v>#REF!</v>
      </c>
      <c r="U1051" s="10">
        <f>SUM(Tabela2[[#This Row],[Coluna9]],Tabela2[[#This Row],[Coluna10]])</f>
        <v>250</v>
      </c>
      <c r="V1051" s="2" t="str">
        <f>Tabela2[[#This Row],[Coluna4]]</f>
        <v>22/12/2025</v>
      </c>
      <c r="W1051" s="2" t="str">
        <f>Tabela2[[#This Row],[Coluna6]]</f>
        <v>22/12/2025</v>
      </c>
    </row>
    <row r="1052" spans="2:23" x14ac:dyDescent="0.2">
      <c r="B1052" t="s">
        <v>12</v>
      </c>
      <c r="C1052" t="s">
        <v>95</v>
      </c>
      <c r="D1052" t="s">
        <v>13</v>
      </c>
      <c r="E1052" s="8" t="s">
        <v>325</v>
      </c>
      <c r="F1052" t="s">
        <v>64</v>
      </c>
      <c r="G1052" s="8" t="s">
        <v>325</v>
      </c>
      <c r="H1052" t="s">
        <v>488</v>
      </c>
      <c r="I1052" t="e">
        <f>VLOOKUP(Tabela2[[#This Row],[Coluna7]],[1]!Tabela1[#All],2,0)</f>
        <v>#REF!</v>
      </c>
      <c r="L1052">
        <v>250</v>
      </c>
      <c r="N1052" t="s">
        <v>499</v>
      </c>
      <c r="Q1052" s="10" t="str">
        <f>Tabela2[[#This Row],[Coluna5]]</f>
        <v>12/2025</v>
      </c>
      <c r="R1052" s="10" t="str">
        <f>IF(Tabela2[[#This Row],[Coluna9]]&gt;0,"Entrada","Saída")</f>
        <v>Saída</v>
      </c>
      <c r="S1052" s="10">
        <f>Tabela2[[#This Row],[Coluna8]]</f>
        <v>0</v>
      </c>
      <c r="T1052" s="10" t="e">
        <f>Tabela2[[#This Row],[Coluna72]]</f>
        <v>#REF!</v>
      </c>
      <c r="U1052" s="10">
        <f>SUM(Tabela2[[#This Row],[Coluna9]],Tabela2[[#This Row],[Coluna10]])</f>
        <v>250</v>
      </c>
      <c r="V1052" s="2" t="str">
        <f>Tabela2[[#This Row],[Coluna4]]</f>
        <v>22/12/2025</v>
      </c>
      <c r="W1052" s="2" t="str">
        <f>Tabela2[[#This Row],[Coluna6]]</f>
        <v>22/12/2025</v>
      </c>
    </row>
    <row r="1053" spans="2:23" x14ac:dyDescent="0.2">
      <c r="B1053" t="s">
        <v>12</v>
      </c>
      <c r="C1053" t="s">
        <v>95</v>
      </c>
      <c r="D1053" t="s">
        <v>13</v>
      </c>
      <c r="E1053" s="8" t="s">
        <v>80</v>
      </c>
      <c r="F1053" t="s">
        <v>64</v>
      </c>
      <c r="G1053" s="8" t="s">
        <v>80</v>
      </c>
      <c r="H1053" t="s">
        <v>445</v>
      </c>
      <c r="I1053" t="e">
        <f>VLOOKUP(Tabela2[[#This Row],[Coluna7]],[1]!Tabela1[#All],2,0)</f>
        <v>#REF!</v>
      </c>
      <c r="J1053" t="s">
        <v>511</v>
      </c>
      <c r="L1053">
        <v>397</v>
      </c>
      <c r="Q1053" s="10" t="str">
        <f>Tabela2[[#This Row],[Coluna5]]</f>
        <v>12/2025</v>
      </c>
      <c r="R1053" s="10" t="str">
        <f>IF(Tabela2[[#This Row],[Coluna9]]&gt;0,"Entrada","Saída")</f>
        <v>Saída</v>
      </c>
      <c r="S1053" s="10" t="str">
        <f>Tabela2[[#This Row],[Coluna8]]</f>
        <v>ZAPPY</v>
      </c>
      <c r="T1053" s="10" t="e">
        <f>Tabela2[[#This Row],[Coluna72]]</f>
        <v>#REF!</v>
      </c>
      <c r="U1053" s="10">
        <f>SUM(Tabela2[[#This Row],[Coluna9]],Tabela2[[#This Row],[Coluna10]])</f>
        <v>397</v>
      </c>
      <c r="V1053" s="2" t="str">
        <f>Tabela2[[#This Row],[Coluna4]]</f>
        <v>23/12/2025</v>
      </c>
      <c r="W1053" s="2" t="str">
        <f>Tabela2[[#This Row],[Coluna6]]</f>
        <v>23/12/2025</v>
      </c>
    </row>
    <row r="1054" spans="2:23" x14ac:dyDescent="0.2">
      <c r="B1054" t="s">
        <v>18</v>
      </c>
      <c r="C1054" t="s">
        <v>95</v>
      </c>
      <c r="D1054" t="s">
        <v>13</v>
      </c>
      <c r="E1054" s="8" t="s">
        <v>512</v>
      </c>
      <c r="F1054" t="s">
        <v>64</v>
      </c>
      <c r="G1054" s="8" t="s">
        <v>331</v>
      </c>
      <c r="H1054" t="s">
        <v>451</v>
      </c>
      <c r="I1054" t="e">
        <f>VLOOKUP(Tabela2[[#This Row],[Coluna7]],[1]!Tabela1[#All],2,0)</f>
        <v>#REF!</v>
      </c>
      <c r="J1054" t="s">
        <v>464</v>
      </c>
      <c r="L1054">
        <v>156.88</v>
      </c>
      <c r="Q1054" s="10" t="str">
        <f>Tabela2[[#This Row],[Coluna5]]</f>
        <v>12/2025</v>
      </c>
      <c r="R1054" s="10" t="str">
        <f>IF(Tabela2[[#This Row],[Coluna9]]&gt;0,"Entrada","Saída")</f>
        <v>Saída</v>
      </c>
      <c r="S1054" s="10" t="str">
        <f>Tabela2[[#This Row],[Coluna8]]</f>
        <v>BRISANET</v>
      </c>
      <c r="T1054" s="10" t="e">
        <f>Tabela2[[#This Row],[Coluna72]]</f>
        <v>#REF!</v>
      </c>
      <c r="U1054" s="10">
        <f>SUM(Tabela2[[#This Row],[Coluna9]],Tabela2[[#This Row],[Coluna10]])</f>
        <v>156.88</v>
      </c>
      <c r="V1054" s="2" t="str">
        <f>Tabela2[[#This Row],[Coluna4]]</f>
        <v>24/12/2025</v>
      </c>
      <c r="W1054" s="2" t="str">
        <f>Tabela2[[#This Row],[Coluna6]]</f>
        <v>29/12/2025</v>
      </c>
    </row>
    <row r="1055" spans="2:23" x14ac:dyDescent="0.2">
      <c r="B1055" t="s">
        <v>27</v>
      </c>
      <c r="C1055" t="s">
        <v>95</v>
      </c>
      <c r="D1055" t="s">
        <v>13</v>
      </c>
      <c r="E1055" s="8" t="s">
        <v>326</v>
      </c>
      <c r="F1055" t="s">
        <v>64</v>
      </c>
      <c r="G1055" s="8" t="s">
        <v>326</v>
      </c>
      <c r="H1055" t="s">
        <v>442</v>
      </c>
      <c r="I1055" t="e">
        <f>VLOOKUP(Tabela2[[#This Row],[Coluna7]],[1]!Tabela1[#All],2,0)</f>
        <v>#REF!</v>
      </c>
      <c r="J1055" t="s">
        <v>513</v>
      </c>
      <c r="L1055">
        <v>1030.9000000000001</v>
      </c>
      <c r="Q1055" s="10" t="str">
        <f>Tabela2[[#This Row],[Coluna5]]</f>
        <v>12/2025</v>
      </c>
      <c r="R1055" s="10" t="str">
        <f>IF(Tabela2[[#This Row],[Coluna9]]&gt;0,"Entrada","Saída")</f>
        <v>Saída</v>
      </c>
      <c r="S1055" s="10" t="str">
        <f>Tabela2[[#This Row],[Coluna8]]</f>
        <v>CAPITAL GIRO PARC 014/042</v>
      </c>
      <c r="T1055" s="10" t="e">
        <f>Tabela2[[#This Row],[Coluna72]]</f>
        <v>#REF!</v>
      </c>
      <c r="U1055" s="10">
        <f>SUM(Tabela2[[#This Row],[Coluna9]],Tabela2[[#This Row],[Coluna10]])</f>
        <v>1030.9000000000001</v>
      </c>
      <c r="V1055" s="2" t="str">
        <f>Tabela2[[#This Row],[Coluna4]]</f>
        <v>26/12/2025</v>
      </c>
      <c r="W1055" s="2" t="str">
        <f>Tabela2[[#This Row],[Coluna6]]</f>
        <v>26/12/2025</v>
      </c>
    </row>
    <row r="1056" spans="2:23" x14ac:dyDescent="0.2">
      <c r="B1056" t="s">
        <v>12</v>
      </c>
      <c r="C1056" t="s">
        <v>95</v>
      </c>
      <c r="D1056" t="s">
        <v>13</v>
      </c>
      <c r="E1056" s="8" t="s">
        <v>334</v>
      </c>
      <c r="F1056" t="s">
        <v>84</v>
      </c>
      <c r="G1056" s="8" t="s">
        <v>334</v>
      </c>
      <c r="H1056" t="s">
        <v>488</v>
      </c>
      <c r="I1056" t="e">
        <f>VLOOKUP(Tabela2[[#This Row],[Coluna7]],[1]!Tabela1[#All],2,0)</f>
        <v>#REF!</v>
      </c>
      <c r="L1056">
        <v>180</v>
      </c>
      <c r="N1056" t="s">
        <v>499</v>
      </c>
      <c r="Q1056" s="10" t="str">
        <f>Tabela2[[#This Row],[Coluna5]]</f>
        <v>01/2026</v>
      </c>
      <c r="R1056" s="10" t="str">
        <f>IF(Tabela2[[#This Row],[Coluna9]]&gt;0,"Entrada","Saída")</f>
        <v>Saída</v>
      </c>
      <c r="S1056" s="10">
        <f>Tabela2[[#This Row],[Coluna8]]</f>
        <v>0</v>
      </c>
      <c r="T1056" s="10" t="e">
        <f>Tabela2[[#This Row],[Coluna72]]</f>
        <v>#REF!</v>
      </c>
      <c r="U1056" s="10">
        <f>SUM(Tabela2[[#This Row],[Coluna9]],Tabela2[[#This Row],[Coluna10]])</f>
        <v>180</v>
      </c>
      <c r="V1056" s="2" t="str">
        <f>Tabela2[[#This Row],[Coluna4]]</f>
        <v>30/12/2025</v>
      </c>
      <c r="W1056" s="2" t="str">
        <f>Tabela2[[#This Row],[Coluna6]]</f>
        <v>30/12/2025</v>
      </c>
    </row>
    <row r="1057" spans="2:23" x14ac:dyDescent="0.2">
      <c r="B1057" t="s">
        <v>18</v>
      </c>
      <c r="C1057" t="s">
        <v>95</v>
      </c>
      <c r="D1057" t="s">
        <v>13</v>
      </c>
      <c r="E1057" s="8" t="s">
        <v>14</v>
      </c>
      <c r="F1057" t="s">
        <v>15</v>
      </c>
      <c r="G1057" s="8" t="s">
        <v>14</v>
      </c>
      <c r="H1057" t="s">
        <v>535</v>
      </c>
      <c r="I1057" t="e">
        <f>VLOOKUP(Tabela2[[#This Row],[Coluna7]],[1]!Tabela1[#All],2,0)</f>
        <v>#REF!</v>
      </c>
      <c r="J1057" t="s">
        <v>536</v>
      </c>
      <c r="L1057">
        <v>60</v>
      </c>
      <c r="Q1057" s="10" t="str">
        <f>Tabela2[[#This Row],[Coluna5]]</f>
        <v>10/2025</v>
      </c>
      <c r="R1057" s="10" t="str">
        <f>IF(Tabela2[[#This Row],[Coluna9]]&gt;0,"Entrada","Saída")</f>
        <v>Saída</v>
      </c>
      <c r="S1057" s="10" t="str">
        <f>Tabela2[[#This Row],[Coluna8]]</f>
        <v>ANIVERSÁRIO DE DR. THIAGO -  BOLO DE ANIVERSÁRIO</v>
      </c>
      <c r="T1057" s="10" t="e">
        <f>Tabela2[[#This Row],[Coluna72]]</f>
        <v>#REF!</v>
      </c>
      <c r="U1057" s="10">
        <f>SUM(Tabela2[[#This Row],[Coluna9]],Tabela2[[#This Row],[Coluna10]])</f>
        <v>60</v>
      </c>
      <c r="V1057" s="2" t="str">
        <f>Tabela2[[#This Row],[Coluna4]]</f>
        <v>01/10/2025</v>
      </c>
      <c r="W1057" s="2" t="str">
        <f>Tabela2[[#This Row],[Coluna6]]</f>
        <v>01/10/2025</v>
      </c>
    </row>
    <row r="1058" spans="2:23" x14ac:dyDescent="0.2">
      <c r="B1058" t="s">
        <v>18</v>
      </c>
      <c r="C1058" t="s">
        <v>95</v>
      </c>
      <c r="D1058" t="s">
        <v>13</v>
      </c>
      <c r="E1058" s="8" t="s">
        <v>14</v>
      </c>
      <c r="F1058" t="s">
        <v>15</v>
      </c>
      <c r="G1058" s="8" t="s">
        <v>14</v>
      </c>
      <c r="H1058" t="s">
        <v>535</v>
      </c>
      <c r="I1058" t="e">
        <f>VLOOKUP(Tabela2[[#This Row],[Coluna7]],[1]!Tabela1[#All],2,0)</f>
        <v>#REF!</v>
      </c>
      <c r="J1058" t="s">
        <v>537</v>
      </c>
      <c r="L1058">
        <v>10.29</v>
      </c>
      <c r="Q1058" s="10" t="str">
        <f>Tabela2[[#This Row],[Coluna5]]</f>
        <v>10/2025</v>
      </c>
      <c r="R1058" s="10" t="str">
        <f>IF(Tabela2[[#This Row],[Coluna9]]&gt;0,"Entrada","Saída")</f>
        <v>Saída</v>
      </c>
      <c r="S1058" s="10" t="str">
        <f>Tabela2[[#This Row],[Coluna8]]</f>
        <v>ANIVERSÁRIO DR. THIAGO -  REFRIGENTE 2L ( COCA ZERO - LATORRE )</v>
      </c>
      <c r="T1058" s="10" t="e">
        <f>Tabela2[[#This Row],[Coluna72]]</f>
        <v>#REF!</v>
      </c>
      <c r="U1058" s="10">
        <f>SUM(Tabela2[[#This Row],[Coluna9]],Tabela2[[#This Row],[Coluna10]])</f>
        <v>10.29</v>
      </c>
      <c r="V1058" s="2" t="str">
        <f>Tabela2[[#This Row],[Coluna4]]</f>
        <v>01/10/2025</v>
      </c>
      <c r="W1058" s="2" t="str">
        <f>Tabela2[[#This Row],[Coluna6]]</f>
        <v>01/10/2025</v>
      </c>
    </row>
    <row r="1059" spans="2:23" x14ac:dyDescent="0.2">
      <c r="B1059" t="s">
        <v>18</v>
      </c>
      <c r="C1059" t="s">
        <v>95</v>
      </c>
      <c r="D1059" t="s">
        <v>13</v>
      </c>
      <c r="E1059" s="8" t="s">
        <v>14</v>
      </c>
      <c r="F1059" t="s">
        <v>15</v>
      </c>
      <c r="G1059" s="8" t="s">
        <v>14</v>
      </c>
      <c r="H1059" t="s">
        <v>538</v>
      </c>
      <c r="I1059" t="e">
        <f>VLOOKUP(Tabela2[[#This Row],[Coluna7]],[1]!Tabela1[#All],2,0)</f>
        <v>#REF!</v>
      </c>
      <c r="J1059" t="s">
        <v>539</v>
      </c>
      <c r="L1059">
        <v>100</v>
      </c>
      <c r="Q1059" s="10" t="str">
        <f>Tabela2[[#This Row],[Coluna5]]</f>
        <v>10/2025</v>
      </c>
      <c r="R1059" s="10" t="str">
        <f>IF(Tabela2[[#This Row],[Coluna9]]&gt;0,"Entrada","Saída")</f>
        <v>Saída</v>
      </c>
      <c r="S1059" s="10" t="str">
        <f>Tabela2[[#This Row],[Coluna8]]</f>
        <v>GASOLINA PARA ELIEL</v>
      </c>
      <c r="T1059" s="10" t="e">
        <f>Tabela2[[#This Row],[Coluna72]]</f>
        <v>#REF!</v>
      </c>
      <c r="U1059" s="10">
        <f>SUM(Tabela2[[#This Row],[Coluna9]],Tabela2[[#This Row],[Coluna10]])</f>
        <v>100</v>
      </c>
      <c r="V1059" s="2" t="str">
        <f>Tabela2[[#This Row],[Coluna4]]</f>
        <v>01/10/2025</v>
      </c>
      <c r="W1059" s="2" t="str">
        <f>Tabela2[[#This Row],[Coluna6]]</f>
        <v>01/10/2025</v>
      </c>
    </row>
    <row r="1060" spans="2:23" x14ac:dyDescent="0.2">
      <c r="B1060" t="s">
        <v>18</v>
      </c>
      <c r="C1060" t="s">
        <v>95</v>
      </c>
      <c r="D1060" t="s">
        <v>13</v>
      </c>
      <c r="E1060" s="8" t="s">
        <v>114</v>
      </c>
      <c r="F1060" t="s">
        <v>15</v>
      </c>
      <c r="G1060" s="8" t="s">
        <v>114</v>
      </c>
      <c r="H1060" t="s">
        <v>540</v>
      </c>
      <c r="I1060" t="e">
        <f>VLOOKUP(Tabela2[[#This Row],[Coluna7]],[1]!Tabela1[#All],2,0)</f>
        <v>#REF!</v>
      </c>
      <c r="J1060" t="s">
        <v>541</v>
      </c>
      <c r="L1060">
        <v>350</v>
      </c>
      <c r="Q1060" s="10" t="str">
        <f>Tabela2[[#This Row],[Coluna5]]</f>
        <v>10/2025</v>
      </c>
      <c r="R1060" s="10" t="str">
        <f>IF(Tabela2[[#This Row],[Coluna9]]&gt;0,"Entrada","Saída")</f>
        <v>Saída</v>
      </c>
      <c r="S1060" s="10" t="str">
        <f>Tabela2[[#This Row],[Coluna8]]</f>
        <v>AÇÃO DIA DAS CRIANÇAS - SACOLINHAS E REFRIGERANTE ( PIX PARA FRANCIELE CALIXTO DA SILVA )</v>
      </c>
      <c r="T1060" s="10" t="e">
        <f>Tabela2[[#This Row],[Coluna72]]</f>
        <v>#REF!</v>
      </c>
      <c r="U1060" s="10">
        <f>SUM(Tabela2[[#This Row],[Coluna9]],Tabela2[[#This Row],[Coluna10]])</f>
        <v>350</v>
      </c>
      <c r="V1060" s="2" t="str">
        <f>Tabela2[[#This Row],[Coluna4]]</f>
        <v>02/10/2025</v>
      </c>
      <c r="W1060" s="2" t="str">
        <f>Tabela2[[#This Row],[Coluna6]]</f>
        <v>02/10/2025</v>
      </c>
    </row>
    <row r="1061" spans="2:23" x14ac:dyDescent="0.2">
      <c r="B1061" t="s">
        <v>18</v>
      </c>
      <c r="C1061" t="s">
        <v>95</v>
      </c>
      <c r="D1061" t="s">
        <v>13</v>
      </c>
      <c r="E1061" s="8" t="s">
        <v>114</v>
      </c>
      <c r="F1061" t="s">
        <v>15</v>
      </c>
      <c r="G1061" s="8" t="s">
        <v>114</v>
      </c>
      <c r="H1061" t="s">
        <v>542</v>
      </c>
      <c r="I1061" t="e">
        <f>VLOOKUP(Tabela2[[#This Row],[Coluna7]],[1]!Tabela1[#All],2,0)</f>
        <v>#REF!</v>
      </c>
      <c r="J1061" t="s">
        <v>543</v>
      </c>
      <c r="L1061">
        <v>300</v>
      </c>
      <c r="Q1061" s="10" t="str">
        <f>Tabela2[[#This Row],[Coluna5]]</f>
        <v>10/2025</v>
      </c>
      <c r="R1061" s="10" t="str">
        <f>IF(Tabela2[[#This Row],[Coluna9]]&gt;0,"Entrada","Saída")</f>
        <v>Saída</v>
      </c>
      <c r="S1061" s="10" t="str">
        <f>Tabela2[[#This Row],[Coluna8]]</f>
        <v>DINHO - JOSE SEVERINO SALES DA SILVA</v>
      </c>
      <c r="T1061" s="10" t="e">
        <f>Tabela2[[#This Row],[Coluna72]]</f>
        <v>#REF!</v>
      </c>
      <c r="U1061" s="10">
        <f>SUM(Tabela2[[#This Row],[Coluna9]],Tabela2[[#This Row],[Coluna10]])</f>
        <v>300</v>
      </c>
      <c r="V1061" s="2" t="str">
        <f>Tabela2[[#This Row],[Coluna4]]</f>
        <v>02/10/2025</v>
      </c>
      <c r="W1061" s="2" t="str">
        <f>Tabela2[[#This Row],[Coluna6]]</f>
        <v>02/10/2025</v>
      </c>
    </row>
    <row r="1062" spans="2:23" x14ac:dyDescent="0.2">
      <c r="B1062" t="s">
        <v>18</v>
      </c>
      <c r="C1062" t="s">
        <v>95</v>
      </c>
      <c r="D1062" t="s">
        <v>13</v>
      </c>
      <c r="E1062" s="8" t="s">
        <v>122</v>
      </c>
      <c r="F1062" t="s">
        <v>15</v>
      </c>
      <c r="G1062" s="8" t="s">
        <v>122</v>
      </c>
      <c r="H1062" t="s">
        <v>443</v>
      </c>
      <c r="I1062" t="e">
        <f>VLOOKUP(Tabela2[[#This Row],[Coluna7]],[1]!Tabela1[#All],2,0)</f>
        <v>#REF!</v>
      </c>
      <c r="J1062" t="s">
        <v>545</v>
      </c>
      <c r="L1062">
        <v>17.3</v>
      </c>
      <c r="Q1062" s="10" t="str">
        <f>Tabela2[[#This Row],[Coluna5]]</f>
        <v>10/2025</v>
      </c>
      <c r="R1062" s="10" t="str">
        <f>IF(Tabela2[[#This Row],[Coluna9]]&gt;0,"Entrada","Saída")</f>
        <v>Saída</v>
      </c>
      <c r="S1062" s="10" t="str">
        <f>Tabela2[[#This Row],[Coluna8]]</f>
        <v>ALMOÇO PATRÍCIA</v>
      </c>
      <c r="T1062" s="10" t="e">
        <f>Tabela2[[#This Row],[Coluna72]]</f>
        <v>#REF!</v>
      </c>
      <c r="U1062" s="10">
        <f>SUM(Tabela2[[#This Row],[Coluna9]],Tabela2[[#This Row],[Coluna10]])</f>
        <v>17.3</v>
      </c>
      <c r="V1062" s="2" t="str">
        <f>Tabela2[[#This Row],[Coluna4]]</f>
        <v>03/10/2025</v>
      </c>
      <c r="W1062" s="2" t="str">
        <f>Tabela2[[#This Row],[Coluna6]]</f>
        <v>03/10/2025</v>
      </c>
    </row>
    <row r="1063" spans="2:23" x14ac:dyDescent="0.2">
      <c r="B1063" t="s">
        <v>18</v>
      </c>
      <c r="C1063" t="s">
        <v>95</v>
      </c>
      <c r="D1063" t="s">
        <v>13</v>
      </c>
      <c r="E1063" s="8" t="s">
        <v>122</v>
      </c>
      <c r="F1063" t="s">
        <v>15</v>
      </c>
      <c r="G1063" s="8" t="s">
        <v>122</v>
      </c>
      <c r="H1063" t="s">
        <v>546</v>
      </c>
      <c r="I1063" t="e">
        <f>VLOOKUP(Tabela2[[#This Row],[Coluna7]],[1]!Tabela1[#All],2,0)</f>
        <v>#REF!</v>
      </c>
      <c r="J1063" t="s">
        <v>547</v>
      </c>
      <c r="L1063">
        <v>200</v>
      </c>
      <c r="Q1063" s="10" t="str">
        <f>Tabela2[[#This Row],[Coluna5]]</f>
        <v>10/2025</v>
      </c>
      <c r="R1063" s="10" t="str">
        <f>IF(Tabela2[[#This Row],[Coluna9]]&gt;0,"Entrada","Saída")</f>
        <v>Saída</v>
      </c>
      <c r="S1063" s="10" t="str">
        <f>Tabela2[[#This Row],[Coluna8]]</f>
        <v>LEANDRO JOAO BATISTA DOS SANTOS</v>
      </c>
      <c r="T1063" s="10" t="e">
        <f>Tabela2[[#This Row],[Coluna72]]</f>
        <v>#REF!</v>
      </c>
      <c r="U1063" s="10">
        <f>SUM(Tabela2[[#This Row],[Coluna9]],Tabela2[[#This Row],[Coluna10]])</f>
        <v>200</v>
      </c>
      <c r="V1063" s="2" t="str">
        <f>Tabela2[[#This Row],[Coluna4]]</f>
        <v>03/10/2025</v>
      </c>
      <c r="W1063" s="2" t="str">
        <f>Tabela2[[#This Row],[Coluna6]]</f>
        <v>03/10/2025</v>
      </c>
    </row>
    <row r="1064" spans="2:23" x14ac:dyDescent="0.2">
      <c r="B1064" t="s">
        <v>18</v>
      </c>
      <c r="C1064" t="s">
        <v>95</v>
      </c>
      <c r="D1064" t="s">
        <v>13</v>
      </c>
      <c r="E1064" s="8" t="s">
        <v>126</v>
      </c>
      <c r="F1064" t="s">
        <v>15</v>
      </c>
      <c r="G1064" s="8" t="s">
        <v>126</v>
      </c>
      <c r="H1064" t="s">
        <v>546</v>
      </c>
      <c r="I1064" t="e">
        <f>VLOOKUP(Tabela2[[#This Row],[Coluna7]],[1]!Tabela1[#All],2,0)</f>
        <v>#REF!</v>
      </c>
      <c r="J1064" t="s">
        <v>548</v>
      </c>
      <c r="L1064">
        <v>1100</v>
      </c>
      <c r="Q1064" s="10" t="str">
        <f>Tabela2[[#This Row],[Coluna5]]</f>
        <v>10/2025</v>
      </c>
      <c r="R1064" s="10" t="str">
        <f>IF(Tabela2[[#This Row],[Coluna9]]&gt;0,"Entrada","Saída")</f>
        <v>Saída</v>
      </c>
      <c r="S1064" s="10" t="str">
        <f>Tabela2[[#This Row],[Coluna8]]</f>
        <v>ELIEL - R$ 500,00 | LEANDRO R$ 600,00</v>
      </c>
      <c r="T1064" s="10" t="e">
        <f>Tabela2[[#This Row],[Coluna72]]</f>
        <v>#REF!</v>
      </c>
      <c r="U1064" s="10">
        <f>SUM(Tabela2[[#This Row],[Coluna9]],Tabela2[[#This Row],[Coluna10]])</f>
        <v>1100</v>
      </c>
      <c r="V1064" s="2" t="str">
        <f>Tabela2[[#This Row],[Coluna4]]</f>
        <v>04/10/2025</v>
      </c>
      <c r="W1064" s="2" t="str">
        <f>Tabela2[[#This Row],[Coluna6]]</f>
        <v>04/10/2025</v>
      </c>
    </row>
    <row r="1065" spans="2:23" x14ac:dyDescent="0.2">
      <c r="B1065" t="s">
        <v>18</v>
      </c>
      <c r="C1065" t="s">
        <v>95</v>
      </c>
      <c r="D1065" t="s">
        <v>13</v>
      </c>
      <c r="E1065" s="8" t="s">
        <v>21</v>
      </c>
      <c r="F1065" t="s">
        <v>15</v>
      </c>
      <c r="G1065" s="8" t="s">
        <v>21</v>
      </c>
      <c r="H1065" t="s">
        <v>542</v>
      </c>
      <c r="I1065" t="e">
        <f>VLOOKUP(Tabela2[[#This Row],[Coluna7]],[1]!Tabela1[#All],2,0)</f>
        <v>#REF!</v>
      </c>
      <c r="J1065" t="s">
        <v>549</v>
      </c>
      <c r="L1065">
        <v>900</v>
      </c>
      <c r="Q1065" s="10" t="str">
        <f>Tabela2[[#This Row],[Coluna5]]</f>
        <v>10/2025</v>
      </c>
      <c r="R1065" s="10" t="str">
        <f>IF(Tabela2[[#This Row],[Coluna9]]&gt;0,"Entrada","Saída")</f>
        <v>Saída</v>
      </c>
      <c r="S1065" s="10" t="str">
        <f>Tabela2[[#This Row],[Coluna8]]</f>
        <v>LINDA - MARIA DAS GRAÇAS FORTUNATO CALIXTO</v>
      </c>
      <c r="T1065" s="10" t="e">
        <f>Tabela2[[#This Row],[Coluna72]]</f>
        <v>#REF!</v>
      </c>
      <c r="U1065" s="10">
        <f>SUM(Tabela2[[#This Row],[Coluna9]],Tabela2[[#This Row],[Coluna10]])</f>
        <v>900</v>
      </c>
      <c r="V1065" s="2" t="str">
        <f>Tabela2[[#This Row],[Coluna4]]</f>
        <v>06/10/2025</v>
      </c>
      <c r="W1065" s="2" t="str">
        <f>Tabela2[[#This Row],[Coluna6]]</f>
        <v>06/10/2025</v>
      </c>
    </row>
    <row r="1066" spans="2:23" x14ac:dyDescent="0.2">
      <c r="B1066" t="s">
        <v>18</v>
      </c>
      <c r="C1066" t="s">
        <v>95</v>
      </c>
      <c r="D1066" t="s">
        <v>13</v>
      </c>
      <c r="E1066" s="8" t="s">
        <v>21</v>
      </c>
      <c r="F1066" t="s">
        <v>15</v>
      </c>
      <c r="G1066" s="8" t="s">
        <v>21</v>
      </c>
      <c r="H1066" t="s">
        <v>443</v>
      </c>
      <c r="I1066" t="e">
        <f>VLOOKUP(Tabela2[[#This Row],[Coluna7]],[1]!Tabela1[#All],2,0)</f>
        <v>#REF!</v>
      </c>
      <c r="J1066" t="s">
        <v>550</v>
      </c>
      <c r="L1066">
        <v>22</v>
      </c>
      <c r="Q1066" s="10" t="str">
        <f>Tabela2[[#This Row],[Coluna5]]</f>
        <v>10/2025</v>
      </c>
      <c r="R1066" s="10" t="str">
        <f>IF(Tabela2[[#This Row],[Coluna9]]&gt;0,"Entrada","Saída")</f>
        <v>Saída</v>
      </c>
      <c r="S1066" s="10" t="str">
        <f>Tabela2[[#This Row],[Coluna8]]</f>
        <v>ALMOÇO THIAGO</v>
      </c>
      <c r="T1066" s="10" t="e">
        <f>Tabela2[[#This Row],[Coluna72]]</f>
        <v>#REF!</v>
      </c>
      <c r="U1066" s="10">
        <f>SUM(Tabela2[[#This Row],[Coluna9]],Tabela2[[#This Row],[Coluna10]])</f>
        <v>22</v>
      </c>
      <c r="V1066" s="2" t="str">
        <f>Tabela2[[#This Row],[Coluna4]]</f>
        <v>06/10/2025</v>
      </c>
      <c r="W1066" s="2" t="str">
        <f>Tabela2[[#This Row],[Coluna6]]</f>
        <v>06/10/2025</v>
      </c>
    </row>
    <row r="1067" spans="2:23" x14ac:dyDescent="0.2">
      <c r="B1067" t="s">
        <v>18</v>
      </c>
      <c r="C1067" t="s">
        <v>95</v>
      </c>
      <c r="D1067" t="s">
        <v>13</v>
      </c>
      <c r="E1067" s="8" t="s">
        <v>142</v>
      </c>
      <c r="F1067" t="s">
        <v>15</v>
      </c>
      <c r="G1067" s="8" t="s">
        <v>142</v>
      </c>
      <c r="H1067" t="s">
        <v>551</v>
      </c>
      <c r="I1067" t="e">
        <f>VLOOKUP(Tabela2[[#This Row],[Coluna7]],[1]!Tabela1[#All],2,0)</f>
        <v>#REF!</v>
      </c>
      <c r="J1067" t="s">
        <v>552</v>
      </c>
      <c r="L1067">
        <v>50</v>
      </c>
      <c r="M1067" t="s">
        <v>553</v>
      </c>
      <c r="N1067" t="s">
        <v>554</v>
      </c>
      <c r="Q1067" s="10" t="str">
        <f>Tabela2[[#This Row],[Coluna5]]</f>
        <v>10/2025</v>
      </c>
      <c r="R1067" s="10" t="str">
        <f>IF(Tabela2[[#This Row],[Coluna9]]&gt;0,"Entrada","Saída")</f>
        <v>Saída</v>
      </c>
      <c r="S1067" s="10" t="str">
        <f>Tabela2[[#This Row],[Coluna8]]</f>
        <v>DILIGENCIA - DOCUMENTO</v>
      </c>
      <c r="T1067" s="10" t="e">
        <f>Tabela2[[#This Row],[Coluna72]]</f>
        <v>#REF!</v>
      </c>
      <c r="U1067" s="10">
        <f>SUM(Tabela2[[#This Row],[Coluna9]],Tabela2[[#This Row],[Coluna10]])</f>
        <v>50</v>
      </c>
      <c r="V1067" s="2" t="str">
        <f>Tabela2[[#This Row],[Coluna4]]</f>
        <v>07/10/2025</v>
      </c>
      <c r="W1067" s="2" t="str">
        <f>Tabela2[[#This Row],[Coluna6]]</f>
        <v>07/10/2025</v>
      </c>
    </row>
    <row r="1068" spans="2:23" x14ac:dyDescent="0.2">
      <c r="B1068" t="s">
        <v>18</v>
      </c>
      <c r="C1068" t="s">
        <v>95</v>
      </c>
      <c r="D1068" t="s">
        <v>13</v>
      </c>
      <c r="E1068" s="8" t="s">
        <v>24</v>
      </c>
      <c r="F1068" t="s">
        <v>15</v>
      </c>
      <c r="G1068" s="8" t="s">
        <v>24</v>
      </c>
      <c r="H1068" t="s">
        <v>540</v>
      </c>
      <c r="I1068" t="e">
        <f>VLOOKUP(Tabela2[[#This Row],[Coluna7]],[1]!Tabela1[#All],2,0)</f>
        <v>#REF!</v>
      </c>
      <c r="J1068" t="s">
        <v>555</v>
      </c>
      <c r="L1068">
        <v>208</v>
      </c>
      <c r="Q1068" s="10" t="str">
        <f>Tabela2[[#This Row],[Coluna5]]</f>
        <v>10/2025</v>
      </c>
      <c r="R1068" s="10" t="str">
        <f>IF(Tabela2[[#This Row],[Coluna9]]&gt;0,"Entrada","Saída")</f>
        <v>Saída</v>
      </c>
      <c r="S1068" s="10" t="str">
        <f>Tabela2[[#This Row],[Coluna8]]</f>
        <v>COMPRAS DIA DAS CRIANÇAS ( CACHORRO QUENTE )</v>
      </c>
      <c r="T1068" s="10" t="e">
        <f>Tabela2[[#This Row],[Coluna72]]</f>
        <v>#REF!</v>
      </c>
      <c r="U1068" s="10">
        <f>SUM(Tabela2[[#This Row],[Coluna9]],Tabela2[[#This Row],[Coluna10]])</f>
        <v>208</v>
      </c>
      <c r="V1068" s="2" t="str">
        <f>Tabela2[[#This Row],[Coluna4]]</f>
        <v>08/10/2025</v>
      </c>
      <c r="W1068" s="2" t="str">
        <f>Tabela2[[#This Row],[Coluna6]]</f>
        <v>08/10/2025</v>
      </c>
    </row>
    <row r="1069" spans="2:23" x14ac:dyDescent="0.2">
      <c r="B1069" t="s">
        <v>18</v>
      </c>
      <c r="C1069" t="s">
        <v>95</v>
      </c>
      <c r="D1069" t="s">
        <v>13</v>
      </c>
      <c r="E1069" s="8" t="s">
        <v>24</v>
      </c>
      <c r="F1069" t="s">
        <v>15</v>
      </c>
      <c r="G1069" s="8" t="s">
        <v>24</v>
      </c>
      <c r="H1069" t="s">
        <v>538</v>
      </c>
      <c r="I1069" t="e">
        <f>VLOOKUP(Tabela2[[#This Row],[Coluna7]],[1]!Tabela1[#All],2,0)</f>
        <v>#REF!</v>
      </c>
      <c r="J1069" t="s">
        <v>556</v>
      </c>
      <c r="L1069">
        <v>50</v>
      </c>
      <c r="Q1069" s="10" t="str">
        <f>Tabela2[[#This Row],[Coluna5]]</f>
        <v>10/2025</v>
      </c>
      <c r="R1069" s="10" t="str">
        <f>IF(Tabela2[[#This Row],[Coluna9]]&gt;0,"Entrada","Saída")</f>
        <v>Saída</v>
      </c>
      <c r="S1069" s="10" t="str">
        <f>Tabela2[[#This Row],[Coluna8]]</f>
        <v>A DEFINIR - LEANDRO JOAO BATISTA ( GASOLINA )</v>
      </c>
      <c r="T1069" s="10" t="e">
        <f>Tabela2[[#This Row],[Coluna72]]</f>
        <v>#REF!</v>
      </c>
      <c r="U1069" s="10">
        <f>SUM(Tabela2[[#This Row],[Coluna9]],Tabela2[[#This Row],[Coluna10]])</f>
        <v>50</v>
      </c>
      <c r="V1069" s="2" t="str">
        <f>Tabela2[[#This Row],[Coluna4]]</f>
        <v>08/10/2025</v>
      </c>
      <c r="W1069" s="2" t="str">
        <f>Tabela2[[#This Row],[Coluna6]]</f>
        <v>08/10/2025</v>
      </c>
    </row>
    <row r="1070" spans="2:23" x14ac:dyDescent="0.2">
      <c r="B1070" t="s">
        <v>18</v>
      </c>
      <c r="C1070" t="s">
        <v>95</v>
      </c>
      <c r="D1070" t="s">
        <v>13</v>
      </c>
      <c r="E1070" s="8" t="s">
        <v>24</v>
      </c>
      <c r="F1070" t="s">
        <v>15</v>
      </c>
      <c r="G1070" s="8" t="s">
        <v>24</v>
      </c>
      <c r="H1070" t="s">
        <v>546</v>
      </c>
      <c r="I1070" t="e">
        <f>VLOOKUP(Tabela2[[#This Row],[Coluna7]],[1]!Tabela1[#All],2,0)</f>
        <v>#REF!</v>
      </c>
      <c r="J1070" t="s">
        <v>381</v>
      </c>
      <c r="L1070">
        <v>150</v>
      </c>
      <c r="Q1070" s="10" t="str">
        <f>Tabela2[[#This Row],[Coluna5]]</f>
        <v>10/2025</v>
      </c>
      <c r="R1070" s="10" t="str">
        <f>IF(Tabela2[[#This Row],[Coluna9]]&gt;0,"Entrada","Saída")</f>
        <v>Saída</v>
      </c>
      <c r="S1070" s="10" t="str">
        <f>Tabela2[[#This Row],[Coluna8]]</f>
        <v>ALISSON DA SILVA SANTOS</v>
      </c>
      <c r="T1070" s="10" t="e">
        <f>Tabela2[[#This Row],[Coluna72]]</f>
        <v>#REF!</v>
      </c>
      <c r="U1070" s="10">
        <f>SUM(Tabela2[[#This Row],[Coluna9]],Tabela2[[#This Row],[Coluna10]])</f>
        <v>150</v>
      </c>
      <c r="V1070" s="2" t="str">
        <f>Tabela2[[#This Row],[Coluna4]]</f>
        <v>08/10/2025</v>
      </c>
      <c r="W1070" s="2" t="str">
        <f>Tabela2[[#This Row],[Coluna6]]</f>
        <v>08/10/2025</v>
      </c>
    </row>
    <row r="1071" spans="2:23" x14ac:dyDescent="0.2">
      <c r="B1071" t="s">
        <v>18</v>
      </c>
      <c r="C1071" t="s">
        <v>95</v>
      </c>
      <c r="D1071" t="s">
        <v>13</v>
      </c>
      <c r="E1071" s="8" t="s">
        <v>24</v>
      </c>
      <c r="F1071" t="s">
        <v>15</v>
      </c>
      <c r="G1071" s="8" t="s">
        <v>24</v>
      </c>
      <c r="H1071" t="s">
        <v>557</v>
      </c>
      <c r="I1071" t="e">
        <f>VLOOKUP(Tabela2[[#This Row],[Coluna7]],[1]!Tabela1[#All],2,0)</f>
        <v>#REF!</v>
      </c>
      <c r="J1071" t="s">
        <v>558</v>
      </c>
      <c r="L1071">
        <v>205</v>
      </c>
      <c r="Q1071" s="10" t="str">
        <f>Tabela2[[#This Row],[Coluna5]]</f>
        <v>10/2025</v>
      </c>
      <c r="R1071" s="10" t="str">
        <f>IF(Tabela2[[#This Row],[Coluna9]]&gt;0,"Entrada","Saída")</f>
        <v>Saída</v>
      </c>
      <c r="S1071" s="10" t="str">
        <f>Tabela2[[#This Row],[Coluna8]]</f>
        <v>REEMBOLSO THIAGO</v>
      </c>
      <c r="T1071" s="10" t="e">
        <f>Tabela2[[#This Row],[Coluna72]]</f>
        <v>#REF!</v>
      </c>
      <c r="U1071" s="10">
        <f>SUM(Tabela2[[#This Row],[Coluna9]],Tabela2[[#This Row],[Coluna10]])</f>
        <v>205</v>
      </c>
      <c r="V1071" s="2" t="str">
        <f>Tabela2[[#This Row],[Coluna4]]</f>
        <v>08/10/2025</v>
      </c>
      <c r="W1071" s="2" t="str">
        <f>Tabela2[[#This Row],[Coluna6]]</f>
        <v>08/10/2025</v>
      </c>
    </row>
    <row r="1072" spans="2:23" x14ac:dyDescent="0.2">
      <c r="B1072" t="s">
        <v>18</v>
      </c>
      <c r="C1072" t="s">
        <v>95</v>
      </c>
      <c r="D1072" t="s">
        <v>13</v>
      </c>
      <c r="E1072" s="8" t="s">
        <v>148</v>
      </c>
      <c r="F1072" t="s">
        <v>15</v>
      </c>
      <c r="G1072" s="8" t="s">
        <v>148</v>
      </c>
      <c r="H1072" t="s">
        <v>540</v>
      </c>
      <c r="I1072" t="e">
        <f>VLOOKUP(Tabela2[[#This Row],[Coluna7]],[1]!Tabela1[#All],2,0)</f>
        <v>#REF!</v>
      </c>
      <c r="J1072" t="s">
        <v>559</v>
      </c>
      <c r="L1072">
        <v>222</v>
      </c>
      <c r="Q1072" s="10" t="str">
        <f>Tabela2[[#This Row],[Coluna5]]</f>
        <v>10/2025</v>
      </c>
      <c r="R1072" s="10" t="str">
        <f>IF(Tabela2[[#This Row],[Coluna9]]&gt;0,"Entrada","Saída")</f>
        <v>Saída</v>
      </c>
      <c r="S1072" s="10" t="str">
        <f>Tabela2[[#This Row],[Coluna8]]</f>
        <v>COMPRAS - AÇÃO DIA DAS CRIANÇAS</v>
      </c>
      <c r="T1072" s="10" t="e">
        <f>Tabela2[[#This Row],[Coluna72]]</f>
        <v>#REF!</v>
      </c>
      <c r="U1072" s="10">
        <f>SUM(Tabela2[[#This Row],[Coluna9]],Tabela2[[#This Row],[Coluna10]])</f>
        <v>222</v>
      </c>
      <c r="V1072" s="2" t="str">
        <f>Tabela2[[#This Row],[Coluna4]]</f>
        <v>09/10/2025</v>
      </c>
      <c r="W1072" s="2" t="str">
        <f>Tabela2[[#This Row],[Coluna6]]</f>
        <v>09/10/2025</v>
      </c>
    </row>
    <row r="1073" spans="2:23" x14ac:dyDescent="0.2">
      <c r="B1073" t="s">
        <v>18</v>
      </c>
      <c r="C1073" t="s">
        <v>95</v>
      </c>
      <c r="D1073" t="s">
        <v>13</v>
      </c>
      <c r="E1073" s="8" t="s">
        <v>148</v>
      </c>
      <c r="F1073" t="s">
        <v>15</v>
      </c>
      <c r="G1073" s="8" t="s">
        <v>148</v>
      </c>
      <c r="H1073" t="s">
        <v>538</v>
      </c>
      <c r="I1073" t="e">
        <f>VLOOKUP(Tabela2[[#This Row],[Coluna7]],[1]!Tabela1[#All],2,0)</f>
        <v>#REF!</v>
      </c>
      <c r="J1073" t="s">
        <v>560</v>
      </c>
      <c r="L1073">
        <v>100</v>
      </c>
      <c r="Q1073" s="10" t="str">
        <f>Tabela2[[#This Row],[Coluna5]]</f>
        <v>10/2025</v>
      </c>
      <c r="R1073" s="10" t="str">
        <f>IF(Tabela2[[#This Row],[Coluna9]]&gt;0,"Entrada","Saída")</f>
        <v>Saída</v>
      </c>
      <c r="S1073" s="10" t="str">
        <f>Tabela2[[#This Row],[Coluna8]]</f>
        <v>A DEFINIR - ELIEL ANTONIO - GASOLINA</v>
      </c>
      <c r="T1073" s="10" t="e">
        <f>Tabela2[[#This Row],[Coluna72]]</f>
        <v>#REF!</v>
      </c>
      <c r="U1073" s="10">
        <f>SUM(Tabela2[[#This Row],[Coluna9]],Tabela2[[#This Row],[Coluna10]])</f>
        <v>100</v>
      </c>
      <c r="V1073" s="2" t="str">
        <f>Tabela2[[#This Row],[Coluna4]]</f>
        <v>09/10/2025</v>
      </c>
      <c r="W1073" s="2" t="str">
        <f>Tabela2[[#This Row],[Coluna6]]</f>
        <v>09/10/2025</v>
      </c>
    </row>
    <row r="1074" spans="2:23" x14ac:dyDescent="0.2">
      <c r="B1074" t="s">
        <v>18</v>
      </c>
      <c r="C1074" t="s">
        <v>95</v>
      </c>
      <c r="D1074" t="s">
        <v>13</v>
      </c>
      <c r="E1074" s="8" t="s">
        <v>158</v>
      </c>
      <c r="F1074" t="s">
        <v>15</v>
      </c>
      <c r="G1074" s="8" t="s">
        <v>158</v>
      </c>
      <c r="H1074" t="s">
        <v>561</v>
      </c>
      <c r="I1074" t="e">
        <f>VLOOKUP(Tabela2[[#This Row],[Coluna7]],[1]!Tabela1[#All],2,0)</f>
        <v>#REF!</v>
      </c>
      <c r="J1074" t="s">
        <v>562</v>
      </c>
      <c r="L1074">
        <v>87.17</v>
      </c>
      <c r="Q1074" s="10" t="str">
        <f>Tabela2[[#This Row],[Coluna5]]</f>
        <v>10/2025</v>
      </c>
      <c r="R1074" s="10" t="str">
        <f>IF(Tabela2[[#This Row],[Coluna9]]&gt;0,"Entrada","Saída")</f>
        <v>Saída</v>
      </c>
      <c r="S1074" s="10" t="str">
        <f>Tabela2[[#This Row],[Coluna8]]</f>
        <v>MAMANGUAPE 30/09 - VICTOR LIMEIRA</v>
      </c>
      <c r="T1074" s="10" t="e">
        <f>Tabela2[[#This Row],[Coluna72]]</f>
        <v>#REF!</v>
      </c>
      <c r="U1074" s="10">
        <f>SUM(Tabela2[[#This Row],[Coluna9]],Tabela2[[#This Row],[Coluna10]])</f>
        <v>87.17</v>
      </c>
      <c r="V1074" s="2" t="str">
        <f>Tabela2[[#This Row],[Coluna4]]</f>
        <v>10/10/2025</v>
      </c>
      <c r="W1074" s="2" t="str">
        <f>Tabela2[[#This Row],[Coluna6]]</f>
        <v>10/10/2025</v>
      </c>
    </row>
    <row r="1075" spans="2:23" x14ac:dyDescent="0.2">
      <c r="B1075" t="s">
        <v>18</v>
      </c>
      <c r="C1075" t="s">
        <v>95</v>
      </c>
      <c r="D1075" t="s">
        <v>13</v>
      </c>
      <c r="E1075" s="8" t="s">
        <v>158</v>
      </c>
      <c r="F1075" t="s">
        <v>15</v>
      </c>
      <c r="G1075" s="8" t="s">
        <v>158</v>
      </c>
      <c r="H1075" t="s">
        <v>443</v>
      </c>
      <c r="I1075" t="e">
        <f>VLOOKUP(Tabela2[[#This Row],[Coluna7]],[1]!Tabela1[#All],2,0)</f>
        <v>#REF!</v>
      </c>
      <c r="J1075" t="s">
        <v>454</v>
      </c>
      <c r="L1075">
        <v>22</v>
      </c>
      <c r="Q1075" s="10" t="str">
        <f>Tabela2[[#This Row],[Coluna5]]</f>
        <v>10/2025</v>
      </c>
      <c r="R1075" s="10" t="str">
        <f>IF(Tabela2[[#This Row],[Coluna9]]&gt;0,"Entrada","Saída")</f>
        <v>Saída</v>
      </c>
      <c r="S1075" s="10" t="str">
        <f>Tabela2[[#This Row],[Coluna8]]</f>
        <v>ALMOÇO</v>
      </c>
      <c r="T1075" s="10" t="e">
        <f>Tabela2[[#This Row],[Coluna72]]</f>
        <v>#REF!</v>
      </c>
      <c r="U1075" s="10">
        <f>SUM(Tabela2[[#This Row],[Coluna9]],Tabela2[[#This Row],[Coluna10]])</f>
        <v>22</v>
      </c>
      <c r="V1075" s="2" t="str">
        <f>Tabela2[[#This Row],[Coluna4]]</f>
        <v>10/10/2025</v>
      </c>
      <c r="W1075" s="2" t="str">
        <f>Tabela2[[#This Row],[Coluna6]]</f>
        <v>10/10/2025</v>
      </c>
    </row>
    <row r="1076" spans="2:23" x14ac:dyDescent="0.2">
      <c r="B1076" t="s">
        <v>18</v>
      </c>
      <c r="C1076" t="s">
        <v>95</v>
      </c>
      <c r="D1076" t="s">
        <v>13</v>
      </c>
      <c r="E1076" s="8" t="s">
        <v>158</v>
      </c>
      <c r="F1076" t="s">
        <v>15</v>
      </c>
      <c r="G1076" s="8" t="s">
        <v>158</v>
      </c>
      <c r="H1076" t="s">
        <v>540</v>
      </c>
      <c r="I1076" t="e">
        <f>VLOOKUP(Tabela2[[#This Row],[Coluna7]],[1]!Tabela1[#All],2,0)</f>
        <v>#REF!</v>
      </c>
      <c r="J1076" t="s">
        <v>563</v>
      </c>
      <c r="L1076">
        <v>42</v>
      </c>
      <c r="Q1076" s="10" t="str">
        <f>Tabela2[[#This Row],[Coluna5]]</f>
        <v>10/2025</v>
      </c>
      <c r="R1076" s="10" t="str">
        <f>IF(Tabela2[[#This Row],[Coluna9]]&gt;0,"Entrada","Saída")</f>
        <v>Saída</v>
      </c>
      <c r="S1076" s="10" t="str">
        <f>Tabela2[[#This Row],[Coluna8]]</f>
        <v>DIA DAS CRIANÇAS - BOLO</v>
      </c>
      <c r="T1076" s="10" t="e">
        <f>Tabela2[[#This Row],[Coluna72]]</f>
        <v>#REF!</v>
      </c>
      <c r="U1076" s="10">
        <f>SUM(Tabela2[[#This Row],[Coluna9]],Tabela2[[#This Row],[Coluna10]])</f>
        <v>42</v>
      </c>
      <c r="V1076" s="2" t="str">
        <f>Tabela2[[#This Row],[Coluna4]]</f>
        <v>10/10/2025</v>
      </c>
      <c r="W1076" s="2" t="str">
        <f>Tabela2[[#This Row],[Coluna6]]</f>
        <v>10/10/2025</v>
      </c>
    </row>
    <row r="1077" spans="2:23" x14ac:dyDescent="0.2">
      <c r="B1077" t="s">
        <v>18</v>
      </c>
      <c r="C1077" t="s">
        <v>95</v>
      </c>
      <c r="D1077" t="s">
        <v>13</v>
      </c>
      <c r="E1077" s="8" t="s">
        <v>158</v>
      </c>
      <c r="F1077" t="s">
        <v>15</v>
      </c>
      <c r="G1077" s="8" t="s">
        <v>158</v>
      </c>
      <c r="H1077" t="s">
        <v>546</v>
      </c>
      <c r="I1077" t="e">
        <f>VLOOKUP(Tabela2[[#This Row],[Coluna7]],[1]!Tabela1[#All],2,0)</f>
        <v>#REF!</v>
      </c>
      <c r="J1077" t="s">
        <v>564</v>
      </c>
      <c r="L1077">
        <v>400</v>
      </c>
      <c r="Q1077" s="10" t="str">
        <f>Tabela2[[#This Row],[Coluna5]]</f>
        <v>10/2025</v>
      </c>
      <c r="R1077" s="10" t="str">
        <f>IF(Tabela2[[#This Row],[Coluna9]]&gt;0,"Entrada","Saída")</f>
        <v>Saída</v>
      </c>
      <c r="S1077" s="10" t="str">
        <f>Tabela2[[#This Row],[Coluna8]]</f>
        <v>ELIEL ANTONIO ( WILMA )</v>
      </c>
      <c r="T1077" s="10" t="e">
        <f>Tabela2[[#This Row],[Coluna72]]</f>
        <v>#REF!</v>
      </c>
      <c r="U1077" s="10">
        <f>SUM(Tabela2[[#This Row],[Coluna9]],Tabela2[[#This Row],[Coluna10]])</f>
        <v>400</v>
      </c>
      <c r="V1077" s="2" t="str">
        <f>Tabela2[[#This Row],[Coluna4]]</f>
        <v>10/10/2025</v>
      </c>
      <c r="W1077" s="2" t="str">
        <f>Tabela2[[#This Row],[Coluna6]]</f>
        <v>10/10/2025</v>
      </c>
    </row>
    <row r="1078" spans="2:23" x14ac:dyDescent="0.2">
      <c r="B1078" t="s">
        <v>18</v>
      </c>
      <c r="C1078" t="s">
        <v>95</v>
      </c>
      <c r="D1078" t="s">
        <v>13</v>
      </c>
      <c r="E1078" s="8" t="s">
        <v>158</v>
      </c>
      <c r="F1078" t="s">
        <v>15</v>
      </c>
      <c r="G1078" s="8" t="s">
        <v>158</v>
      </c>
      <c r="H1078" t="s">
        <v>546</v>
      </c>
      <c r="I1078" t="e">
        <f>VLOOKUP(Tabela2[[#This Row],[Coluna7]],[1]!Tabela1[#All],2,0)</f>
        <v>#REF!</v>
      </c>
      <c r="J1078" t="s">
        <v>565</v>
      </c>
      <c r="L1078">
        <v>100</v>
      </c>
      <c r="Q1078" s="10" t="str">
        <f>Tabela2[[#This Row],[Coluna5]]</f>
        <v>10/2025</v>
      </c>
      <c r="R1078" s="10" t="str">
        <f>IF(Tabela2[[#This Row],[Coluna9]]&gt;0,"Entrada","Saída")</f>
        <v>Saída</v>
      </c>
      <c r="S1078" s="10" t="str">
        <f>Tabela2[[#This Row],[Coluna8]]</f>
        <v>LEANDRO JOAO BATISTA</v>
      </c>
      <c r="T1078" s="10" t="e">
        <f>Tabela2[[#This Row],[Coluna72]]</f>
        <v>#REF!</v>
      </c>
      <c r="U1078" s="10">
        <f>SUM(Tabela2[[#This Row],[Coluna9]],Tabela2[[#This Row],[Coluna10]])</f>
        <v>100</v>
      </c>
      <c r="V1078" s="2" t="str">
        <f>Tabela2[[#This Row],[Coluna4]]</f>
        <v>10/10/2025</v>
      </c>
      <c r="W1078" s="2" t="str">
        <f>Tabela2[[#This Row],[Coluna6]]</f>
        <v>10/10/2025</v>
      </c>
    </row>
    <row r="1079" spans="2:23" x14ac:dyDescent="0.2">
      <c r="B1079" t="s">
        <v>18</v>
      </c>
      <c r="C1079" t="s">
        <v>95</v>
      </c>
      <c r="D1079" t="s">
        <v>13</v>
      </c>
      <c r="E1079" s="8" t="s">
        <v>566</v>
      </c>
      <c r="F1079" t="s">
        <v>15</v>
      </c>
      <c r="G1079" s="8" t="s">
        <v>566</v>
      </c>
      <c r="H1079" t="s">
        <v>540</v>
      </c>
      <c r="I1079" t="e">
        <f>VLOOKUP(Tabela2[[#This Row],[Coluna7]],[1]!Tabela1[#All],2,0)</f>
        <v>#REF!</v>
      </c>
      <c r="J1079" t="s">
        <v>567</v>
      </c>
      <c r="L1079">
        <v>250</v>
      </c>
      <c r="Q1079" s="10" t="str">
        <f>Tabela2[[#This Row],[Coluna5]]</f>
        <v>10/2025</v>
      </c>
      <c r="R1079" s="10" t="str">
        <f>IF(Tabela2[[#This Row],[Coluna9]]&gt;0,"Entrada","Saída")</f>
        <v>Saída</v>
      </c>
      <c r="S1079" s="10" t="str">
        <f>Tabela2[[#This Row],[Coluna8]]</f>
        <v>DIA DAS CRIANÇAS - COMPLEMENTO COMPRAS</v>
      </c>
      <c r="T1079" s="10" t="e">
        <f>Tabela2[[#This Row],[Coluna72]]</f>
        <v>#REF!</v>
      </c>
      <c r="U1079" s="10">
        <f>SUM(Tabela2[[#This Row],[Coluna9]],Tabela2[[#This Row],[Coluna10]])</f>
        <v>250</v>
      </c>
      <c r="V1079" s="2" t="str">
        <f>Tabela2[[#This Row],[Coluna4]]</f>
        <v>11/10/2025</v>
      </c>
      <c r="W1079" s="2" t="str">
        <f>Tabela2[[#This Row],[Coluna6]]</f>
        <v>11/10/2025</v>
      </c>
    </row>
    <row r="1080" spans="2:23" x14ac:dyDescent="0.2">
      <c r="B1080" t="s">
        <v>18</v>
      </c>
      <c r="C1080" t="s">
        <v>95</v>
      </c>
      <c r="D1080" t="s">
        <v>13</v>
      </c>
      <c r="E1080" s="8" t="s">
        <v>566</v>
      </c>
      <c r="F1080" t="s">
        <v>15</v>
      </c>
      <c r="G1080" s="8" t="s">
        <v>566</v>
      </c>
      <c r="H1080" t="s">
        <v>546</v>
      </c>
      <c r="I1080" t="e">
        <f>VLOOKUP(Tabela2[[#This Row],[Coluna7]],[1]!Tabela1[#All],2,0)</f>
        <v>#REF!</v>
      </c>
      <c r="J1080" t="s">
        <v>568</v>
      </c>
      <c r="L1080">
        <v>1500</v>
      </c>
      <c r="Q1080" s="10" t="str">
        <f>Tabela2[[#This Row],[Coluna5]]</f>
        <v>10/2025</v>
      </c>
      <c r="R1080" s="10" t="str">
        <f>IF(Tabela2[[#This Row],[Coluna9]]&gt;0,"Entrada","Saída")</f>
        <v>Saída</v>
      </c>
      <c r="S1080" s="10" t="str">
        <f>Tabela2[[#This Row],[Coluna8]]</f>
        <v>ELIEL ANTONIO</v>
      </c>
      <c r="T1080" s="10" t="e">
        <f>Tabela2[[#This Row],[Coluna72]]</f>
        <v>#REF!</v>
      </c>
      <c r="U1080" s="10">
        <f>SUM(Tabela2[[#This Row],[Coluna9]],Tabela2[[#This Row],[Coluna10]])</f>
        <v>1500</v>
      </c>
      <c r="V1080" s="2" t="str">
        <f>Tabela2[[#This Row],[Coluna4]]</f>
        <v>11/10/2025</v>
      </c>
      <c r="W1080" s="2" t="str">
        <f>Tabela2[[#This Row],[Coluna6]]</f>
        <v>11/10/2025</v>
      </c>
    </row>
    <row r="1081" spans="2:23" x14ac:dyDescent="0.2">
      <c r="B1081" t="s">
        <v>18</v>
      </c>
      <c r="C1081" t="s">
        <v>95</v>
      </c>
      <c r="D1081" t="s">
        <v>13</v>
      </c>
      <c r="E1081" s="8" t="s">
        <v>566</v>
      </c>
      <c r="F1081" t="s">
        <v>15</v>
      </c>
      <c r="G1081" s="8" t="s">
        <v>566</v>
      </c>
      <c r="H1081" t="s">
        <v>546</v>
      </c>
      <c r="I1081" t="e">
        <f>VLOOKUP(Tabela2[[#This Row],[Coluna7]],[1]!Tabela1[#All],2,0)</f>
        <v>#REF!</v>
      </c>
      <c r="J1081" t="s">
        <v>569</v>
      </c>
      <c r="L1081">
        <v>550</v>
      </c>
      <c r="Q1081" s="10" t="str">
        <f>Tabela2[[#This Row],[Coluna5]]</f>
        <v>10/2025</v>
      </c>
      <c r="R1081" s="10" t="str">
        <f>IF(Tabela2[[#This Row],[Coluna9]]&gt;0,"Entrada","Saída")</f>
        <v>Saída</v>
      </c>
      <c r="S1081" s="10" t="str">
        <f>Tabela2[[#This Row],[Coluna8]]</f>
        <v>LEANDRO JOÃO BATISTA</v>
      </c>
      <c r="T1081" s="10" t="e">
        <f>Tabela2[[#This Row],[Coluna72]]</f>
        <v>#REF!</v>
      </c>
      <c r="U1081" s="10">
        <f>SUM(Tabela2[[#This Row],[Coluna9]],Tabela2[[#This Row],[Coluna10]])</f>
        <v>550</v>
      </c>
      <c r="V1081" s="2" t="str">
        <f>Tabela2[[#This Row],[Coluna4]]</f>
        <v>11/10/2025</v>
      </c>
      <c r="W1081" s="2" t="str">
        <f>Tabela2[[#This Row],[Coluna6]]</f>
        <v>11/10/2025</v>
      </c>
    </row>
    <row r="1082" spans="2:23" x14ac:dyDescent="0.2">
      <c r="B1082" t="s">
        <v>12</v>
      </c>
      <c r="C1082" t="s">
        <v>95</v>
      </c>
      <c r="D1082" t="s">
        <v>13</v>
      </c>
      <c r="E1082" s="8" t="s">
        <v>566</v>
      </c>
      <c r="F1082" t="s">
        <v>15</v>
      </c>
      <c r="G1082" s="8" t="s">
        <v>566</v>
      </c>
      <c r="H1082" t="s">
        <v>570</v>
      </c>
      <c r="I1082" t="e">
        <f>VLOOKUP(Tabela2[[#This Row],[Coluna7]],[1]!Tabela1[#All],2,0)</f>
        <v>#REF!</v>
      </c>
      <c r="J1082" t="s">
        <v>571</v>
      </c>
      <c r="L1082">
        <v>68.58</v>
      </c>
      <c r="Q1082" s="10" t="str">
        <f>Tabela2[[#This Row],[Coluna5]]</f>
        <v>10/2025</v>
      </c>
      <c r="R1082" s="10" t="str">
        <f>IF(Tabela2[[#This Row],[Coluna9]]&gt;0,"Entrada","Saída")</f>
        <v>Saída</v>
      </c>
      <c r="S1082" s="10" t="str">
        <f>Tabela2[[#This Row],[Coluna8]]</f>
        <v>MATEC</v>
      </c>
      <c r="T1082" s="10" t="e">
        <f>Tabela2[[#This Row],[Coluna72]]</f>
        <v>#REF!</v>
      </c>
      <c r="U1082" s="10">
        <f>SUM(Tabela2[[#This Row],[Coluna9]],Tabela2[[#This Row],[Coluna10]])</f>
        <v>68.58</v>
      </c>
      <c r="V1082" s="2" t="str">
        <f>Tabela2[[#This Row],[Coluna4]]</f>
        <v>11/10/2025</v>
      </c>
      <c r="W1082" s="2" t="str">
        <f>Tabela2[[#This Row],[Coluna6]]</f>
        <v>11/10/2025</v>
      </c>
    </row>
    <row r="1083" spans="2:23" x14ac:dyDescent="0.2">
      <c r="B1083" t="s">
        <v>18</v>
      </c>
      <c r="C1083" t="s">
        <v>95</v>
      </c>
      <c r="D1083" t="s">
        <v>13</v>
      </c>
      <c r="E1083" s="8" t="s">
        <v>143</v>
      </c>
      <c r="F1083" t="s">
        <v>15</v>
      </c>
      <c r="G1083" s="8" t="s">
        <v>143</v>
      </c>
      <c r="H1083" t="s">
        <v>542</v>
      </c>
      <c r="I1083" t="e">
        <f>VLOOKUP(Tabela2[[#This Row],[Coluna7]],[1]!Tabela1[#All],2,0)</f>
        <v>#REF!</v>
      </c>
      <c r="J1083" t="s">
        <v>572</v>
      </c>
      <c r="L1083">
        <v>1520</v>
      </c>
      <c r="Q1083" s="10" t="str">
        <f>Tabela2[[#This Row],[Coluna5]]</f>
        <v>10/2025</v>
      </c>
      <c r="R1083" s="10" t="str">
        <f>IF(Tabela2[[#This Row],[Coluna9]]&gt;0,"Entrada","Saída")</f>
        <v>Saída</v>
      </c>
      <c r="S1083" s="10" t="str">
        <f>Tabela2[[#This Row],[Coluna8]]</f>
        <v>DIEGO AIRES AMORENO</v>
      </c>
      <c r="T1083" s="10" t="e">
        <f>Tabela2[[#This Row],[Coluna72]]</f>
        <v>#REF!</v>
      </c>
      <c r="U1083" s="10">
        <f>SUM(Tabela2[[#This Row],[Coluna9]],Tabela2[[#This Row],[Coluna10]])</f>
        <v>1520</v>
      </c>
      <c r="V1083" s="2" t="str">
        <f>Tabela2[[#This Row],[Coluna4]]</f>
        <v>13/10/2025</v>
      </c>
      <c r="W1083" s="2" t="str">
        <f>Tabela2[[#This Row],[Coluna6]]</f>
        <v>13/10/2025</v>
      </c>
    </row>
    <row r="1084" spans="2:23" x14ac:dyDescent="0.2">
      <c r="B1084" t="s">
        <v>18</v>
      </c>
      <c r="C1084" t="s">
        <v>95</v>
      </c>
      <c r="D1084" t="s">
        <v>13</v>
      </c>
      <c r="E1084" s="8" t="s">
        <v>167</v>
      </c>
      <c r="F1084" t="s">
        <v>15</v>
      </c>
      <c r="G1084" s="8" t="s">
        <v>167</v>
      </c>
      <c r="H1084" t="s">
        <v>551</v>
      </c>
      <c r="I1084" t="e">
        <f>VLOOKUP(Tabela2[[#This Row],[Coluna7]],[1]!Tabela1[#All],2,0)</f>
        <v>#REF!</v>
      </c>
      <c r="J1084" t="s">
        <v>573</v>
      </c>
      <c r="L1084">
        <v>237.91</v>
      </c>
      <c r="M1084" t="s">
        <v>574</v>
      </c>
      <c r="N1084" t="s">
        <v>575</v>
      </c>
      <c r="Q1084" s="10" t="str">
        <f>Tabela2[[#This Row],[Coluna5]]</f>
        <v>10/2025</v>
      </c>
      <c r="R1084" s="10" t="str">
        <f>IF(Tabela2[[#This Row],[Coluna9]]&gt;0,"Entrada","Saída")</f>
        <v>Saída</v>
      </c>
      <c r="S1084" s="10" t="str">
        <f>Tabela2[[#This Row],[Coluna8]]</f>
        <v>CUSTO CTPS</v>
      </c>
      <c r="T1084" s="10" t="e">
        <f>Tabela2[[#This Row],[Coluna72]]</f>
        <v>#REF!</v>
      </c>
      <c r="U1084" s="10">
        <f>SUM(Tabela2[[#This Row],[Coluna9]],Tabela2[[#This Row],[Coluna10]])</f>
        <v>237.91</v>
      </c>
      <c r="V1084" s="2" t="str">
        <f>Tabela2[[#This Row],[Coluna4]]</f>
        <v>14/10/2025</v>
      </c>
      <c r="W1084" s="2" t="str">
        <f>Tabela2[[#This Row],[Coluna6]]</f>
        <v>14/10/2025</v>
      </c>
    </row>
    <row r="1085" spans="2:23" x14ac:dyDescent="0.2">
      <c r="B1085" t="s">
        <v>18</v>
      </c>
      <c r="C1085" t="s">
        <v>95</v>
      </c>
      <c r="D1085" t="s">
        <v>13</v>
      </c>
      <c r="E1085" s="8" t="s">
        <v>167</v>
      </c>
      <c r="F1085" t="s">
        <v>15</v>
      </c>
      <c r="G1085" s="8" t="s">
        <v>167</v>
      </c>
      <c r="H1085" t="s">
        <v>443</v>
      </c>
      <c r="I1085" t="e">
        <f>VLOOKUP(Tabela2[[#This Row],[Coluna7]],[1]!Tabela1[#All],2,0)</f>
        <v>#REF!</v>
      </c>
      <c r="J1085" t="s">
        <v>454</v>
      </c>
      <c r="L1085">
        <v>22</v>
      </c>
      <c r="Q1085" s="10" t="str">
        <f>Tabela2[[#This Row],[Coluna5]]</f>
        <v>10/2025</v>
      </c>
      <c r="R1085" s="10" t="str">
        <f>IF(Tabela2[[#This Row],[Coluna9]]&gt;0,"Entrada","Saída")</f>
        <v>Saída</v>
      </c>
      <c r="S1085" s="10" t="str">
        <f>Tabela2[[#This Row],[Coluna8]]</f>
        <v>ALMOÇO</v>
      </c>
      <c r="T1085" s="10" t="e">
        <f>Tabela2[[#This Row],[Coluna72]]</f>
        <v>#REF!</v>
      </c>
      <c r="U1085" s="10">
        <f>SUM(Tabela2[[#This Row],[Coluna9]],Tabela2[[#This Row],[Coluna10]])</f>
        <v>22</v>
      </c>
      <c r="V1085" s="2" t="str">
        <f>Tabela2[[#This Row],[Coluna4]]</f>
        <v>14/10/2025</v>
      </c>
      <c r="W1085" s="2" t="str">
        <f>Tabela2[[#This Row],[Coluna6]]</f>
        <v>14/10/2025</v>
      </c>
    </row>
    <row r="1086" spans="2:23" x14ac:dyDescent="0.2">
      <c r="B1086" t="s">
        <v>18</v>
      </c>
      <c r="C1086" t="s">
        <v>95</v>
      </c>
      <c r="D1086" t="s">
        <v>13</v>
      </c>
      <c r="E1086" s="8" t="s">
        <v>28</v>
      </c>
      <c r="F1086" t="s">
        <v>15</v>
      </c>
      <c r="G1086" s="8" t="s">
        <v>28</v>
      </c>
      <c r="H1086" t="s">
        <v>443</v>
      </c>
      <c r="I1086" t="e">
        <f>VLOOKUP(Tabela2[[#This Row],[Coluna7]],[1]!Tabela1[#All],2,0)</f>
        <v>#REF!</v>
      </c>
      <c r="J1086" t="s">
        <v>454</v>
      </c>
      <c r="L1086">
        <v>22</v>
      </c>
      <c r="Q1086" s="10" t="str">
        <f>Tabela2[[#This Row],[Coluna5]]</f>
        <v>10/2025</v>
      </c>
      <c r="R1086" s="10" t="str">
        <f>IF(Tabela2[[#This Row],[Coluna9]]&gt;0,"Entrada","Saída")</f>
        <v>Saída</v>
      </c>
      <c r="S1086" s="10" t="str">
        <f>Tabela2[[#This Row],[Coluna8]]</f>
        <v>ALMOÇO</v>
      </c>
      <c r="T1086" s="10" t="e">
        <f>Tabela2[[#This Row],[Coluna72]]</f>
        <v>#REF!</v>
      </c>
      <c r="U1086" s="10">
        <f>SUM(Tabela2[[#This Row],[Coluna9]],Tabela2[[#This Row],[Coluna10]])</f>
        <v>22</v>
      </c>
      <c r="V1086" s="2" t="str">
        <f>Tabela2[[#This Row],[Coluna4]]</f>
        <v>15/10/2025</v>
      </c>
      <c r="W1086" s="2" t="str">
        <f>Tabela2[[#This Row],[Coluna6]]</f>
        <v>15/10/2025</v>
      </c>
    </row>
    <row r="1087" spans="2:23" x14ac:dyDescent="0.2">
      <c r="B1087" t="s">
        <v>27</v>
      </c>
      <c r="C1087" t="s">
        <v>95</v>
      </c>
      <c r="D1087" t="s">
        <v>13</v>
      </c>
      <c r="E1087" s="8" t="s">
        <v>28</v>
      </c>
      <c r="F1087" t="s">
        <v>15</v>
      </c>
      <c r="G1087" s="8" t="s">
        <v>28</v>
      </c>
      <c r="H1087" t="s">
        <v>538</v>
      </c>
      <c r="I1087" t="e">
        <f>VLOOKUP(Tabela2[[#This Row],[Coluna7]],[1]!Tabela1[#All],2,0)</f>
        <v>#REF!</v>
      </c>
      <c r="J1087" t="s">
        <v>576</v>
      </c>
      <c r="L1087">
        <v>930.16</v>
      </c>
      <c r="Q1087" s="10" t="str">
        <f>Tabela2[[#This Row],[Coluna5]]</f>
        <v>10/2025</v>
      </c>
      <c r="R1087" s="10" t="str">
        <f>IF(Tabela2[[#This Row],[Coluna9]]&gt;0,"Entrada","Saída")</f>
        <v>Saída</v>
      </c>
      <c r="S1087" s="10" t="str">
        <f>Tabela2[[#This Row],[Coluna8]]</f>
        <v>CARTÃO DÉBITO - BRADESCO</v>
      </c>
      <c r="T1087" s="10" t="e">
        <f>Tabela2[[#This Row],[Coluna72]]</f>
        <v>#REF!</v>
      </c>
      <c r="U1087" s="10">
        <f>SUM(Tabela2[[#This Row],[Coluna9]],Tabela2[[#This Row],[Coluna10]])</f>
        <v>930.16</v>
      </c>
      <c r="V1087" s="2" t="str">
        <f>Tabela2[[#This Row],[Coluna4]]</f>
        <v>15/10/2025</v>
      </c>
      <c r="W1087" s="2" t="str">
        <f>Tabela2[[#This Row],[Coluna6]]</f>
        <v>15/10/2025</v>
      </c>
    </row>
    <row r="1088" spans="2:23" x14ac:dyDescent="0.2">
      <c r="B1088" t="s">
        <v>18</v>
      </c>
      <c r="C1088" t="s">
        <v>95</v>
      </c>
      <c r="D1088" t="s">
        <v>13</v>
      </c>
      <c r="E1088" s="8" t="s">
        <v>28</v>
      </c>
      <c r="F1088" t="s">
        <v>15</v>
      </c>
      <c r="G1088" s="8" t="s">
        <v>28</v>
      </c>
      <c r="H1088" t="s">
        <v>546</v>
      </c>
      <c r="I1088" t="e">
        <f>VLOOKUP(Tabela2[[#This Row],[Coluna7]],[1]!Tabela1[#All],2,0)</f>
        <v>#REF!</v>
      </c>
      <c r="J1088" t="s">
        <v>577</v>
      </c>
      <c r="L1088">
        <v>700</v>
      </c>
      <c r="Q1088" s="10" t="str">
        <f>Tabela2[[#This Row],[Coluna5]]</f>
        <v>10/2025</v>
      </c>
      <c r="R1088" s="10" t="str">
        <f>IF(Tabela2[[#This Row],[Coluna9]]&gt;0,"Entrada","Saída")</f>
        <v>Saída</v>
      </c>
      <c r="S1088" s="10" t="str">
        <f>Tabela2[[#This Row],[Coluna8]]</f>
        <v>ELIEL ANTONIO - PIX PARA WILMA</v>
      </c>
      <c r="T1088" s="10" t="e">
        <f>Tabela2[[#This Row],[Coluna72]]</f>
        <v>#REF!</v>
      </c>
      <c r="U1088" s="10">
        <f>SUM(Tabela2[[#This Row],[Coluna9]],Tabela2[[#This Row],[Coluna10]])</f>
        <v>700</v>
      </c>
      <c r="V1088" s="2" t="str">
        <f>Tabela2[[#This Row],[Coluna4]]</f>
        <v>15/10/2025</v>
      </c>
      <c r="W1088" s="2" t="str">
        <f>Tabela2[[#This Row],[Coluna6]]</f>
        <v>15/10/2025</v>
      </c>
    </row>
    <row r="1089" spans="2:23" x14ac:dyDescent="0.2">
      <c r="B1089" t="s">
        <v>18</v>
      </c>
      <c r="C1089" t="s">
        <v>125</v>
      </c>
      <c r="D1089" t="s">
        <v>13</v>
      </c>
      <c r="E1089" s="8" t="s">
        <v>29</v>
      </c>
      <c r="F1089" t="s">
        <v>15</v>
      </c>
      <c r="G1089" s="8" t="s">
        <v>29</v>
      </c>
      <c r="H1089" t="s">
        <v>551</v>
      </c>
      <c r="I1089" t="e">
        <f>VLOOKUP(Tabela2[[#This Row],[Coluna7]],[1]!Tabela1[#All],2,0)</f>
        <v>#REF!</v>
      </c>
      <c r="J1089" t="s">
        <v>578</v>
      </c>
      <c r="L1089">
        <v>42</v>
      </c>
      <c r="Q1089" s="10" t="str">
        <f>Tabela2[[#This Row],[Coluna5]]</f>
        <v>10/2025</v>
      </c>
      <c r="R1089" s="10" t="str">
        <f>IF(Tabela2[[#This Row],[Coluna9]]&gt;0,"Entrada","Saída")</f>
        <v>Saída</v>
      </c>
      <c r="S1089" s="10" t="str">
        <f>Tabela2[[#This Row],[Coluna8]]</f>
        <v>REEMBOLSO INSS</v>
      </c>
      <c r="T1089" s="10" t="e">
        <f>Tabela2[[#This Row],[Coluna72]]</f>
        <v>#REF!</v>
      </c>
      <c r="U1089" s="10">
        <f>SUM(Tabela2[[#This Row],[Coluna9]],Tabela2[[#This Row],[Coluna10]])</f>
        <v>42</v>
      </c>
      <c r="V1089" s="2" t="str">
        <f>Tabela2[[#This Row],[Coluna4]]</f>
        <v>16/10/2025</v>
      </c>
      <c r="W1089" s="2" t="str">
        <f>Tabela2[[#This Row],[Coluna6]]</f>
        <v>16/10/2025</v>
      </c>
    </row>
    <row r="1090" spans="2:23" x14ac:dyDescent="0.2">
      <c r="B1090" t="s">
        <v>18</v>
      </c>
      <c r="C1090" t="s">
        <v>95</v>
      </c>
      <c r="D1090" t="s">
        <v>13</v>
      </c>
      <c r="E1090" s="8" t="s">
        <v>29</v>
      </c>
      <c r="F1090" t="s">
        <v>15</v>
      </c>
      <c r="G1090" s="8" t="s">
        <v>29</v>
      </c>
      <c r="H1090" t="s">
        <v>538</v>
      </c>
      <c r="I1090" t="e">
        <f>VLOOKUP(Tabela2[[#This Row],[Coluna7]],[1]!Tabela1[#All],2,0)</f>
        <v>#REF!</v>
      </c>
      <c r="J1090" t="s">
        <v>579</v>
      </c>
      <c r="L1090">
        <v>35</v>
      </c>
      <c r="Q1090" s="10" t="str">
        <f>Tabela2[[#This Row],[Coluna5]]</f>
        <v>10/2025</v>
      </c>
      <c r="R1090" s="10" t="str">
        <f>IF(Tabela2[[#This Row],[Coluna9]]&gt;0,"Entrada","Saída")</f>
        <v>Saída</v>
      </c>
      <c r="S1090" s="10" t="str">
        <f>Tabela2[[#This Row],[Coluna8]]</f>
        <v>COMPRAS</v>
      </c>
      <c r="T1090" s="10" t="e">
        <f>Tabela2[[#This Row],[Coluna72]]</f>
        <v>#REF!</v>
      </c>
      <c r="U1090" s="10">
        <f>SUM(Tabela2[[#This Row],[Coluna9]],Tabela2[[#This Row],[Coluna10]])</f>
        <v>35</v>
      </c>
      <c r="V1090" s="2" t="str">
        <f>Tabela2[[#This Row],[Coluna4]]</f>
        <v>16/10/2025</v>
      </c>
      <c r="W1090" s="2" t="str">
        <f>Tabela2[[#This Row],[Coluna6]]</f>
        <v>16/10/2025</v>
      </c>
    </row>
    <row r="1091" spans="2:23" x14ac:dyDescent="0.2">
      <c r="B1091" t="s">
        <v>18</v>
      </c>
      <c r="C1091" t="s">
        <v>95</v>
      </c>
      <c r="D1091" t="s">
        <v>13</v>
      </c>
      <c r="E1091" s="8" t="s">
        <v>31</v>
      </c>
      <c r="F1091" t="s">
        <v>15</v>
      </c>
      <c r="G1091" s="8" t="s">
        <v>31</v>
      </c>
      <c r="H1091" t="s">
        <v>443</v>
      </c>
      <c r="I1091" t="e">
        <f>VLOOKUP(Tabela2[[#This Row],[Coluna7]],[1]!Tabela1[#All],2,0)</f>
        <v>#REF!</v>
      </c>
      <c r="J1091" t="s">
        <v>550</v>
      </c>
      <c r="L1091">
        <v>22</v>
      </c>
      <c r="Q1091" s="10" t="str">
        <f>Tabela2[[#This Row],[Coluna5]]</f>
        <v>10/2025</v>
      </c>
      <c r="R1091" s="10" t="str">
        <f>IF(Tabela2[[#This Row],[Coluna9]]&gt;0,"Entrada","Saída")</f>
        <v>Saída</v>
      </c>
      <c r="S1091" s="10" t="str">
        <f>Tabela2[[#This Row],[Coluna8]]</f>
        <v>ALMOÇO THIAGO</v>
      </c>
      <c r="T1091" s="10" t="e">
        <f>Tabela2[[#This Row],[Coluna72]]</f>
        <v>#REF!</v>
      </c>
      <c r="U1091" s="10">
        <f>SUM(Tabela2[[#This Row],[Coluna9]],Tabela2[[#This Row],[Coluna10]])</f>
        <v>22</v>
      </c>
      <c r="V1091" s="2" t="str">
        <f>Tabela2[[#This Row],[Coluna4]]</f>
        <v>17/10/2025</v>
      </c>
      <c r="W1091" s="2" t="str">
        <f>Tabela2[[#This Row],[Coluna6]]</f>
        <v>17/10/2025</v>
      </c>
    </row>
    <row r="1092" spans="2:23" x14ac:dyDescent="0.2">
      <c r="B1092" t="s">
        <v>18</v>
      </c>
      <c r="C1092" t="s">
        <v>95</v>
      </c>
      <c r="D1092" t="s">
        <v>13</v>
      </c>
      <c r="E1092" s="8" t="s">
        <v>31</v>
      </c>
      <c r="F1092" t="s">
        <v>15</v>
      </c>
      <c r="G1092" s="8" t="s">
        <v>31</v>
      </c>
      <c r="H1092" t="s">
        <v>580</v>
      </c>
      <c r="I1092" t="e">
        <f>VLOOKUP(Tabela2[[#This Row],[Coluna7]],[1]!Tabela1[#All],2,0)</f>
        <v>#REF!</v>
      </c>
      <c r="J1092" t="s">
        <v>581</v>
      </c>
      <c r="L1092">
        <v>712</v>
      </c>
      <c r="Q1092" s="10" t="str">
        <f>Tabela2[[#This Row],[Coluna5]]</f>
        <v>10/2025</v>
      </c>
      <c r="R1092" s="10" t="str">
        <f>IF(Tabela2[[#This Row],[Coluna9]]&gt;0,"Entrada","Saída")</f>
        <v>Saída</v>
      </c>
      <c r="S1092" s="10" t="str">
        <f>Tabela2[[#This Row],[Coluna8]]</f>
        <v>ARTHUR PONCIANO PEREIRA</v>
      </c>
      <c r="T1092" s="10" t="e">
        <f>Tabela2[[#This Row],[Coluna72]]</f>
        <v>#REF!</v>
      </c>
      <c r="U1092" s="10">
        <f>SUM(Tabela2[[#This Row],[Coluna9]],Tabela2[[#This Row],[Coluna10]])</f>
        <v>712</v>
      </c>
      <c r="V1092" s="2" t="str">
        <f>Tabela2[[#This Row],[Coluna4]]</f>
        <v>17/10/2025</v>
      </c>
      <c r="W1092" s="2" t="str">
        <f>Tabela2[[#This Row],[Coluna6]]</f>
        <v>17/10/2025</v>
      </c>
    </row>
    <row r="1093" spans="2:23" x14ac:dyDescent="0.2">
      <c r="B1093" t="s">
        <v>18</v>
      </c>
      <c r="C1093" t="s">
        <v>95</v>
      </c>
      <c r="D1093" t="s">
        <v>13</v>
      </c>
      <c r="E1093" s="8" t="s">
        <v>31</v>
      </c>
      <c r="F1093" t="s">
        <v>15</v>
      </c>
      <c r="G1093" s="8" t="s">
        <v>31</v>
      </c>
      <c r="H1093" t="s">
        <v>551</v>
      </c>
      <c r="I1093" t="e">
        <f>VLOOKUP(Tabela2[[#This Row],[Coluna7]],[1]!Tabela1[#All],2,0)</f>
        <v>#REF!</v>
      </c>
      <c r="L1093">
        <v>50</v>
      </c>
      <c r="N1093" t="s">
        <v>582</v>
      </c>
      <c r="Q1093" s="10" t="str">
        <f>Tabela2[[#This Row],[Coluna5]]</f>
        <v>10/2025</v>
      </c>
      <c r="R1093" s="10" t="str">
        <f>IF(Tabela2[[#This Row],[Coluna9]]&gt;0,"Entrada","Saída")</f>
        <v>Saída</v>
      </c>
      <c r="S1093" s="10">
        <f>Tabela2[[#This Row],[Coluna8]]</f>
        <v>0</v>
      </c>
      <c r="T1093" s="10" t="e">
        <f>Tabela2[[#This Row],[Coluna72]]</f>
        <v>#REF!</v>
      </c>
      <c r="U1093" s="10">
        <f>SUM(Tabela2[[#This Row],[Coluna9]],Tabela2[[#This Row],[Coluna10]])</f>
        <v>50</v>
      </c>
      <c r="V1093" s="2" t="str">
        <f>Tabela2[[#This Row],[Coluna4]]</f>
        <v>17/10/2025</v>
      </c>
      <c r="W1093" s="2" t="str">
        <f>Tabela2[[#This Row],[Coluna6]]</f>
        <v>17/10/2025</v>
      </c>
    </row>
    <row r="1094" spans="2:23" x14ac:dyDescent="0.2">
      <c r="B1094" t="s">
        <v>18</v>
      </c>
      <c r="C1094" t="s">
        <v>95</v>
      </c>
      <c r="D1094" t="s">
        <v>13</v>
      </c>
      <c r="E1094" s="8" t="s">
        <v>31</v>
      </c>
      <c r="F1094" t="s">
        <v>15</v>
      </c>
      <c r="G1094" s="8" t="s">
        <v>31</v>
      </c>
      <c r="H1094" t="s">
        <v>580</v>
      </c>
      <c r="I1094" t="e">
        <f>VLOOKUP(Tabela2[[#This Row],[Coluna7]],[1]!Tabela1[#All],2,0)</f>
        <v>#REF!</v>
      </c>
      <c r="J1094" t="s">
        <v>583</v>
      </c>
      <c r="L1094">
        <v>5000</v>
      </c>
      <c r="Q1094" s="10" t="str">
        <f>Tabela2[[#This Row],[Coluna5]]</f>
        <v>10/2025</v>
      </c>
      <c r="R1094" s="10" t="str">
        <f>IF(Tabela2[[#This Row],[Coluna9]]&gt;0,"Entrada","Saída")</f>
        <v>Saída</v>
      </c>
      <c r="S1094" s="10" t="str">
        <f>Tabela2[[#This Row],[Coluna8]]</f>
        <v>DIEGO AIRES MORENO</v>
      </c>
      <c r="T1094" s="10" t="e">
        <f>Tabela2[[#This Row],[Coluna72]]</f>
        <v>#REF!</v>
      </c>
      <c r="U1094" s="10">
        <f>SUM(Tabela2[[#This Row],[Coluna9]],Tabela2[[#This Row],[Coluna10]])</f>
        <v>5000</v>
      </c>
      <c r="V1094" s="2" t="str">
        <f>Tabela2[[#This Row],[Coluna4]]</f>
        <v>17/10/2025</v>
      </c>
      <c r="W1094" s="2" t="str">
        <f>Tabela2[[#This Row],[Coluna6]]</f>
        <v>17/10/2025</v>
      </c>
    </row>
    <row r="1095" spans="2:23" x14ac:dyDescent="0.2">
      <c r="B1095" t="s">
        <v>18</v>
      </c>
      <c r="C1095" t="s">
        <v>95</v>
      </c>
      <c r="D1095" t="s">
        <v>13</v>
      </c>
      <c r="E1095" s="8" t="s">
        <v>31</v>
      </c>
      <c r="F1095" t="s">
        <v>15</v>
      </c>
      <c r="G1095" s="8" t="s">
        <v>31</v>
      </c>
      <c r="H1095" t="s">
        <v>538</v>
      </c>
      <c r="I1095" t="e">
        <f>VLOOKUP(Tabela2[[#This Row],[Coluna7]],[1]!Tabela1[#All],2,0)</f>
        <v>#REF!</v>
      </c>
      <c r="J1095" t="s">
        <v>460</v>
      </c>
      <c r="L1095">
        <v>100</v>
      </c>
      <c r="Q1095" s="10" t="str">
        <f>Tabela2[[#This Row],[Coluna5]]</f>
        <v>10/2025</v>
      </c>
      <c r="R1095" s="10" t="str">
        <f>IF(Tabela2[[#This Row],[Coluna9]]&gt;0,"Entrada","Saída")</f>
        <v>Saída</v>
      </c>
      <c r="S1095" s="10" t="str">
        <f>Tabela2[[#This Row],[Coluna8]]</f>
        <v>GASOLINA ELIEL</v>
      </c>
      <c r="T1095" s="10" t="e">
        <f>Tabela2[[#This Row],[Coluna72]]</f>
        <v>#REF!</v>
      </c>
      <c r="U1095" s="10">
        <f>SUM(Tabela2[[#This Row],[Coluna9]],Tabela2[[#This Row],[Coluna10]])</f>
        <v>100</v>
      </c>
      <c r="V1095" s="2" t="str">
        <f>Tabela2[[#This Row],[Coluna4]]</f>
        <v>17/10/2025</v>
      </c>
      <c r="W1095" s="2" t="str">
        <f>Tabela2[[#This Row],[Coluna6]]</f>
        <v>17/10/2025</v>
      </c>
    </row>
    <row r="1096" spans="2:23" x14ac:dyDescent="0.2">
      <c r="B1096" t="s">
        <v>18</v>
      </c>
      <c r="C1096" t="s">
        <v>95</v>
      </c>
      <c r="D1096" t="s">
        <v>13</v>
      </c>
      <c r="E1096" s="8" t="s">
        <v>31</v>
      </c>
      <c r="F1096" t="s">
        <v>15</v>
      </c>
      <c r="G1096" s="8" t="s">
        <v>31</v>
      </c>
      <c r="H1096" t="s">
        <v>546</v>
      </c>
      <c r="I1096" t="e">
        <f>VLOOKUP(Tabela2[[#This Row],[Coluna7]],[1]!Tabela1[#All],2,0)</f>
        <v>#REF!</v>
      </c>
      <c r="J1096" t="s">
        <v>584</v>
      </c>
      <c r="L1096">
        <v>50</v>
      </c>
      <c r="Q1096" s="10" t="str">
        <f>Tabela2[[#This Row],[Coluna5]]</f>
        <v>10/2025</v>
      </c>
      <c r="R1096" s="10" t="str">
        <f>IF(Tabela2[[#This Row],[Coluna9]]&gt;0,"Entrada","Saída")</f>
        <v>Saída</v>
      </c>
      <c r="S1096" s="10" t="str">
        <f>Tabela2[[#This Row],[Coluna8]]</f>
        <v>ELIEL ANTONIO DA SILVA</v>
      </c>
      <c r="T1096" s="10" t="e">
        <f>Tabela2[[#This Row],[Coluna72]]</f>
        <v>#REF!</v>
      </c>
      <c r="U1096" s="10">
        <f>SUM(Tabela2[[#This Row],[Coluna9]],Tabela2[[#This Row],[Coluna10]])</f>
        <v>50</v>
      </c>
      <c r="V1096" s="2" t="str">
        <f>Tabela2[[#This Row],[Coluna4]]</f>
        <v>17/10/2025</v>
      </c>
      <c r="W1096" s="2" t="str">
        <f>Tabela2[[#This Row],[Coluna6]]</f>
        <v>17/10/2025</v>
      </c>
    </row>
    <row r="1097" spans="2:23" x14ac:dyDescent="0.2">
      <c r="B1097" t="s">
        <v>18</v>
      </c>
      <c r="C1097" t="s">
        <v>95</v>
      </c>
      <c r="D1097" t="s">
        <v>13</v>
      </c>
      <c r="E1097" s="8" t="s">
        <v>31</v>
      </c>
      <c r="F1097" t="s">
        <v>15</v>
      </c>
      <c r="G1097" s="8" t="s">
        <v>31</v>
      </c>
      <c r="H1097" t="s">
        <v>580</v>
      </c>
      <c r="I1097" t="e">
        <f>VLOOKUP(Tabela2[[#This Row],[Coluna7]],[1]!Tabela1[#All],2,0)</f>
        <v>#REF!</v>
      </c>
      <c r="J1097" t="s">
        <v>549</v>
      </c>
      <c r="L1097">
        <v>565.77</v>
      </c>
      <c r="Q1097" s="10" t="str">
        <f>Tabela2[[#This Row],[Coluna5]]</f>
        <v>10/2025</v>
      </c>
      <c r="R1097" s="10" t="str">
        <f>IF(Tabela2[[#This Row],[Coluna9]]&gt;0,"Entrada","Saída")</f>
        <v>Saída</v>
      </c>
      <c r="S1097" s="10" t="str">
        <f>Tabela2[[#This Row],[Coluna8]]</f>
        <v>LINDA - MARIA DAS GRAÇAS FORTUNATO CALIXTO</v>
      </c>
      <c r="T1097" s="10" t="e">
        <f>Tabela2[[#This Row],[Coluna72]]</f>
        <v>#REF!</v>
      </c>
      <c r="U1097" s="10">
        <f>SUM(Tabela2[[#This Row],[Coluna9]],Tabela2[[#This Row],[Coluna10]])</f>
        <v>565.77</v>
      </c>
      <c r="V1097" s="2" t="str">
        <f>Tabela2[[#This Row],[Coluna4]]</f>
        <v>17/10/2025</v>
      </c>
      <c r="W1097" s="2" t="str">
        <f>Tabela2[[#This Row],[Coluna6]]</f>
        <v>17/10/2025</v>
      </c>
    </row>
    <row r="1098" spans="2:23" x14ac:dyDescent="0.2">
      <c r="B1098" t="s">
        <v>18</v>
      </c>
      <c r="C1098" t="s">
        <v>95</v>
      </c>
      <c r="D1098" t="s">
        <v>13</v>
      </c>
      <c r="E1098" s="8" t="s">
        <v>457</v>
      </c>
      <c r="F1098" t="s">
        <v>15</v>
      </c>
      <c r="G1098" s="8" t="s">
        <v>457</v>
      </c>
      <c r="H1098" t="s">
        <v>546</v>
      </c>
      <c r="I1098" t="e">
        <f>VLOOKUP(Tabela2[[#This Row],[Coluna7]],[1]!Tabela1[#All],2,0)</f>
        <v>#REF!</v>
      </c>
      <c r="J1098" t="s">
        <v>584</v>
      </c>
      <c r="L1098">
        <v>600</v>
      </c>
      <c r="Q1098" s="10" t="str">
        <f>Tabela2[[#This Row],[Coluna5]]</f>
        <v>10/2025</v>
      </c>
      <c r="R1098" s="10" t="str">
        <f>IF(Tabela2[[#This Row],[Coluna9]]&gt;0,"Entrada","Saída")</f>
        <v>Saída</v>
      </c>
      <c r="S1098" s="10" t="str">
        <f>Tabela2[[#This Row],[Coluna8]]</f>
        <v>ELIEL ANTONIO DA SILVA</v>
      </c>
      <c r="T1098" s="10" t="e">
        <f>Tabela2[[#This Row],[Coluna72]]</f>
        <v>#REF!</v>
      </c>
      <c r="U1098" s="10">
        <f>SUM(Tabela2[[#This Row],[Coluna9]],Tabela2[[#This Row],[Coluna10]])</f>
        <v>600</v>
      </c>
      <c r="V1098" s="2" t="str">
        <f>Tabela2[[#This Row],[Coluna4]]</f>
        <v>18/10/2025</v>
      </c>
      <c r="W1098" s="2" t="str">
        <f>Tabela2[[#This Row],[Coluna6]]</f>
        <v>18/10/2025</v>
      </c>
    </row>
    <row r="1099" spans="2:23" x14ac:dyDescent="0.2">
      <c r="B1099" t="s">
        <v>18</v>
      </c>
      <c r="C1099" t="s">
        <v>95</v>
      </c>
      <c r="D1099" t="s">
        <v>13</v>
      </c>
      <c r="E1099" s="8" t="s">
        <v>457</v>
      </c>
      <c r="F1099" t="s">
        <v>15</v>
      </c>
      <c r="G1099" s="8" t="s">
        <v>457</v>
      </c>
      <c r="H1099" t="s">
        <v>538</v>
      </c>
      <c r="I1099" t="e">
        <f>VLOOKUP(Tabela2[[#This Row],[Coluna7]],[1]!Tabela1[#All],2,0)</f>
        <v>#REF!</v>
      </c>
      <c r="J1099" t="s">
        <v>585</v>
      </c>
      <c r="L1099">
        <v>120</v>
      </c>
      <c r="Q1099" s="10" t="str">
        <f>Tabela2[[#This Row],[Coluna5]]</f>
        <v>10/2025</v>
      </c>
      <c r="R1099" s="10" t="str">
        <f>IF(Tabela2[[#This Row],[Coluna9]]&gt;0,"Entrada","Saída")</f>
        <v>Saída</v>
      </c>
      <c r="S1099" s="10" t="str">
        <f>Tabela2[[#This Row],[Coluna8]]</f>
        <v>JOSE ROBERTO FLORENCIO</v>
      </c>
      <c r="T1099" s="10" t="e">
        <f>Tabela2[[#This Row],[Coluna72]]</f>
        <v>#REF!</v>
      </c>
      <c r="U1099" s="10">
        <f>SUM(Tabela2[[#This Row],[Coluna9]],Tabela2[[#This Row],[Coluna10]])</f>
        <v>120</v>
      </c>
      <c r="V1099" s="2" t="str">
        <f>Tabela2[[#This Row],[Coluna4]]</f>
        <v>18/10/2025</v>
      </c>
      <c r="W1099" s="2" t="str">
        <f>Tabela2[[#This Row],[Coluna6]]</f>
        <v>18/10/2025</v>
      </c>
    </row>
    <row r="1100" spans="2:23" x14ac:dyDescent="0.2">
      <c r="B1100" t="s">
        <v>12</v>
      </c>
      <c r="C1100" t="s">
        <v>95</v>
      </c>
      <c r="D1100" t="s">
        <v>13</v>
      </c>
      <c r="E1100" s="8" t="s">
        <v>586</v>
      </c>
      <c r="F1100" t="s">
        <v>15</v>
      </c>
      <c r="G1100" s="8" t="s">
        <v>586</v>
      </c>
      <c r="H1100" t="s">
        <v>538</v>
      </c>
      <c r="I1100" t="e">
        <f>VLOOKUP(Tabela2[[#This Row],[Coluna7]],[1]!Tabela1[#All],2,0)</f>
        <v>#REF!</v>
      </c>
      <c r="J1100" t="s">
        <v>587</v>
      </c>
      <c r="L1100">
        <v>36.78</v>
      </c>
      <c r="Q1100" s="10" t="str">
        <f>Tabela2[[#This Row],[Coluna5]]</f>
        <v>10/2025</v>
      </c>
      <c r="R1100" s="10" t="str">
        <f>IF(Tabela2[[#This Row],[Coluna9]]&gt;0,"Entrada","Saída")</f>
        <v>Saída</v>
      </c>
      <c r="S1100" s="10" t="str">
        <f>Tabela2[[#This Row],[Coluna8]]</f>
        <v>FARMÁRCIA</v>
      </c>
      <c r="T1100" s="10" t="e">
        <f>Tabela2[[#This Row],[Coluna72]]</f>
        <v>#REF!</v>
      </c>
      <c r="U1100" s="10">
        <f>SUM(Tabela2[[#This Row],[Coluna9]],Tabela2[[#This Row],[Coluna10]])</f>
        <v>36.78</v>
      </c>
      <c r="V1100" s="2" t="str">
        <f>Tabela2[[#This Row],[Coluna4]]</f>
        <v>19/10/2025</v>
      </c>
      <c r="W1100" s="2" t="str">
        <f>Tabela2[[#This Row],[Coluna6]]</f>
        <v>19/10/2025</v>
      </c>
    </row>
    <row r="1101" spans="2:23" x14ac:dyDescent="0.2">
      <c r="B1101" t="s">
        <v>18</v>
      </c>
      <c r="C1101" t="s">
        <v>95</v>
      </c>
      <c r="D1101" t="s">
        <v>13</v>
      </c>
      <c r="E1101" s="8" t="s">
        <v>191</v>
      </c>
      <c r="F1101" t="s">
        <v>15</v>
      </c>
      <c r="G1101" s="8" t="s">
        <v>191</v>
      </c>
      <c r="H1101" t="s">
        <v>570</v>
      </c>
      <c r="I1101" t="e">
        <f>VLOOKUP(Tabela2[[#This Row],[Coluna7]],[1]!Tabela1[#All],2,0)</f>
        <v>#REF!</v>
      </c>
      <c r="L1101">
        <v>101</v>
      </c>
      <c r="Q1101" s="10" t="str">
        <f>Tabela2[[#This Row],[Coluna5]]</f>
        <v>10/2025</v>
      </c>
      <c r="R1101" s="10" t="str">
        <f>IF(Tabela2[[#This Row],[Coluna9]]&gt;0,"Entrada","Saída")</f>
        <v>Saída</v>
      </c>
      <c r="S1101" s="10">
        <f>Tabela2[[#This Row],[Coluna8]]</f>
        <v>0</v>
      </c>
      <c r="T1101" s="10" t="e">
        <f>Tabela2[[#This Row],[Coluna72]]</f>
        <v>#REF!</v>
      </c>
      <c r="U1101" s="10">
        <f>SUM(Tabela2[[#This Row],[Coluna9]],Tabela2[[#This Row],[Coluna10]])</f>
        <v>101</v>
      </c>
      <c r="V1101" s="2" t="str">
        <f>Tabela2[[#This Row],[Coluna4]]</f>
        <v>21/10/2025</v>
      </c>
      <c r="W1101" s="2" t="str">
        <f>Tabela2[[#This Row],[Coluna6]]</f>
        <v>21/10/2025</v>
      </c>
    </row>
    <row r="1102" spans="2:23" x14ac:dyDescent="0.2">
      <c r="B1102" t="s">
        <v>18</v>
      </c>
      <c r="C1102" t="s">
        <v>95</v>
      </c>
      <c r="D1102" t="s">
        <v>13</v>
      </c>
      <c r="E1102" s="8" t="s">
        <v>191</v>
      </c>
      <c r="F1102" t="s">
        <v>15</v>
      </c>
      <c r="G1102" s="8" t="s">
        <v>191</v>
      </c>
      <c r="H1102" t="s">
        <v>443</v>
      </c>
      <c r="I1102" t="e">
        <f>VLOOKUP(Tabela2[[#This Row],[Coluna7]],[1]!Tabela1[#All],2,0)</f>
        <v>#REF!</v>
      </c>
      <c r="J1102" t="s">
        <v>550</v>
      </c>
      <c r="L1102">
        <v>11</v>
      </c>
      <c r="Q1102" s="10" t="str">
        <f>Tabela2[[#This Row],[Coluna5]]</f>
        <v>10/2025</v>
      </c>
      <c r="R1102" s="10" t="str">
        <f>IF(Tabela2[[#This Row],[Coluna9]]&gt;0,"Entrada","Saída")</f>
        <v>Saída</v>
      </c>
      <c r="S1102" s="10" t="str">
        <f>Tabela2[[#This Row],[Coluna8]]</f>
        <v>ALMOÇO THIAGO</v>
      </c>
      <c r="T1102" s="10" t="e">
        <f>Tabela2[[#This Row],[Coluna72]]</f>
        <v>#REF!</v>
      </c>
      <c r="U1102" s="10">
        <f>SUM(Tabela2[[#This Row],[Coluna9]],Tabela2[[#This Row],[Coluna10]])</f>
        <v>11</v>
      </c>
      <c r="V1102" s="2" t="str">
        <f>Tabela2[[#This Row],[Coluna4]]</f>
        <v>21/10/2025</v>
      </c>
      <c r="W1102" s="2" t="str">
        <f>Tabela2[[#This Row],[Coluna6]]</f>
        <v>21/10/2025</v>
      </c>
    </row>
    <row r="1103" spans="2:23" x14ac:dyDescent="0.2">
      <c r="B1103" t="s">
        <v>18</v>
      </c>
      <c r="C1103" t="s">
        <v>95</v>
      </c>
      <c r="D1103" t="s">
        <v>13</v>
      </c>
      <c r="E1103" s="8" t="s">
        <v>191</v>
      </c>
      <c r="F1103" t="s">
        <v>15</v>
      </c>
      <c r="G1103" s="8" t="s">
        <v>191</v>
      </c>
      <c r="H1103" t="s">
        <v>580</v>
      </c>
      <c r="I1103" t="e">
        <f>VLOOKUP(Tabela2[[#This Row],[Coluna7]],[1]!Tabela1[#All],2,0)</f>
        <v>#REF!</v>
      </c>
      <c r="J1103" t="s">
        <v>588</v>
      </c>
      <c r="L1103">
        <v>2925.7</v>
      </c>
      <c r="Q1103" s="10" t="str">
        <f>Tabela2[[#This Row],[Coluna5]]</f>
        <v>10/2025</v>
      </c>
      <c r="R1103" s="10" t="str">
        <f>IF(Tabela2[[#This Row],[Coluna9]]&gt;0,"Entrada","Saída")</f>
        <v>Saída</v>
      </c>
      <c r="S1103" s="10" t="str">
        <f>Tabela2[[#This Row],[Coluna8]]</f>
        <v>CRISTINA - ANA CRISTINA COSME</v>
      </c>
      <c r="T1103" s="10" t="e">
        <f>Tabela2[[#This Row],[Coluna72]]</f>
        <v>#REF!</v>
      </c>
      <c r="U1103" s="10">
        <f>SUM(Tabela2[[#This Row],[Coluna9]],Tabela2[[#This Row],[Coluna10]])</f>
        <v>2925.7</v>
      </c>
      <c r="V1103" s="2" t="str">
        <f>Tabela2[[#This Row],[Coluna4]]</f>
        <v>21/10/2025</v>
      </c>
      <c r="W1103" s="2" t="str">
        <f>Tabela2[[#This Row],[Coluna6]]</f>
        <v>21/10/2025</v>
      </c>
    </row>
    <row r="1104" spans="2:23" x14ac:dyDescent="0.2">
      <c r="B1104" t="s">
        <v>18</v>
      </c>
      <c r="C1104" t="s">
        <v>95</v>
      </c>
      <c r="D1104" t="s">
        <v>13</v>
      </c>
      <c r="E1104" s="8" t="s">
        <v>191</v>
      </c>
      <c r="F1104" t="s">
        <v>15</v>
      </c>
      <c r="G1104" s="8" t="s">
        <v>191</v>
      </c>
      <c r="H1104" t="s">
        <v>561</v>
      </c>
      <c r="I1104" t="e">
        <f>VLOOKUP(Tabela2[[#This Row],[Coluna7]],[1]!Tabela1[#All],2,0)</f>
        <v>#REF!</v>
      </c>
      <c r="L1104">
        <v>220</v>
      </c>
      <c r="Q1104" s="10" t="str">
        <f>Tabela2[[#This Row],[Coluna5]]</f>
        <v>10/2025</v>
      </c>
      <c r="R1104" s="10" t="str">
        <f>IF(Tabela2[[#This Row],[Coluna9]]&gt;0,"Entrada","Saída")</f>
        <v>Saída</v>
      </c>
      <c r="S1104" s="10">
        <f>Tabela2[[#This Row],[Coluna8]]</f>
        <v>0</v>
      </c>
      <c r="T1104" s="10" t="e">
        <f>Tabela2[[#This Row],[Coluna72]]</f>
        <v>#REF!</v>
      </c>
      <c r="U1104" s="10">
        <f>SUM(Tabela2[[#This Row],[Coluna9]],Tabela2[[#This Row],[Coluna10]])</f>
        <v>220</v>
      </c>
      <c r="V1104" s="2" t="str">
        <f>Tabela2[[#This Row],[Coluna4]]</f>
        <v>21/10/2025</v>
      </c>
      <c r="W1104" s="2" t="str">
        <f>Tabela2[[#This Row],[Coluna6]]</f>
        <v>21/10/2025</v>
      </c>
    </row>
    <row r="1105" spans="2:23" x14ac:dyDescent="0.2">
      <c r="B1105" t="s">
        <v>18</v>
      </c>
      <c r="C1105" t="s">
        <v>95</v>
      </c>
      <c r="D1105" t="s">
        <v>13</v>
      </c>
      <c r="E1105" s="8" t="s">
        <v>190</v>
      </c>
      <c r="F1105" t="s">
        <v>15</v>
      </c>
      <c r="G1105" s="8" t="s">
        <v>190</v>
      </c>
      <c r="H1105" t="s">
        <v>535</v>
      </c>
      <c r="I1105" t="e">
        <f>VLOOKUP(Tabela2[[#This Row],[Coluna7]],[1]!Tabela1[#All],2,0)</f>
        <v>#REF!</v>
      </c>
      <c r="J1105" t="s">
        <v>579</v>
      </c>
      <c r="L1105">
        <v>110</v>
      </c>
      <c r="Q1105" s="10" t="str">
        <f>Tabela2[[#This Row],[Coluna5]]</f>
        <v>10/2025</v>
      </c>
      <c r="R1105" s="10" t="str">
        <f>IF(Tabela2[[#This Row],[Coluna9]]&gt;0,"Entrada","Saída")</f>
        <v>Saída</v>
      </c>
      <c r="S1105" s="10" t="str">
        <f>Tabela2[[#This Row],[Coluna8]]</f>
        <v>COMPRAS</v>
      </c>
      <c r="T1105" s="10" t="e">
        <f>Tabela2[[#This Row],[Coluna72]]</f>
        <v>#REF!</v>
      </c>
      <c r="U1105" s="10">
        <f>SUM(Tabela2[[#This Row],[Coluna9]],Tabela2[[#This Row],[Coluna10]])</f>
        <v>110</v>
      </c>
      <c r="V1105" s="2" t="str">
        <f>Tabela2[[#This Row],[Coluna4]]</f>
        <v>22/10/2025</v>
      </c>
      <c r="W1105" s="2" t="str">
        <f>Tabela2[[#This Row],[Coluna6]]</f>
        <v>22/10/2025</v>
      </c>
    </row>
    <row r="1106" spans="2:23" x14ac:dyDescent="0.2">
      <c r="B1106" t="s">
        <v>18</v>
      </c>
      <c r="C1106" t="s">
        <v>95</v>
      </c>
      <c r="D1106" t="s">
        <v>13</v>
      </c>
      <c r="E1106" s="8" t="s">
        <v>391</v>
      </c>
      <c r="F1106" t="s">
        <v>15</v>
      </c>
      <c r="G1106" s="8" t="s">
        <v>391</v>
      </c>
      <c r="H1106" t="s">
        <v>538</v>
      </c>
      <c r="I1106" t="e">
        <f>VLOOKUP(Tabela2[[#This Row],[Coluna7]],[1]!Tabela1[#All],2,0)</f>
        <v>#REF!</v>
      </c>
      <c r="J1106" t="s">
        <v>589</v>
      </c>
      <c r="L1106">
        <v>30</v>
      </c>
      <c r="Q1106" s="10" t="str">
        <f>Tabela2[[#This Row],[Coluna5]]</f>
        <v>10/2025</v>
      </c>
      <c r="R1106" s="10" t="str">
        <f>IF(Tabela2[[#This Row],[Coluna9]]&gt;0,"Entrada","Saída")</f>
        <v>Saída</v>
      </c>
      <c r="S1106" s="10" t="str">
        <f>Tabela2[[#This Row],[Coluna8]]</f>
        <v>COMPRAS ALISSON</v>
      </c>
      <c r="T1106" s="10" t="e">
        <f>Tabela2[[#This Row],[Coluna72]]</f>
        <v>#REF!</v>
      </c>
      <c r="U1106" s="10">
        <f>SUM(Tabela2[[#This Row],[Coluna9]],Tabela2[[#This Row],[Coluna10]])</f>
        <v>30</v>
      </c>
      <c r="V1106" s="2" t="str">
        <f>Tabela2[[#This Row],[Coluna4]]</f>
        <v>23/10/2025</v>
      </c>
      <c r="W1106" s="2" t="str">
        <f>Tabela2[[#This Row],[Coluna6]]</f>
        <v>23/10/2025</v>
      </c>
    </row>
    <row r="1107" spans="2:23" x14ac:dyDescent="0.2">
      <c r="B1107" t="s">
        <v>18</v>
      </c>
      <c r="C1107" t="s">
        <v>95</v>
      </c>
      <c r="D1107" t="s">
        <v>13</v>
      </c>
      <c r="E1107" s="8" t="s">
        <v>391</v>
      </c>
      <c r="F1107" t="s">
        <v>15</v>
      </c>
      <c r="G1107" s="8" t="s">
        <v>391</v>
      </c>
      <c r="H1107" t="s">
        <v>570</v>
      </c>
      <c r="I1107" t="e">
        <f>VLOOKUP(Tabela2[[#This Row],[Coluna7]],[1]!Tabela1[#All],2,0)</f>
        <v>#REF!</v>
      </c>
      <c r="L1107">
        <v>9</v>
      </c>
      <c r="Q1107" s="10" t="str">
        <f>Tabela2[[#This Row],[Coluna5]]</f>
        <v>10/2025</v>
      </c>
      <c r="R1107" s="10" t="str">
        <f>IF(Tabela2[[#This Row],[Coluna9]]&gt;0,"Entrada","Saída")</f>
        <v>Saída</v>
      </c>
      <c r="S1107" s="10">
        <f>Tabela2[[#This Row],[Coluna8]]</f>
        <v>0</v>
      </c>
      <c r="T1107" s="10" t="e">
        <f>Tabela2[[#This Row],[Coluna72]]</f>
        <v>#REF!</v>
      </c>
      <c r="U1107" s="10">
        <f>SUM(Tabela2[[#This Row],[Coluna9]],Tabela2[[#This Row],[Coluna10]])</f>
        <v>9</v>
      </c>
      <c r="V1107" s="2" t="str">
        <f>Tabela2[[#This Row],[Coluna4]]</f>
        <v>23/10/2025</v>
      </c>
      <c r="W1107" s="2" t="str">
        <f>Tabela2[[#This Row],[Coluna6]]</f>
        <v>23/10/2025</v>
      </c>
    </row>
    <row r="1108" spans="2:23" x14ac:dyDescent="0.2">
      <c r="B1108" t="s">
        <v>18</v>
      </c>
      <c r="C1108" t="s">
        <v>95</v>
      </c>
      <c r="D1108" t="s">
        <v>13</v>
      </c>
      <c r="E1108" s="8" t="s">
        <v>197</v>
      </c>
      <c r="F1108" t="s">
        <v>15</v>
      </c>
      <c r="G1108" s="8" t="s">
        <v>197</v>
      </c>
      <c r="H1108" t="s">
        <v>546</v>
      </c>
      <c r="I1108" t="e">
        <f>VLOOKUP(Tabela2[[#This Row],[Coluna7]],[1]!Tabela1[#All],2,0)</f>
        <v>#REF!</v>
      </c>
      <c r="J1108" t="s">
        <v>568</v>
      </c>
      <c r="L1108">
        <v>600</v>
      </c>
      <c r="Q1108" s="10" t="str">
        <f>Tabela2[[#This Row],[Coluna5]]</f>
        <v>10/2025</v>
      </c>
      <c r="R1108" s="10" t="str">
        <f>IF(Tabela2[[#This Row],[Coluna9]]&gt;0,"Entrada","Saída")</f>
        <v>Saída</v>
      </c>
      <c r="S1108" s="10" t="str">
        <f>Tabela2[[#This Row],[Coluna8]]</f>
        <v>ELIEL ANTONIO</v>
      </c>
      <c r="T1108" s="10" t="e">
        <f>Tabela2[[#This Row],[Coluna72]]</f>
        <v>#REF!</v>
      </c>
      <c r="U1108" s="10">
        <f>SUM(Tabela2[[#This Row],[Coluna9]],Tabela2[[#This Row],[Coluna10]])</f>
        <v>600</v>
      </c>
      <c r="V1108" s="2" t="str">
        <f>Tabela2[[#This Row],[Coluna4]]</f>
        <v>25/10/2025</v>
      </c>
      <c r="W1108" s="2" t="str">
        <f>Tabela2[[#This Row],[Coluna6]]</f>
        <v>25/10/2025</v>
      </c>
    </row>
    <row r="1109" spans="2:23" x14ac:dyDescent="0.2">
      <c r="B1109" t="s">
        <v>18</v>
      </c>
      <c r="C1109" t="s">
        <v>95</v>
      </c>
      <c r="D1109" t="s">
        <v>13</v>
      </c>
      <c r="E1109" s="8" t="s">
        <v>590</v>
      </c>
      <c r="F1109" t="s">
        <v>15</v>
      </c>
      <c r="G1109" s="8" t="s">
        <v>590</v>
      </c>
      <c r="H1109" t="s">
        <v>546</v>
      </c>
      <c r="I1109" t="e">
        <f>VLOOKUP(Tabela2[[#This Row],[Coluna7]],[1]!Tabela1[#All],2,0)</f>
        <v>#REF!</v>
      </c>
      <c r="J1109" t="s">
        <v>381</v>
      </c>
      <c r="L1109">
        <v>300</v>
      </c>
      <c r="Q1109" s="10" t="str">
        <f>Tabela2[[#This Row],[Coluna5]]</f>
        <v>10/2025</v>
      </c>
      <c r="R1109" s="10" t="str">
        <f>IF(Tabela2[[#This Row],[Coluna9]]&gt;0,"Entrada","Saída")</f>
        <v>Saída</v>
      </c>
      <c r="S1109" s="10" t="str">
        <f>Tabela2[[#This Row],[Coluna8]]</f>
        <v>ALISSON DA SILVA SANTOS</v>
      </c>
      <c r="T1109" s="10" t="e">
        <f>Tabela2[[#This Row],[Coluna72]]</f>
        <v>#REF!</v>
      </c>
      <c r="U1109" s="10">
        <f>SUM(Tabela2[[#This Row],[Coluna9]],Tabela2[[#This Row],[Coluna10]])</f>
        <v>300</v>
      </c>
      <c r="V1109" s="2" t="str">
        <f>Tabela2[[#This Row],[Coluna4]]</f>
        <v>26/10/2025</v>
      </c>
      <c r="W1109" s="2" t="str">
        <f>Tabela2[[#This Row],[Coluna6]]</f>
        <v>26/10/2025</v>
      </c>
    </row>
    <row r="1110" spans="2:23" x14ac:dyDescent="0.2">
      <c r="B1110" t="s">
        <v>18</v>
      </c>
      <c r="C1110" t="s">
        <v>95</v>
      </c>
      <c r="D1110" t="s">
        <v>13</v>
      </c>
      <c r="E1110" s="8" t="s">
        <v>590</v>
      </c>
      <c r="F1110" t="s">
        <v>15</v>
      </c>
      <c r="G1110" s="8" t="s">
        <v>590</v>
      </c>
      <c r="H1110" t="s">
        <v>542</v>
      </c>
      <c r="I1110" t="e">
        <f>VLOOKUP(Tabela2[[#This Row],[Coluna7]],[1]!Tabela1[#All],2,0)</f>
        <v>#REF!</v>
      </c>
      <c r="J1110" t="s">
        <v>591</v>
      </c>
      <c r="L1110">
        <v>250</v>
      </c>
      <c r="Q1110" s="10" t="str">
        <f>Tabela2[[#This Row],[Coluna5]]</f>
        <v>10/2025</v>
      </c>
      <c r="R1110" s="10" t="str">
        <f>IF(Tabela2[[#This Row],[Coluna9]]&gt;0,"Entrada","Saída")</f>
        <v>Saída</v>
      </c>
      <c r="S1110" s="10" t="str">
        <f>Tabela2[[#This Row],[Coluna8]]</f>
        <v>JÓ - JOSENILDA PONCIANO</v>
      </c>
      <c r="T1110" s="10" t="e">
        <f>Tabela2[[#This Row],[Coluna72]]</f>
        <v>#REF!</v>
      </c>
      <c r="U1110" s="10">
        <f>SUM(Tabela2[[#This Row],[Coluna9]],Tabela2[[#This Row],[Coluna10]])</f>
        <v>250</v>
      </c>
      <c r="V1110" s="2" t="str">
        <f>Tabela2[[#This Row],[Coluna4]]</f>
        <v>26/10/2025</v>
      </c>
      <c r="W1110" s="2" t="str">
        <f>Tabela2[[#This Row],[Coluna6]]</f>
        <v>26/10/2025</v>
      </c>
    </row>
    <row r="1111" spans="2:23" x14ac:dyDescent="0.2">
      <c r="B1111" t="s">
        <v>18</v>
      </c>
      <c r="C1111" t="s">
        <v>95</v>
      </c>
      <c r="D1111" t="s">
        <v>13</v>
      </c>
      <c r="E1111" s="8" t="s">
        <v>38</v>
      </c>
      <c r="F1111" t="s">
        <v>15</v>
      </c>
      <c r="G1111" s="8" t="s">
        <v>38</v>
      </c>
      <c r="H1111" t="s">
        <v>443</v>
      </c>
      <c r="I1111" t="e">
        <f>VLOOKUP(Tabela2[[#This Row],[Coluna7]],[1]!Tabela1[#All],2,0)</f>
        <v>#REF!</v>
      </c>
      <c r="J1111" t="s">
        <v>550</v>
      </c>
      <c r="L1111">
        <v>22</v>
      </c>
      <c r="Q1111" s="10" t="str">
        <f>Tabela2[[#This Row],[Coluna5]]</f>
        <v>10/2025</v>
      </c>
      <c r="R1111" s="10" t="str">
        <f>IF(Tabela2[[#This Row],[Coluna9]]&gt;0,"Entrada","Saída")</f>
        <v>Saída</v>
      </c>
      <c r="S1111" s="10" t="str">
        <f>Tabela2[[#This Row],[Coluna8]]</f>
        <v>ALMOÇO THIAGO</v>
      </c>
      <c r="T1111" s="10" t="e">
        <f>Tabela2[[#This Row],[Coluna72]]</f>
        <v>#REF!</v>
      </c>
      <c r="U1111" s="10">
        <f>SUM(Tabela2[[#This Row],[Coluna9]],Tabela2[[#This Row],[Coluna10]])</f>
        <v>22</v>
      </c>
      <c r="V1111" s="2" t="str">
        <f>Tabela2[[#This Row],[Coluna4]]</f>
        <v>27/10/2025</v>
      </c>
      <c r="W1111" s="2" t="str">
        <f>Tabela2[[#This Row],[Coluna6]]</f>
        <v>27/10/2025</v>
      </c>
    </row>
    <row r="1112" spans="2:23" x14ac:dyDescent="0.2">
      <c r="B1112" t="s">
        <v>18</v>
      </c>
      <c r="C1112" t="s">
        <v>95</v>
      </c>
      <c r="D1112" t="s">
        <v>13</v>
      </c>
      <c r="E1112" s="8" t="s">
        <v>201</v>
      </c>
      <c r="F1112" t="s">
        <v>15</v>
      </c>
      <c r="G1112" s="8" t="s">
        <v>201</v>
      </c>
      <c r="H1112" t="s">
        <v>546</v>
      </c>
      <c r="I1112" t="e">
        <f>VLOOKUP(Tabela2[[#This Row],[Coluna7]],[1]!Tabela1[#All],2,0)</f>
        <v>#REF!</v>
      </c>
      <c r="J1112" t="s">
        <v>592</v>
      </c>
      <c r="L1112">
        <v>80</v>
      </c>
      <c r="Q1112" s="10" t="str">
        <f>Tabela2[[#This Row],[Coluna5]]</f>
        <v>10/2025</v>
      </c>
      <c r="R1112" s="10" t="str">
        <f>IF(Tabela2[[#This Row],[Coluna9]]&gt;0,"Entrada","Saída")</f>
        <v>Saída</v>
      </c>
      <c r="S1112" s="10" t="str">
        <f>Tabela2[[#This Row],[Coluna8]]</f>
        <v>NILSON BATISTA - LIMPEZA CALÇADA</v>
      </c>
      <c r="T1112" s="10" t="e">
        <f>Tabela2[[#This Row],[Coluna72]]</f>
        <v>#REF!</v>
      </c>
      <c r="U1112" s="10">
        <f>SUM(Tabela2[[#This Row],[Coluna9]],Tabela2[[#This Row],[Coluna10]])</f>
        <v>80</v>
      </c>
      <c r="V1112" s="2" t="str">
        <f>Tabela2[[#This Row],[Coluna4]]</f>
        <v>28/10/2025</v>
      </c>
      <c r="W1112" s="2" t="str">
        <f>Tabela2[[#This Row],[Coluna6]]</f>
        <v>28/10/2025</v>
      </c>
    </row>
    <row r="1113" spans="2:23" x14ac:dyDescent="0.2">
      <c r="B1113" t="s">
        <v>18</v>
      </c>
      <c r="C1113" t="s">
        <v>95</v>
      </c>
      <c r="D1113" t="s">
        <v>13</v>
      </c>
      <c r="E1113" s="8" t="s">
        <v>127</v>
      </c>
      <c r="F1113" t="s">
        <v>42</v>
      </c>
      <c r="G1113" s="8" t="s">
        <v>127</v>
      </c>
      <c r="H1113" t="s">
        <v>593</v>
      </c>
      <c r="I1113" t="e">
        <f>VLOOKUP(Tabela2[[#This Row],[Coluna7]],[1]!Tabela1[#All],2,0)</f>
        <v>#REF!</v>
      </c>
      <c r="J1113" t="s">
        <v>594</v>
      </c>
      <c r="L1113">
        <v>3000</v>
      </c>
      <c r="Q1113" s="10" t="str">
        <f>Tabela2[[#This Row],[Coluna5]]</f>
        <v>11/2025</v>
      </c>
      <c r="R1113" s="10" t="str">
        <f>IF(Tabela2[[#This Row],[Coluna9]]&gt;0,"Entrada","Saída")</f>
        <v>Saída</v>
      </c>
      <c r="S1113" s="10" t="str">
        <f>Tabela2[[#This Row],[Coluna8]]</f>
        <v>EMPRESTIMO DE THIAGO PARA ELIETE NASCIMENTO DE OLIVEIRA</v>
      </c>
      <c r="T1113" s="10" t="e">
        <f>Tabela2[[#This Row],[Coluna72]]</f>
        <v>#REF!</v>
      </c>
      <c r="U1113" s="10">
        <f>SUM(Tabela2[[#This Row],[Coluna9]],Tabela2[[#This Row],[Coluna10]])</f>
        <v>3000</v>
      </c>
      <c r="V1113" s="2" t="str">
        <f>Tabela2[[#This Row],[Coluna4]]</f>
        <v>29/10/2025</v>
      </c>
      <c r="W1113" s="2" t="str">
        <f>Tabela2[[#This Row],[Coluna6]]</f>
        <v>29/10/2025</v>
      </c>
    </row>
    <row r="1114" spans="2:23" x14ac:dyDescent="0.2">
      <c r="B1114" t="s">
        <v>18</v>
      </c>
      <c r="C1114" t="s">
        <v>95</v>
      </c>
      <c r="D1114" t="s">
        <v>13</v>
      </c>
      <c r="E1114" s="8" t="s">
        <v>127</v>
      </c>
      <c r="F1114" t="s">
        <v>42</v>
      </c>
      <c r="G1114" s="8" t="s">
        <v>127</v>
      </c>
      <c r="H1114" t="s">
        <v>443</v>
      </c>
      <c r="I1114" t="e">
        <f>VLOOKUP(Tabela2[[#This Row],[Coluna7]],[1]!Tabela1[#All],2,0)</f>
        <v>#REF!</v>
      </c>
      <c r="J1114" t="s">
        <v>454</v>
      </c>
      <c r="L1114">
        <v>20</v>
      </c>
      <c r="Q1114" s="10" t="str">
        <f>Tabela2[[#This Row],[Coluna5]]</f>
        <v>11/2025</v>
      </c>
      <c r="R1114" s="10" t="str">
        <f>IF(Tabela2[[#This Row],[Coluna9]]&gt;0,"Entrada","Saída")</f>
        <v>Saída</v>
      </c>
      <c r="S1114" s="10" t="str">
        <f>Tabela2[[#This Row],[Coluna8]]</f>
        <v>ALMOÇO</v>
      </c>
      <c r="T1114" s="10" t="e">
        <f>Tabela2[[#This Row],[Coluna72]]</f>
        <v>#REF!</v>
      </c>
      <c r="U1114" s="10">
        <f>SUM(Tabela2[[#This Row],[Coluna9]],Tabela2[[#This Row],[Coluna10]])</f>
        <v>20</v>
      </c>
      <c r="V1114" s="2" t="str">
        <f>Tabela2[[#This Row],[Coluna4]]</f>
        <v>29/10/2025</v>
      </c>
      <c r="W1114" s="2" t="str">
        <f>Tabela2[[#This Row],[Coluna6]]</f>
        <v>29/10/2025</v>
      </c>
    </row>
    <row r="1115" spans="2:23" x14ac:dyDescent="0.2">
      <c r="B1115" t="s">
        <v>18</v>
      </c>
      <c r="C1115" t="s">
        <v>95</v>
      </c>
      <c r="D1115" t="s">
        <v>13</v>
      </c>
      <c r="E1115" s="8" t="s">
        <v>127</v>
      </c>
      <c r="F1115" t="s">
        <v>42</v>
      </c>
      <c r="G1115" s="8" t="s">
        <v>127</v>
      </c>
      <c r="H1115" t="s">
        <v>595</v>
      </c>
      <c r="I1115" t="e">
        <f>VLOOKUP(Tabela2[[#This Row],[Coluna7]],[1]!Tabela1[#All],2,0)</f>
        <v>#REF!</v>
      </c>
      <c r="J1115" t="s">
        <v>596</v>
      </c>
      <c r="L1115">
        <v>377.4</v>
      </c>
      <c r="Q1115" s="10" t="str">
        <f>Tabela2[[#This Row],[Coluna5]]</f>
        <v>11/2025</v>
      </c>
      <c r="R1115" s="10" t="str">
        <f>IF(Tabela2[[#This Row],[Coluna9]]&gt;0,"Entrada","Saída")</f>
        <v>Saída</v>
      </c>
      <c r="S1115" s="10" t="str">
        <f>Tabela2[[#This Row],[Coluna8]]</f>
        <v>EDIMAR PINHEIRO DE SOUSA</v>
      </c>
      <c r="T1115" s="10" t="e">
        <f>Tabela2[[#This Row],[Coluna72]]</f>
        <v>#REF!</v>
      </c>
      <c r="U1115" s="10">
        <f>SUM(Tabela2[[#This Row],[Coluna9]],Tabela2[[#This Row],[Coluna10]])</f>
        <v>377.4</v>
      </c>
      <c r="V1115" s="2" t="str">
        <f>Tabela2[[#This Row],[Coluna4]]</f>
        <v>29/10/2025</v>
      </c>
      <c r="W1115" s="2" t="str">
        <f>Tabela2[[#This Row],[Coluna6]]</f>
        <v>29/10/2025</v>
      </c>
    </row>
    <row r="1116" spans="2:23" x14ac:dyDescent="0.2">
      <c r="B1116" t="s">
        <v>18</v>
      </c>
      <c r="C1116" t="s">
        <v>95</v>
      </c>
      <c r="D1116" t="s">
        <v>13</v>
      </c>
      <c r="E1116" s="8" t="s">
        <v>208</v>
      </c>
      <c r="F1116" t="s">
        <v>15</v>
      </c>
      <c r="G1116" s="8" t="s">
        <v>208</v>
      </c>
      <c r="H1116" t="s">
        <v>597</v>
      </c>
      <c r="I1116" t="e">
        <f>VLOOKUP(Tabela2[[#This Row],[Coluna7]],[1]!Tabela1[#All],2,0)</f>
        <v>#REF!</v>
      </c>
      <c r="J1116" t="s">
        <v>598</v>
      </c>
      <c r="L1116">
        <v>100</v>
      </c>
      <c r="Q1116" s="10" t="str">
        <f>Tabela2[[#This Row],[Coluna5]]</f>
        <v>10/2025</v>
      </c>
      <c r="R1116" s="10" t="str">
        <f>IF(Tabela2[[#This Row],[Coluna9]]&gt;0,"Entrada","Saída")</f>
        <v>Saída</v>
      </c>
      <c r="S1116" s="10" t="str">
        <f>Tabela2[[#This Row],[Coluna8]]</f>
        <v>MARCOS AURÉLIO OLIVEIRA DE MELO FILHO</v>
      </c>
      <c r="T1116" s="10" t="e">
        <f>Tabela2[[#This Row],[Coluna72]]</f>
        <v>#REF!</v>
      </c>
      <c r="U1116" s="10">
        <f>SUM(Tabela2[[#This Row],[Coluna9]],Tabela2[[#This Row],[Coluna10]])</f>
        <v>100</v>
      </c>
      <c r="V1116" s="2" t="str">
        <f>Tabela2[[#This Row],[Coluna4]]</f>
        <v>30/10/2025</v>
      </c>
      <c r="W1116" s="2" t="str">
        <f>Tabela2[[#This Row],[Coluna6]]</f>
        <v>30/10/2025</v>
      </c>
    </row>
    <row r="1117" spans="2:23" x14ac:dyDescent="0.2">
      <c r="B1117" t="s">
        <v>18</v>
      </c>
      <c r="C1117" t="s">
        <v>95</v>
      </c>
      <c r="D1117" t="s">
        <v>13</v>
      </c>
      <c r="E1117" s="8" t="s">
        <v>208</v>
      </c>
      <c r="F1117" t="s">
        <v>42</v>
      </c>
      <c r="G1117" s="8" t="s">
        <v>208</v>
      </c>
      <c r="H1117" t="s">
        <v>570</v>
      </c>
      <c r="I1117" t="e">
        <f>VLOOKUP(Tabela2[[#This Row],[Coluna7]],[1]!Tabela1[#All],2,0)</f>
        <v>#REF!</v>
      </c>
      <c r="L1117">
        <v>26.9</v>
      </c>
      <c r="Q1117" s="10" t="str">
        <f>Tabela2[[#This Row],[Coluna5]]</f>
        <v>11/2025</v>
      </c>
      <c r="R1117" s="10" t="str">
        <f>IF(Tabela2[[#This Row],[Coluna9]]&gt;0,"Entrada","Saída")</f>
        <v>Saída</v>
      </c>
      <c r="S1117" s="10">
        <f>Tabela2[[#This Row],[Coluna8]]</f>
        <v>0</v>
      </c>
      <c r="T1117" s="10" t="e">
        <f>Tabela2[[#This Row],[Coluna72]]</f>
        <v>#REF!</v>
      </c>
      <c r="U1117" s="10">
        <f>SUM(Tabela2[[#This Row],[Coluna9]],Tabela2[[#This Row],[Coluna10]])</f>
        <v>26.9</v>
      </c>
      <c r="V1117" s="2" t="str">
        <f>Tabela2[[#This Row],[Coluna4]]</f>
        <v>30/10/2025</v>
      </c>
      <c r="W1117" s="2" t="str">
        <f>Tabela2[[#This Row],[Coluna6]]</f>
        <v>30/10/2025</v>
      </c>
    </row>
    <row r="1118" spans="2:23" x14ac:dyDescent="0.2">
      <c r="B1118" t="s">
        <v>18</v>
      </c>
      <c r="C1118" t="s">
        <v>95</v>
      </c>
      <c r="D1118" t="s">
        <v>13</v>
      </c>
      <c r="E1118" s="8" t="s">
        <v>208</v>
      </c>
      <c r="F1118" t="s">
        <v>15</v>
      </c>
      <c r="G1118" s="8" t="s">
        <v>208</v>
      </c>
      <c r="H1118" t="s">
        <v>570</v>
      </c>
      <c r="I1118" t="e">
        <f>VLOOKUP(Tabela2[[#This Row],[Coluna7]],[1]!Tabela1[#All],2,0)</f>
        <v>#REF!</v>
      </c>
      <c r="L1118">
        <v>5</v>
      </c>
      <c r="Q1118" s="10" t="str">
        <f>Tabela2[[#This Row],[Coluna5]]</f>
        <v>10/2025</v>
      </c>
      <c r="R1118" s="10" t="str">
        <f>IF(Tabela2[[#This Row],[Coluna9]]&gt;0,"Entrada","Saída")</f>
        <v>Saída</v>
      </c>
      <c r="S1118" s="10">
        <f>Tabela2[[#This Row],[Coluna8]]</f>
        <v>0</v>
      </c>
      <c r="T1118" s="10" t="e">
        <f>Tabela2[[#This Row],[Coluna72]]</f>
        <v>#REF!</v>
      </c>
      <c r="U1118" s="10">
        <f>SUM(Tabela2[[#This Row],[Coluna9]],Tabela2[[#This Row],[Coluna10]])</f>
        <v>5</v>
      </c>
      <c r="V1118" s="2" t="str">
        <f>Tabela2[[#This Row],[Coluna4]]</f>
        <v>30/10/2025</v>
      </c>
      <c r="W1118" s="2" t="str">
        <f>Tabela2[[#This Row],[Coluna6]]</f>
        <v>30/10/2025</v>
      </c>
    </row>
    <row r="1119" spans="2:23" x14ac:dyDescent="0.2">
      <c r="B1119" t="s">
        <v>18</v>
      </c>
      <c r="C1119" t="s">
        <v>95</v>
      </c>
      <c r="D1119" t="s">
        <v>13</v>
      </c>
      <c r="E1119" s="8" t="s">
        <v>214</v>
      </c>
      <c r="F1119" t="s">
        <v>15</v>
      </c>
      <c r="G1119" s="8" t="s">
        <v>214</v>
      </c>
      <c r="H1119" t="s">
        <v>597</v>
      </c>
      <c r="I1119" t="e">
        <f>VLOOKUP(Tabela2[[#This Row],[Coluna7]],[1]!Tabela1[#All],2,0)</f>
        <v>#REF!</v>
      </c>
      <c r="J1119" t="s">
        <v>599</v>
      </c>
      <c r="L1119">
        <v>300</v>
      </c>
      <c r="Q1119" s="10" t="str">
        <f>Tabela2[[#This Row],[Coluna5]]</f>
        <v>10/2025</v>
      </c>
      <c r="R1119" s="10" t="str">
        <f>IF(Tabela2[[#This Row],[Coluna9]]&gt;0,"Entrada","Saída")</f>
        <v>Saída</v>
      </c>
      <c r="S1119" s="10" t="str">
        <f>Tabela2[[#This Row],[Coluna8]]</f>
        <v>VALDECI MARCULINO DO NASCIMENTO JUNIOR</v>
      </c>
      <c r="T1119" s="10" t="e">
        <f>Tabela2[[#This Row],[Coluna72]]</f>
        <v>#REF!</v>
      </c>
      <c r="U1119" s="10">
        <f>SUM(Tabela2[[#This Row],[Coluna9]],Tabela2[[#This Row],[Coluna10]])</f>
        <v>300</v>
      </c>
      <c r="V1119" s="2" t="str">
        <f>Tabela2[[#This Row],[Coluna4]]</f>
        <v>31/10/2025</v>
      </c>
      <c r="W1119" s="2" t="str">
        <f>Tabela2[[#This Row],[Coluna6]]</f>
        <v>31/10/2025</v>
      </c>
    </row>
    <row r="1120" spans="2:23" x14ac:dyDescent="0.2">
      <c r="B1120" t="s">
        <v>18</v>
      </c>
      <c r="C1120" t="s">
        <v>95</v>
      </c>
      <c r="D1120" t="s">
        <v>13</v>
      </c>
      <c r="E1120" s="8" t="s">
        <v>214</v>
      </c>
      <c r="F1120" t="s">
        <v>15</v>
      </c>
      <c r="G1120" s="8" t="s">
        <v>41</v>
      </c>
      <c r="H1120" t="s">
        <v>600</v>
      </c>
      <c r="I1120" t="e">
        <f>VLOOKUP(Tabela2[[#This Row],[Coluna7]],[1]!Tabela1[#All],2,0)</f>
        <v>#REF!</v>
      </c>
      <c r="J1120" t="s">
        <v>601</v>
      </c>
      <c r="L1120">
        <v>250</v>
      </c>
      <c r="Q1120" s="10" t="str">
        <f>Tabela2[[#This Row],[Coluna5]]</f>
        <v>10/2025</v>
      </c>
      <c r="R1120" s="10" t="str">
        <f>IF(Tabela2[[#This Row],[Coluna9]]&gt;0,"Entrada","Saída")</f>
        <v>Saída</v>
      </c>
      <c r="S1120" s="10" t="str">
        <f>Tabela2[[#This Row],[Coluna8]]</f>
        <v>FALCÃO</v>
      </c>
      <c r="T1120" s="10" t="e">
        <f>Tabela2[[#This Row],[Coluna72]]</f>
        <v>#REF!</v>
      </c>
      <c r="U1120" s="10">
        <f>SUM(Tabela2[[#This Row],[Coluna9]],Tabela2[[#This Row],[Coluna10]])</f>
        <v>250</v>
      </c>
      <c r="V1120" s="2" t="str">
        <f>Tabela2[[#This Row],[Coluna4]]</f>
        <v>31/10/2025</v>
      </c>
      <c r="W1120" s="2" t="str">
        <f>Tabela2[[#This Row],[Coluna6]]</f>
        <v>04/11/2025</v>
      </c>
    </row>
    <row r="1121" spans="2:23" x14ac:dyDescent="0.2">
      <c r="B1121" t="s">
        <v>12</v>
      </c>
      <c r="C1121" t="s">
        <v>95</v>
      </c>
      <c r="D1121" t="s">
        <v>13</v>
      </c>
      <c r="E1121" s="8" t="s">
        <v>214</v>
      </c>
      <c r="F1121" t="s">
        <v>15</v>
      </c>
      <c r="G1121" s="8" t="s">
        <v>214</v>
      </c>
      <c r="H1121" t="s">
        <v>570</v>
      </c>
      <c r="I1121" t="e">
        <f>VLOOKUP(Tabela2[[#This Row],[Coluna7]],[1]!Tabela1[#All],2,0)</f>
        <v>#REF!</v>
      </c>
      <c r="L1121">
        <v>40</v>
      </c>
      <c r="Q1121" s="10" t="str">
        <f>Tabela2[[#This Row],[Coluna5]]</f>
        <v>10/2025</v>
      </c>
      <c r="R1121" s="10" t="str">
        <f>IF(Tabela2[[#This Row],[Coluna9]]&gt;0,"Entrada","Saída")</f>
        <v>Saída</v>
      </c>
      <c r="S1121" s="10">
        <f>Tabela2[[#This Row],[Coluna8]]</f>
        <v>0</v>
      </c>
      <c r="T1121" s="10" t="e">
        <f>Tabela2[[#This Row],[Coluna72]]</f>
        <v>#REF!</v>
      </c>
      <c r="U1121" s="10">
        <f>SUM(Tabela2[[#This Row],[Coluna9]],Tabela2[[#This Row],[Coluna10]])</f>
        <v>40</v>
      </c>
      <c r="V1121" s="2" t="str">
        <f>Tabela2[[#This Row],[Coluna4]]</f>
        <v>31/10/2025</v>
      </c>
      <c r="W1121" s="2" t="str">
        <f>Tabela2[[#This Row],[Coluna6]]</f>
        <v>31/10/2025</v>
      </c>
    </row>
    <row r="1122" spans="2:23" x14ac:dyDescent="0.2">
      <c r="B1122" t="s">
        <v>18</v>
      </c>
      <c r="C1122" t="s">
        <v>95</v>
      </c>
      <c r="D1122" t="s">
        <v>13</v>
      </c>
      <c r="E1122" s="8" t="s">
        <v>474</v>
      </c>
      <c r="F1122" t="s">
        <v>42</v>
      </c>
      <c r="G1122" s="8" t="s">
        <v>474</v>
      </c>
      <c r="H1122" t="s">
        <v>542</v>
      </c>
      <c r="I1122" t="e">
        <f>VLOOKUP(Tabela2[[#This Row],[Coluna7]],[1]!Tabela1[#All],2,0)</f>
        <v>#REF!</v>
      </c>
      <c r="J1122" t="s">
        <v>602</v>
      </c>
      <c r="L1122">
        <v>200</v>
      </c>
      <c r="Q1122" s="10" t="str">
        <f>Tabela2[[#This Row],[Coluna5]]</f>
        <v>11/2025</v>
      </c>
      <c r="R1122" s="10" t="str">
        <f>IF(Tabela2[[#This Row],[Coluna9]]&gt;0,"Entrada","Saída")</f>
        <v>Saída</v>
      </c>
      <c r="S1122" s="10" t="str">
        <f>Tabela2[[#This Row],[Coluna8]]</f>
        <v>REINALDO SANTANA CABRAL</v>
      </c>
      <c r="T1122" s="10" t="e">
        <f>Tabela2[[#This Row],[Coluna72]]</f>
        <v>#REF!</v>
      </c>
      <c r="U1122" s="10">
        <f>SUM(Tabela2[[#This Row],[Coluna9]],Tabela2[[#This Row],[Coluna10]])</f>
        <v>200</v>
      </c>
      <c r="V1122" s="2" t="str">
        <f>Tabela2[[#This Row],[Coluna4]]</f>
        <v>01/11/2025</v>
      </c>
      <c r="W1122" s="2" t="str">
        <f>Tabela2[[#This Row],[Coluna6]]</f>
        <v>01/11/2025</v>
      </c>
    </row>
    <row r="1123" spans="2:23" x14ac:dyDescent="0.2">
      <c r="B1123" t="s">
        <v>18</v>
      </c>
      <c r="C1123" t="s">
        <v>95</v>
      </c>
      <c r="D1123" t="s">
        <v>13</v>
      </c>
      <c r="E1123" s="8" t="s">
        <v>474</v>
      </c>
      <c r="F1123" t="s">
        <v>42</v>
      </c>
      <c r="G1123" s="8" t="s">
        <v>474</v>
      </c>
      <c r="H1123" t="s">
        <v>546</v>
      </c>
      <c r="I1123" t="e">
        <f>VLOOKUP(Tabela2[[#This Row],[Coluna7]],[1]!Tabela1[#All],2,0)</f>
        <v>#REF!</v>
      </c>
      <c r="J1123" t="s">
        <v>584</v>
      </c>
      <c r="L1123">
        <v>800</v>
      </c>
      <c r="Q1123" s="10" t="str">
        <f>Tabela2[[#This Row],[Coluna5]]</f>
        <v>11/2025</v>
      </c>
      <c r="R1123" s="10" t="str">
        <f>IF(Tabela2[[#This Row],[Coluna9]]&gt;0,"Entrada","Saída")</f>
        <v>Saída</v>
      </c>
      <c r="S1123" s="10" t="str">
        <f>Tabela2[[#This Row],[Coluna8]]</f>
        <v>ELIEL ANTONIO DA SILVA</v>
      </c>
      <c r="T1123" s="10" t="e">
        <f>Tabela2[[#This Row],[Coluna72]]</f>
        <v>#REF!</v>
      </c>
      <c r="U1123" s="10">
        <f>SUM(Tabela2[[#This Row],[Coluna9]],Tabela2[[#This Row],[Coluna10]])</f>
        <v>800</v>
      </c>
      <c r="V1123" s="2" t="str">
        <f>Tabela2[[#This Row],[Coluna4]]</f>
        <v>01/11/2025</v>
      </c>
      <c r="W1123" s="2" t="str">
        <f>Tabela2[[#This Row],[Coluna6]]</f>
        <v>01/11/2025</v>
      </c>
    </row>
    <row r="1124" spans="2:23" x14ac:dyDescent="0.2">
      <c r="B1124" t="s">
        <v>18</v>
      </c>
      <c r="C1124" t="s">
        <v>95</v>
      </c>
      <c r="D1124" t="s">
        <v>13</v>
      </c>
      <c r="E1124" s="8" t="s">
        <v>216</v>
      </c>
      <c r="F1124" t="s">
        <v>42</v>
      </c>
      <c r="G1124" s="8" t="s">
        <v>216</v>
      </c>
      <c r="H1124" t="s">
        <v>546</v>
      </c>
      <c r="I1124" t="e">
        <f>VLOOKUP(Tabela2[[#This Row],[Coluna7]],[1]!Tabela1[#All],2,0)</f>
        <v>#REF!</v>
      </c>
      <c r="J1124" t="s">
        <v>584</v>
      </c>
      <c r="L1124">
        <v>300</v>
      </c>
      <c r="Q1124" s="10" t="str">
        <f>Tabela2[[#This Row],[Coluna5]]</f>
        <v>11/2025</v>
      </c>
      <c r="R1124" s="10" t="str">
        <f>IF(Tabela2[[#This Row],[Coluna9]]&gt;0,"Entrada","Saída")</f>
        <v>Saída</v>
      </c>
      <c r="S1124" s="10" t="str">
        <f>Tabela2[[#This Row],[Coluna8]]</f>
        <v>ELIEL ANTONIO DA SILVA</v>
      </c>
      <c r="T1124" s="10" t="e">
        <f>Tabela2[[#This Row],[Coluna72]]</f>
        <v>#REF!</v>
      </c>
      <c r="U1124" s="10">
        <f>SUM(Tabela2[[#This Row],[Coluna9]],Tabela2[[#This Row],[Coluna10]])</f>
        <v>300</v>
      </c>
      <c r="V1124" s="2" t="str">
        <f>Tabela2[[#This Row],[Coluna4]]</f>
        <v>02/11/2025</v>
      </c>
      <c r="W1124" s="2" t="str">
        <f>Tabela2[[#This Row],[Coluna6]]</f>
        <v>02/11/2025</v>
      </c>
    </row>
    <row r="1125" spans="2:23" x14ac:dyDescent="0.2">
      <c r="B1125" t="s">
        <v>18</v>
      </c>
      <c r="C1125" t="s">
        <v>95</v>
      </c>
      <c r="D1125" t="s">
        <v>13</v>
      </c>
      <c r="E1125" s="8" t="s">
        <v>52</v>
      </c>
      <c r="F1125" t="s">
        <v>42</v>
      </c>
      <c r="G1125" s="8" t="s">
        <v>52</v>
      </c>
      <c r="H1125" t="s">
        <v>551</v>
      </c>
      <c r="I1125" t="e">
        <f>VLOOKUP(Tabela2[[#This Row],[Coluna7]],[1]!Tabela1[#All],2,0)</f>
        <v>#REF!</v>
      </c>
      <c r="J1125" t="s">
        <v>603</v>
      </c>
      <c r="L1125">
        <v>60</v>
      </c>
      <c r="N1125" t="s">
        <v>604</v>
      </c>
      <c r="Q1125" s="10" t="str">
        <f>Tabela2[[#This Row],[Coluna5]]</f>
        <v>11/2025</v>
      </c>
      <c r="R1125" s="10" t="str">
        <f>IF(Tabela2[[#This Row],[Coluna9]]&gt;0,"Entrada","Saída")</f>
        <v>Saída</v>
      </c>
      <c r="S1125" s="10" t="str">
        <f>Tabela2[[#This Row],[Coluna8]]</f>
        <v>GASOLINA ENVIADA PARA JÓ</v>
      </c>
      <c r="T1125" s="10" t="e">
        <f>Tabela2[[#This Row],[Coluna72]]</f>
        <v>#REF!</v>
      </c>
      <c r="U1125" s="10">
        <f>SUM(Tabela2[[#This Row],[Coluna9]],Tabela2[[#This Row],[Coluna10]])</f>
        <v>60</v>
      </c>
      <c r="V1125" s="2" t="str">
        <f>Tabela2[[#This Row],[Coluna4]]</f>
        <v>03/11/2025</v>
      </c>
      <c r="W1125" s="2" t="str">
        <f>Tabela2[[#This Row],[Coluna6]]</f>
        <v>03/11/2025</v>
      </c>
    </row>
    <row r="1126" spans="2:23" x14ac:dyDescent="0.2">
      <c r="B1126" t="s">
        <v>18</v>
      </c>
      <c r="C1126" t="s">
        <v>95</v>
      </c>
      <c r="D1126" t="s">
        <v>13</v>
      </c>
      <c r="E1126" s="8" t="s">
        <v>52</v>
      </c>
      <c r="F1126" t="s">
        <v>42</v>
      </c>
      <c r="G1126" s="8" t="s">
        <v>52</v>
      </c>
      <c r="H1126" t="s">
        <v>443</v>
      </c>
      <c r="I1126" t="e">
        <f>VLOOKUP(Tabela2[[#This Row],[Coluna7]],[1]!Tabela1[#All],2,0)</f>
        <v>#REF!</v>
      </c>
      <c r="J1126" t="s">
        <v>550</v>
      </c>
      <c r="L1126">
        <v>22</v>
      </c>
      <c r="Q1126" s="10" t="str">
        <f>Tabela2[[#This Row],[Coluna5]]</f>
        <v>11/2025</v>
      </c>
      <c r="R1126" s="10" t="str">
        <f>IF(Tabela2[[#This Row],[Coluna9]]&gt;0,"Entrada","Saída")</f>
        <v>Saída</v>
      </c>
      <c r="S1126" s="10" t="str">
        <f>Tabela2[[#This Row],[Coluna8]]</f>
        <v>ALMOÇO THIAGO</v>
      </c>
      <c r="T1126" s="10" t="e">
        <f>Tabela2[[#This Row],[Coluna72]]</f>
        <v>#REF!</v>
      </c>
      <c r="U1126" s="10">
        <f>SUM(Tabela2[[#This Row],[Coluna9]],Tabela2[[#This Row],[Coluna10]])</f>
        <v>22</v>
      </c>
      <c r="V1126" s="2" t="str">
        <f>Tabela2[[#This Row],[Coluna4]]</f>
        <v>03/11/2025</v>
      </c>
      <c r="W1126" s="2" t="str">
        <f>Tabela2[[#This Row],[Coluna6]]</f>
        <v>03/11/2025</v>
      </c>
    </row>
    <row r="1127" spans="2:23" x14ac:dyDescent="0.2">
      <c r="B1127" t="s">
        <v>18</v>
      </c>
      <c r="C1127" t="s">
        <v>95</v>
      </c>
      <c r="D1127" t="s">
        <v>13</v>
      </c>
      <c r="E1127" s="8" t="s">
        <v>52</v>
      </c>
      <c r="F1127" t="s">
        <v>42</v>
      </c>
      <c r="G1127" s="8" t="s">
        <v>41</v>
      </c>
      <c r="H1127" t="s">
        <v>538</v>
      </c>
      <c r="I1127" t="e">
        <f>VLOOKUP(Tabela2[[#This Row],[Coluna7]],[1]!Tabela1[#All],2,0)</f>
        <v>#REF!</v>
      </c>
      <c r="J1127" t="s">
        <v>605</v>
      </c>
      <c r="L1127">
        <v>447</v>
      </c>
      <c r="Q1127" s="10" t="str">
        <f>Tabela2[[#This Row],[Coluna5]]</f>
        <v>11/2025</v>
      </c>
      <c r="R1127" s="10" t="str">
        <f>IF(Tabela2[[#This Row],[Coluna9]]&gt;0,"Entrada","Saída")</f>
        <v>Saída</v>
      </c>
      <c r="S1127" s="10" t="str">
        <f>Tabela2[[#This Row],[Coluna8]]</f>
        <v>1/10 GELADEIRA LUZIMAR</v>
      </c>
      <c r="T1127" s="10" t="e">
        <f>Tabela2[[#This Row],[Coluna72]]</f>
        <v>#REF!</v>
      </c>
      <c r="U1127" s="10">
        <f>SUM(Tabela2[[#This Row],[Coluna9]],Tabela2[[#This Row],[Coluna10]])</f>
        <v>447</v>
      </c>
      <c r="V1127" s="2" t="str">
        <f>Tabela2[[#This Row],[Coluna4]]</f>
        <v>03/11/2025</v>
      </c>
      <c r="W1127" s="2" t="str">
        <f>Tabela2[[#This Row],[Coluna6]]</f>
        <v>04/11/2025</v>
      </c>
    </row>
    <row r="1128" spans="2:23" x14ac:dyDescent="0.2">
      <c r="B1128" t="s">
        <v>27</v>
      </c>
      <c r="C1128" t="s">
        <v>95</v>
      </c>
      <c r="D1128" t="s">
        <v>13</v>
      </c>
      <c r="E1128" s="8" t="s">
        <v>52</v>
      </c>
      <c r="F1128" t="s">
        <v>42</v>
      </c>
      <c r="G1128" s="8" t="s">
        <v>52</v>
      </c>
      <c r="H1128" t="s">
        <v>595</v>
      </c>
      <c r="I1128" t="e">
        <f>VLOOKUP(Tabela2[[#This Row],[Coluna7]],[1]!Tabela1[#All],2,0)</f>
        <v>#REF!</v>
      </c>
      <c r="J1128" t="s">
        <v>606</v>
      </c>
      <c r="L1128">
        <v>14.15</v>
      </c>
      <c r="Q1128" s="10" t="str">
        <f>Tabela2[[#This Row],[Coluna5]]</f>
        <v>11/2025</v>
      </c>
      <c r="R1128" s="10" t="str">
        <f>IF(Tabela2[[#This Row],[Coluna9]]&gt;0,"Entrada","Saída")</f>
        <v>Saída</v>
      </c>
      <c r="S1128" s="10" t="str">
        <f>Tabela2[[#This Row],[Coluna8]]</f>
        <v>CARINA ROLIM</v>
      </c>
      <c r="T1128" s="10" t="e">
        <f>Tabela2[[#This Row],[Coluna72]]</f>
        <v>#REF!</v>
      </c>
      <c r="U1128" s="10">
        <f>SUM(Tabela2[[#This Row],[Coluna9]],Tabela2[[#This Row],[Coluna10]])</f>
        <v>14.15</v>
      </c>
      <c r="V1128" s="2" t="str">
        <f>Tabela2[[#This Row],[Coluna4]]</f>
        <v>03/11/2025</v>
      </c>
      <c r="W1128" s="2" t="str">
        <f>Tabela2[[#This Row],[Coluna6]]</f>
        <v>03/11/2025</v>
      </c>
    </row>
    <row r="1129" spans="2:23" x14ac:dyDescent="0.2">
      <c r="B1129" t="s">
        <v>12</v>
      </c>
      <c r="C1129" t="s">
        <v>95</v>
      </c>
      <c r="D1129" t="s">
        <v>13</v>
      </c>
      <c r="E1129" s="8" t="s">
        <v>52</v>
      </c>
      <c r="F1129" t="s">
        <v>42</v>
      </c>
      <c r="G1129" s="8" t="s">
        <v>52</v>
      </c>
      <c r="H1129" t="s">
        <v>542</v>
      </c>
      <c r="I1129" t="e">
        <f>VLOOKUP(Tabela2[[#This Row],[Coluna7]],[1]!Tabela1[#All],2,0)</f>
        <v>#REF!</v>
      </c>
      <c r="J1129" t="s">
        <v>583</v>
      </c>
      <c r="L1129">
        <v>150</v>
      </c>
      <c r="Q1129" s="10" t="str">
        <f>Tabela2[[#This Row],[Coluna5]]</f>
        <v>11/2025</v>
      </c>
      <c r="R1129" s="10" t="str">
        <f>IF(Tabela2[[#This Row],[Coluna9]]&gt;0,"Entrada","Saída")</f>
        <v>Saída</v>
      </c>
      <c r="S1129" s="10" t="str">
        <f>Tabela2[[#This Row],[Coluna8]]</f>
        <v>DIEGO AIRES MORENO</v>
      </c>
      <c r="T1129" s="10" t="e">
        <f>Tabela2[[#This Row],[Coluna72]]</f>
        <v>#REF!</v>
      </c>
      <c r="U1129" s="10">
        <f>SUM(Tabela2[[#This Row],[Coluna9]],Tabela2[[#This Row],[Coluna10]])</f>
        <v>150</v>
      </c>
      <c r="V1129" s="2" t="str">
        <f>Tabela2[[#This Row],[Coluna4]]</f>
        <v>03/11/2025</v>
      </c>
      <c r="W1129" s="2" t="str">
        <f>Tabela2[[#This Row],[Coluna6]]</f>
        <v>03/11/2025</v>
      </c>
    </row>
    <row r="1130" spans="2:23" x14ac:dyDescent="0.2">
      <c r="B1130" t="s">
        <v>12</v>
      </c>
      <c r="C1130" t="s">
        <v>110</v>
      </c>
      <c r="D1130" t="s">
        <v>13</v>
      </c>
      <c r="E1130" s="8" t="s">
        <v>52</v>
      </c>
      <c r="F1130" t="s">
        <v>42</v>
      </c>
      <c r="G1130" s="8" t="s">
        <v>52</v>
      </c>
      <c r="H1130" t="s">
        <v>551</v>
      </c>
      <c r="I1130" t="e">
        <f>VLOOKUP(Tabela2[[#This Row],[Coluna7]],[1]!Tabela1[#All],2,0)</f>
        <v>#REF!</v>
      </c>
      <c r="J1130" t="s">
        <v>607</v>
      </c>
      <c r="L1130">
        <v>17.34</v>
      </c>
      <c r="M1130" t="s">
        <v>152</v>
      </c>
      <c r="N1130" t="s">
        <v>153</v>
      </c>
      <c r="Q1130" s="10" t="str">
        <f>Tabela2[[#This Row],[Coluna5]]</f>
        <v>11/2025</v>
      </c>
      <c r="R1130" s="10" t="str">
        <f>IF(Tabela2[[#This Row],[Coluna9]]&gt;0,"Entrada","Saída")</f>
        <v>Saída</v>
      </c>
      <c r="S1130" s="10" t="str">
        <f>Tabela2[[#This Row],[Coluna8]]</f>
        <v>GUIA DE CUSTAS</v>
      </c>
      <c r="T1130" s="10" t="e">
        <f>Tabela2[[#This Row],[Coluna72]]</f>
        <v>#REF!</v>
      </c>
      <c r="U1130" s="10">
        <f>SUM(Tabela2[[#This Row],[Coluna9]],Tabela2[[#This Row],[Coluna10]])</f>
        <v>17.34</v>
      </c>
      <c r="V1130" s="2" t="str">
        <f>Tabela2[[#This Row],[Coluna4]]</f>
        <v>03/11/2025</v>
      </c>
      <c r="W1130" s="2" t="str">
        <f>Tabela2[[#This Row],[Coluna6]]</f>
        <v>03/11/2025</v>
      </c>
    </row>
    <row r="1131" spans="2:23" x14ac:dyDescent="0.2">
      <c r="B1131" t="s">
        <v>18</v>
      </c>
      <c r="C1131" t="s">
        <v>95</v>
      </c>
      <c r="D1131" t="s">
        <v>13</v>
      </c>
      <c r="E1131" s="8" t="s">
        <v>41</v>
      </c>
      <c r="F1131" t="s">
        <v>42</v>
      </c>
      <c r="G1131" s="8" t="s">
        <v>41</v>
      </c>
      <c r="H1131" t="s">
        <v>546</v>
      </c>
      <c r="I1131" t="e">
        <f>VLOOKUP(Tabela2[[#This Row],[Coluna7]],[1]!Tabela1[#All],2,0)</f>
        <v>#REF!</v>
      </c>
      <c r="J1131" t="s">
        <v>584</v>
      </c>
      <c r="L1131">
        <v>200</v>
      </c>
      <c r="Q1131" s="10" t="str">
        <f>Tabela2[[#This Row],[Coluna5]]</f>
        <v>11/2025</v>
      </c>
      <c r="R1131" s="10" t="str">
        <f>IF(Tabela2[[#This Row],[Coluna9]]&gt;0,"Entrada","Saída")</f>
        <v>Saída</v>
      </c>
      <c r="S1131" s="10" t="str">
        <f>Tabela2[[#This Row],[Coluna8]]</f>
        <v>ELIEL ANTONIO DA SILVA</v>
      </c>
      <c r="T1131" s="10" t="e">
        <f>Tabela2[[#This Row],[Coluna72]]</f>
        <v>#REF!</v>
      </c>
      <c r="U1131" s="10">
        <f>SUM(Tabela2[[#This Row],[Coluna9]],Tabela2[[#This Row],[Coluna10]])</f>
        <v>200</v>
      </c>
      <c r="V1131" s="2" t="str">
        <f>Tabela2[[#This Row],[Coluna4]]</f>
        <v>04/11/2025</v>
      </c>
      <c r="W1131" s="2" t="str">
        <f>Tabela2[[#This Row],[Coluna6]]</f>
        <v>04/11/2025</v>
      </c>
    </row>
    <row r="1132" spans="2:23" x14ac:dyDescent="0.2">
      <c r="B1132" t="s">
        <v>18</v>
      </c>
      <c r="C1132" t="s">
        <v>95</v>
      </c>
      <c r="D1132" t="s">
        <v>13</v>
      </c>
      <c r="E1132" s="8" t="s">
        <v>41</v>
      </c>
      <c r="F1132" t="s">
        <v>42</v>
      </c>
      <c r="G1132" s="8" t="s">
        <v>41</v>
      </c>
      <c r="H1132" t="s">
        <v>538</v>
      </c>
      <c r="I1132" t="e">
        <f>VLOOKUP(Tabela2[[#This Row],[Coluna7]],[1]!Tabela1[#All],2,0)</f>
        <v>#REF!</v>
      </c>
      <c r="J1132" t="s">
        <v>608</v>
      </c>
      <c r="L1132">
        <v>171.69</v>
      </c>
      <c r="Q1132" s="10" t="str">
        <f>Tabela2[[#This Row],[Coluna5]]</f>
        <v>11/2025</v>
      </c>
      <c r="R1132" s="10" t="str">
        <f>IF(Tabela2[[#This Row],[Coluna9]]&gt;0,"Entrada","Saída")</f>
        <v>Saída</v>
      </c>
      <c r="S1132" s="10" t="str">
        <f>Tabela2[[#This Row],[Coluna8]]</f>
        <v>PAGAMENTO REALIZADO POR DRA PATRICIA</v>
      </c>
      <c r="T1132" s="10" t="e">
        <f>Tabela2[[#This Row],[Coluna72]]</f>
        <v>#REF!</v>
      </c>
      <c r="U1132" s="10">
        <f>SUM(Tabela2[[#This Row],[Coluna9]],Tabela2[[#This Row],[Coluna10]])</f>
        <v>171.69</v>
      </c>
      <c r="V1132" s="2" t="str">
        <f>Tabela2[[#This Row],[Coluna4]]</f>
        <v>04/11/2025</v>
      </c>
      <c r="W1132" s="2" t="str">
        <f>Tabela2[[#This Row],[Coluna6]]</f>
        <v>04/11/2025</v>
      </c>
    </row>
    <row r="1133" spans="2:23" x14ac:dyDescent="0.2">
      <c r="B1133" t="s">
        <v>18</v>
      </c>
      <c r="C1133" t="s">
        <v>95</v>
      </c>
      <c r="D1133" t="s">
        <v>13</v>
      </c>
      <c r="E1133" s="8" t="s">
        <v>41</v>
      </c>
      <c r="F1133" t="s">
        <v>42</v>
      </c>
      <c r="G1133" s="8" t="s">
        <v>41</v>
      </c>
      <c r="H1133" t="s">
        <v>538</v>
      </c>
      <c r="I1133" t="e">
        <f>VLOOKUP(Tabela2[[#This Row],[Coluna7]],[1]!Tabela1[#All],2,0)</f>
        <v>#REF!</v>
      </c>
      <c r="J1133" t="s">
        <v>340</v>
      </c>
      <c r="L1133">
        <v>1518</v>
      </c>
      <c r="Q1133" s="10" t="str">
        <f>Tabela2[[#This Row],[Coluna5]]</f>
        <v>11/2025</v>
      </c>
      <c r="R1133" s="10" t="str">
        <f>IF(Tabela2[[#This Row],[Coluna9]]&gt;0,"Entrada","Saída")</f>
        <v>Saída</v>
      </c>
      <c r="S1133" s="10" t="str">
        <f>Tabela2[[#This Row],[Coluna8]]</f>
        <v>LUZIMAR PEREIRA DA SILVA</v>
      </c>
      <c r="T1133" s="10" t="e">
        <f>Tabela2[[#This Row],[Coluna72]]</f>
        <v>#REF!</v>
      </c>
      <c r="U1133" s="10">
        <f>SUM(Tabela2[[#This Row],[Coluna9]],Tabela2[[#This Row],[Coluna10]])</f>
        <v>1518</v>
      </c>
      <c r="V1133" s="2" t="str">
        <f>Tabela2[[#This Row],[Coluna4]]</f>
        <v>04/11/2025</v>
      </c>
      <c r="W1133" s="2" t="str">
        <f>Tabela2[[#This Row],[Coluna6]]</f>
        <v>04/11/2025</v>
      </c>
    </row>
    <row r="1134" spans="2:23" x14ac:dyDescent="0.2">
      <c r="B1134" t="s">
        <v>12</v>
      </c>
      <c r="C1134" t="s">
        <v>95</v>
      </c>
      <c r="D1134" t="s">
        <v>13</v>
      </c>
      <c r="E1134" s="8" t="s">
        <v>43</v>
      </c>
      <c r="F1134" t="s">
        <v>42</v>
      </c>
      <c r="G1134" s="8" t="s">
        <v>43</v>
      </c>
      <c r="H1134" t="s">
        <v>546</v>
      </c>
      <c r="I1134" t="e">
        <f>VLOOKUP(Tabela2[[#This Row],[Coluna7]],[1]!Tabela1[#All],2,0)</f>
        <v>#REF!</v>
      </c>
      <c r="J1134" t="s">
        <v>584</v>
      </c>
      <c r="L1134">
        <v>100</v>
      </c>
      <c r="N1134" t="s">
        <v>584</v>
      </c>
      <c r="Q1134" s="10" t="str">
        <f>Tabela2[[#This Row],[Coluna5]]</f>
        <v>11/2025</v>
      </c>
      <c r="R1134" s="10" t="str">
        <f>IF(Tabela2[[#This Row],[Coluna9]]&gt;0,"Entrada","Saída")</f>
        <v>Saída</v>
      </c>
      <c r="S1134" s="10" t="str">
        <f>Tabela2[[#This Row],[Coluna8]]</f>
        <v>ELIEL ANTONIO DA SILVA</v>
      </c>
      <c r="T1134" s="10" t="e">
        <f>Tabela2[[#This Row],[Coluna72]]</f>
        <v>#REF!</v>
      </c>
      <c r="U1134" s="10">
        <f>SUM(Tabela2[[#This Row],[Coluna9]],Tabela2[[#This Row],[Coluna10]])</f>
        <v>100</v>
      </c>
      <c r="V1134" s="2" t="str">
        <f>Tabela2[[#This Row],[Coluna4]]</f>
        <v>05/11/2025</v>
      </c>
      <c r="W1134" s="2" t="str">
        <f>Tabela2[[#This Row],[Coluna6]]</f>
        <v>05/11/2025</v>
      </c>
    </row>
    <row r="1135" spans="2:23" x14ac:dyDescent="0.2">
      <c r="B1135" t="s">
        <v>18</v>
      </c>
      <c r="C1135" t="s">
        <v>125</v>
      </c>
      <c r="D1135" t="s">
        <v>13</v>
      </c>
      <c r="E1135" s="8" t="s">
        <v>231</v>
      </c>
      <c r="F1135" t="s">
        <v>42</v>
      </c>
      <c r="G1135" s="8" t="s">
        <v>231</v>
      </c>
      <c r="H1135" t="s">
        <v>561</v>
      </c>
      <c r="I1135" t="e">
        <f>VLOOKUP(Tabela2[[#This Row],[Coluna7]],[1]!Tabela1[#All],2,0)</f>
        <v>#REF!</v>
      </c>
      <c r="J1135" t="s">
        <v>609</v>
      </c>
      <c r="L1135">
        <v>150</v>
      </c>
      <c r="M1135" t="s">
        <v>235</v>
      </c>
      <c r="N1135" t="s">
        <v>236</v>
      </c>
      <c r="Q1135" s="10" t="str">
        <f>Tabela2[[#This Row],[Coluna5]]</f>
        <v>11/2025</v>
      </c>
      <c r="R1135" s="10" t="str">
        <f>IF(Tabela2[[#This Row],[Coluna9]]&gt;0,"Entrada","Saída")</f>
        <v>Saída</v>
      </c>
      <c r="S1135" s="10" t="str">
        <f>Tabela2[[#This Row],[Coluna8]]</f>
        <v>FRANCIELE CALIXTO</v>
      </c>
      <c r="T1135" s="10" t="e">
        <f>Tabela2[[#This Row],[Coluna72]]</f>
        <v>#REF!</v>
      </c>
      <c r="U1135" s="10">
        <f>SUM(Tabela2[[#This Row],[Coluna9]],Tabela2[[#This Row],[Coluna10]])</f>
        <v>150</v>
      </c>
      <c r="V1135" s="2" t="str">
        <f>Tabela2[[#This Row],[Coluna4]]</f>
        <v>07/11/2025</v>
      </c>
      <c r="W1135" s="2" t="str">
        <f>Tabela2[[#This Row],[Coluna6]]</f>
        <v>07/11/2025</v>
      </c>
    </row>
    <row r="1136" spans="2:23" x14ac:dyDescent="0.2">
      <c r="B1136" t="s">
        <v>18</v>
      </c>
      <c r="C1136" t="s">
        <v>95</v>
      </c>
      <c r="D1136" t="s">
        <v>13</v>
      </c>
      <c r="E1136" s="8" t="s">
        <v>231</v>
      </c>
      <c r="F1136" t="s">
        <v>42</v>
      </c>
      <c r="G1136" s="8" t="s">
        <v>231</v>
      </c>
      <c r="H1136" t="s">
        <v>546</v>
      </c>
      <c r="I1136" t="e">
        <f>VLOOKUP(Tabela2[[#This Row],[Coluna7]],[1]!Tabela1[#All],2,0)</f>
        <v>#REF!</v>
      </c>
      <c r="J1136" t="s">
        <v>584</v>
      </c>
      <c r="L1136">
        <v>100</v>
      </c>
      <c r="Q1136" s="10" t="str">
        <f>Tabela2[[#This Row],[Coluna5]]</f>
        <v>11/2025</v>
      </c>
      <c r="R1136" s="10" t="str">
        <f>IF(Tabela2[[#This Row],[Coluna9]]&gt;0,"Entrada","Saída")</f>
        <v>Saída</v>
      </c>
      <c r="S1136" s="10" t="str">
        <f>Tabela2[[#This Row],[Coluna8]]</f>
        <v>ELIEL ANTONIO DA SILVA</v>
      </c>
      <c r="T1136" s="10" t="e">
        <f>Tabela2[[#This Row],[Coluna72]]</f>
        <v>#REF!</v>
      </c>
      <c r="U1136" s="10">
        <f>SUM(Tabela2[[#This Row],[Coluna9]],Tabela2[[#This Row],[Coluna10]])</f>
        <v>100</v>
      </c>
      <c r="V1136" s="2" t="str">
        <f>Tabela2[[#This Row],[Coluna4]]</f>
        <v>07/11/2025</v>
      </c>
      <c r="W1136" s="2" t="str">
        <f>Tabela2[[#This Row],[Coluna6]]</f>
        <v>07/11/2025</v>
      </c>
    </row>
    <row r="1137" spans="2:23" x14ac:dyDescent="0.2">
      <c r="B1137" t="s">
        <v>18</v>
      </c>
      <c r="C1137" t="s">
        <v>125</v>
      </c>
      <c r="D1137" t="s">
        <v>13</v>
      </c>
      <c r="E1137" s="8" t="s">
        <v>231</v>
      </c>
      <c r="F1137" t="s">
        <v>42</v>
      </c>
      <c r="G1137" s="8" t="s">
        <v>231</v>
      </c>
      <c r="H1137" t="s">
        <v>551</v>
      </c>
      <c r="I1137" t="e">
        <f>VLOOKUP(Tabela2[[#This Row],[Coluna7]],[1]!Tabela1[#All],2,0)</f>
        <v>#REF!</v>
      </c>
      <c r="L1137">
        <v>237.91</v>
      </c>
      <c r="M1137" t="s">
        <v>574</v>
      </c>
      <c r="N1137" t="s">
        <v>575</v>
      </c>
      <c r="Q1137" s="10" t="str">
        <f>Tabela2[[#This Row],[Coluna5]]</f>
        <v>11/2025</v>
      </c>
      <c r="R1137" s="10" t="str">
        <f>IF(Tabela2[[#This Row],[Coluna9]]&gt;0,"Entrada","Saída")</f>
        <v>Saída</v>
      </c>
      <c r="S1137" s="10">
        <f>Tabela2[[#This Row],[Coluna8]]</f>
        <v>0</v>
      </c>
      <c r="T1137" s="10" t="e">
        <f>Tabela2[[#This Row],[Coluna72]]</f>
        <v>#REF!</v>
      </c>
      <c r="U1137" s="10">
        <f>SUM(Tabela2[[#This Row],[Coluna9]],Tabela2[[#This Row],[Coluna10]])</f>
        <v>237.91</v>
      </c>
      <c r="V1137" s="2" t="str">
        <f>Tabela2[[#This Row],[Coluna4]]</f>
        <v>07/11/2025</v>
      </c>
      <c r="W1137" s="2" t="str">
        <f>Tabela2[[#This Row],[Coluna6]]</f>
        <v>07/11/2025</v>
      </c>
    </row>
    <row r="1138" spans="2:23" x14ac:dyDescent="0.2">
      <c r="B1138" t="s">
        <v>18</v>
      </c>
      <c r="C1138" t="s">
        <v>95</v>
      </c>
      <c r="D1138" t="s">
        <v>13</v>
      </c>
      <c r="E1138" s="8" t="s">
        <v>231</v>
      </c>
      <c r="F1138" t="s">
        <v>42</v>
      </c>
      <c r="G1138" s="8" t="s">
        <v>231</v>
      </c>
      <c r="H1138" t="s">
        <v>538</v>
      </c>
      <c r="I1138" t="e">
        <f>VLOOKUP(Tabela2[[#This Row],[Coluna7]],[1]!Tabela1[#All],2,0)</f>
        <v>#REF!</v>
      </c>
      <c r="L1138">
        <v>10</v>
      </c>
      <c r="Q1138" s="10" t="str">
        <f>Tabela2[[#This Row],[Coluna5]]</f>
        <v>11/2025</v>
      </c>
      <c r="R1138" s="10" t="str">
        <f>IF(Tabela2[[#This Row],[Coluna9]]&gt;0,"Entrada","Saída")</f>
        <v>Saída</v>
      </c>
      <c r="S1138" s="10">
        <f>Tabela2[[#This Row],[Coluna8]]</f>
        <v>0</v>
      </c>
      <c r="T1138" s="10" t="e">
        <f>Tabela2[[#This Row],[Coluna72]]</f>
        <v>#REF!</v>
      </c>
      <c r="U1138" s="10">
        <f>SUM(Tabela2[[#This Row],[Coluna9]],Tabela2[[#This Row],[Coluna10]])</f>
        <v>10</v>
      </c>
      <c r="V1138" s="2" t="str">
        <f>Tabela2[[#This Row],[Coluna4]]</f>
        <v>07/11/2025</v>
      </c>
      <c r="W1138" s="2" t="str">
        <f>Tabela2[[#This Row],[Coluna6]]</f>
        <v>07/11/2025</v>
      </c>
    </row>
    <row r="1139" spans="2:23" x14ac:dyDescent="0.2">
      <c r="B1139" t="s">
        <v>18</v>
      </c>
      <c r="C1139" t="s">
        <v>95</v>
      </c>
      <c r="D1139" t="s">
        <v>13</v>
      </c>
      <c r="E1139" s="8" t="s">
        <v>45</v>
      </c>
      <c r="F1139" t="s">
        <v>42</v>
      </c>
      <c r="G1139" s="8" t="s">
        <v>45</v>
      </c>
      <c r="H1139" t="s">
        <v>570</v>
      </c>
      <c r="I1139" t="e">
        <f>VLOOKUP(Tabela2[[#This Row],[Coluna7]],[1]!Tabela1[#All],2,0)</f>
        <v>#REF!</v>
      </c>
      <c r="J1139" t="s">
        <v>610</v>
      </c>
      <c r="L1139">
        <v>52</v>
      </c>
      <c r="Q1139" s="10" t="str">
        <f>Tabela2[[#This Row],[Coluna5]]</f>
        <v>11/2025</v>
      </c>
      <c r="R1139" s="10" t="str">
        <f>IF(Tabela2[[#This Row],[Coluna9]]&gt;0,"Entrada","Saída")</f>
        <v>Saída</v>
      </c>
      <c r="S1139" s="10" t="str">
        <f>Tabela2[[#This Row],[Coluna8]]</f>
        <v>PEÇA PARA VASO SANITARIO</v>
      </c>
      <c r="T1139" s="10" t="e">
        <f>Tabela2[[#This Row],[Coluna72]]</f>
        <v>#REF!</v>
      </c>
      <c r="U1139" s="10">
        <f>SUM(Tabela2[[#This Row],[Coluna9]],Tabela2[[#This Row],[Coluna10]])</f>
        <v>52</v>
      </c>
      <c r="V1139" s="2" t="str">
        <f>Tabela2[[#This Row],[Coluna4]]</f>
        <v>08/11/2025</v>
      </c>
      <c r="W1139" s="2" t="str">
        <f>Tabela2[[#This Row],[Coluna6]]</f>
        <v>08/11/2025</v>
      </c>
    </row>
    <row r="1140" spans="2:23" x14ac:dyDescent="0.2">
      <c r="B1140" t="s">
        <v>18</v>
      </c>
      <c r="C1140" t="s">
        <v>95</v>
      </c>
      <c r="D1140" t="s">
        <v>13</v>
      </c>
      <c r="E1140" s="8" t="s">
        <v>45</v>
      </c>
      <c r="F1140" t="s">
        <v>42</v>
      </c>
      <c r="G1140" s="8" t="s">
        <v>45</v>
      </c>
      <c r="H1140" t="s">
        <v>546</v>
      </c>
      <c r="I1140" t="e">
        <f>VLOOKUP(Tabela2[[#This Row],[Coluna7]],[1]!Tabela1[#All],2,0)</f>
        <v>#REF!</v>
      </c>
      <c r="J1140" t="s">
        <v>584</v>
      </c>
      <c r="L1140">
        <v>400</v>
      </c>
      <c r="Q1140" s="10" t="str">
        <f>Tabela2[[#This Row],[Coluna5]]</f>
        <v>11/2025</v>
      </c>
      <c r="R1140" s="10" t="str">
        <f>IF(Tabela2[[#This Row],[Coluna9]]&gt;0,"Entrada","Saída")</f>
        <v>Saída</v>
      </c>
      <c r="S1140" s="10" t="str">
        <f>Tabela2[[#This Row],[Coluna8]]</f>
        <v>ELIEL ANTONIO DA SILVA</v>
      </c>
      <c r="T1140" s="10" t="e">
        <f>Tabela2[[#This Row],[Coluna72]]</f>
        <v>#REF!</v>
      </c>
      <c r="U1140" s="10">
        <f>SUM(Tabela2[[#This Row],[Coluna9]],Tabela2[[#This Row],[Coluna10]])</f>
        <v>400</v>
      </c>
      <c r="V1140" s="2" t="str">
        <f>Tabela2[[#This Row],[Coluna4]]</f>
        <v>08/11/2025</v>
      </c>
      <c r="W1140" s="2" t="str">
        <f>Tabela2[[#This Row],[Coluna6]]</f>
        <v>08/11/2025</v>
      </c>
    </row>
    <row r="1141" spans="2:23" x14ac:dyDescent="0.2">
      <c r="B1141" t="s">
        <v>18</v>
      </c>
      <c r="C1141" t="s">
        <v>95</v>
      </c>
      <c r="D1141" t="s">
        <v>13</v>
      </c>
      <c r="E1141" s="8" t="s">
        <v>45</v>
      </c>
      <c r="F1141" t="s">
        <v>42</v>
      </c>
      <c r="G1141" s="8" t="s">
        <v>45</v>
      </c>
      <c r="H1141" t="s">
        <v>542</v>
      </c>
      <c r="I1141" t="e">
        <f>VLOOKUP(Tabela2[[#This Row],[Coluna7]],[1]!Tabela1[#All],2,0)</f>
        <v>#REF!</v>
      </c>
      <c r="J1141" t="s">
        <v>583</v>
      </c>
      <c r="L1141">
        <v>150</v>
      </c>
      <c r="Q1141" s="10" t="str">
        <f>Tabela2[[#This Row],[Coluna5]]</f>
        <v>11/2025</v>
      </c>
      <c r="R1141" s="10" t="str">
        <f>IF(Tabela2[[#This Row],[Coluna9]]&gt;0,"Entrada","Saída")</f>
        <v>Saída</v>
      </c>
      <c r="S1141" s="10" t="str">
        <f>Tabela2[[#This Row],[Coluna8]]</f>
        <v>DIEGO AIRES MORENO</v>
      </c>
      <c r="T1141" s="10" t="e">
        <f>Tabela2[[#This Row],[Coluna72]]</f>
        <v>#REF!</v>
      </c>
      <c r="U1141" s="10">
        <f>SUM(Tabela2[[#This Row],[Coluna9]],Tabela2[[#This Row],[Coluna10]])</f>
        <v>150</v>
      </c>
      <c r="V1141" s="2" t="str">
        <f>Tabela2[[#This Row],[Coluna4]]</f>
        <v>08/11/2025</v>
      </c>
      <c r="W1141" s="2" t="str">
        <f>Tabela2[[#This Row],[Coluna6]]</f>
        <v>08/11/2025</v>
      </c>
    </row>
    <row r="1142" spans="2:23" x14ac:dyDescent="0.2">
      <c r="B1142" t="s">
        <v>12</v>
      </c>
      <c r="C1142" t="s">
        <v>95</v>
      </c>
      <c r="D1142" t="s">
        <v>13</v>
      </c>
      <c r="E1142" s="8" t="s">
        <v>611</v>
      </c>
      <c r="F1142" t="s">
        <v>42</v>
      </c>
      <c r="G1142" s="8" t="s">
        <v>611</v>
      </c>
      <c r="H1142" t="s">
        <v>542</v>
      </c>
      <c r="I1142" t="e">
        <f>VLOOKUP(Tabela2[[#This Row],[Coluna7]],[1]!Tabela1[#All],2,0)</f>
        <v>#REF!</v>
      </c>
      <c r="J1142" t="s">
        <v>583</v>
      </c>
      <c r="L1142">
        <v>300</v>
      </c>
      <c r="Q1142" s="10" t="str">
        <f>Tabela2[[#This Row],[Coluna5]]</f>
        <v>11/2025</v>
      </c>
      <c r="R1142" s="10" t="str">
        <f>IF(Tabela2[[#This Row],[Coluna9]]&gt;0,"Entrada","Saída")</f>
        <v>Saída</v>
      </c>
      <c r="S1142" s="10" t="str">
        <f>Tabela2[[#This Row],[Coluna8]]</f>
        <v>DIEGO AIRES MORENO</v>
      </c>
      <c r="T1142" s="10" t="e">
        <f>Tabela2[[#This Row],[Coluna72]]</f>
        <v>#REF!</v>
      </c>
      <c r="U1142" s="10">
        <f>SUM(Tabela2[[#This Row],[Coluna9]],Tabela2[[#This Row],[Coluna10]])</f>
        <v>300</v>
      </c>
      <c r="V1142" s="2" t="str">
        <f>Tabela2[[#This Row],[Coluna4]]</f>
        <v>09/11/2025</v>
      </c>
      <c r="W1142" s="2" t="str">
        <f>Tabela2[[#This Row],[Coluna6]]</f>
        <v>09/11/2025</v>
      </c>
    </row>
    <row r="1143" spans="2:23" x14ac:dyDescent="0.2">
      <c r="B1143" t="s">
        <v>12</v>
      </c>
      <c r="C1143" t="s">
        <v>95</v>
      </c>
      <c r="D1143" t="s">
        <v>13</v>
      </c>
      <c r="E1143" s="8" t="s">
        <v>47</v>
      </c>
      <c r="F1143" t="s">
        <v>42</v>
      </c>
      <c r="G1143" s="8" t="s">
        <v>47</v>
      </c>
      <c r="H1143" t="s">
        <v>546</v>
      </c>
      <c r="I1143" t="e">
        <f>VLOOKUP(Tabela2[[#This Row],[Coluna7]],[1]!Tabela1[#All],2,0)</f>
        <v>#REF!</v>
      </c>
      <c r="J1143" t="s">
        <v>584</v>
      </c>
      <c r="L1143">
        <v>1300</v>
      </c>
      <c r="N1143" t="s">
        <v>584</v>
      </c>
      <c r="Q1143" s="10" t="str">
        <f>Tabela2[[#This Row],[Coluna5]]</f>
        <v>11/2025</v>
      </c>
      <c r="R1143" s="10" t="str">
        <f>IF(Tabela2[[#This Row],[Coluna9]]&gt;0,"Entrada","Saída")</f>
        <v>Saída</v>
      </c>
      <c r="S1143" s="10" t="str">
        <f>Tabela2[[#This Row],[Coluna8]]</f>
        <v>ELIEL ANTONIO DA SILVA</v>
      </c>
      <c r="T1143" s="10" t="e">
        <f>Tabela2[[#This Row],[Coluna72]]</f>
        <v>#REF!</v>
      </c>
      <c r="U1143" s="10">
        <f>SUM(Tabela2[[#This Row],[Coluna9]],Tabela2[[#This Row],[Coluna10]])</f>
        <v>1300</v>
      </c>
      <c r="V1143" s="2" t="str">
        <f>Tabela2[[#This Row],[Coluna4]]</f>
        <v>10/11/2025</v>
      </c>
      <c r="W1143" s="2" t="str">
        <f>Tabela2[[#This Row],[Coluna6]]</f>
        <v>10/11/2025</v>
      </c>
    </row>
    <row r="1144" spans="2:23" x14ac:dyDescent="0.2">
      <c r="B1144" t="s">
        <v>27</v>
      </c>
      <c r="C1144" t="s">
        <v>95</v>
      </c>
      <c r="D1144" t="s">
        <v>13</v>
      </c>
      <c r="E1144" s="8" t="s">
        <v>48</v>
      </c>
      <c r="F1144" t="s">
        <v>42</v>
      </c>
      <c r="G1144" s="8" t="s">
        <v>48</v>
      </c>
      <c r="H1144" t="s">
        <v>542</v>
      </c>
      <c r="I1144" t="e">
        <f>VLOOKUP(Tabela2[[#This Row],[Coluna7]],[1]!Tabela1[#All],2,0)</f>
        <v>#REF!</v>
      </c>
      <c r="J1144" t="s">
        <v>583</v>
      </c>
      <c r="L1144">
        <v>900</v>
      </c>
      <c r="Q1144" s="10" t="str">
        <f>Tabela2[[#This Row],[Coluna5]]</f>
        <v>11/2025</v>
      </c>
      <c r="R1144" s="10" t="str">
        <f>IF(Tabela2[[#This Row],[Coluna9]]&gt;0,"Entrada","Saída")</f>
        <v>Saída</v>
      </c>
      <c r="S1144" s="10" t="str">
        <f>Tabela2[[#This Row],[Coluna8]]</f>
        <v>DIEGO AIRES MORENO</v>
      </c>
      <c r="T1144" s="10" t="e">
        <f>Tabela2[[#This Row],[Coluna72]]</f>
        <v>#REF!</v>
      </c>
      <c r="U1144" s="10">
        <f>SUM(Tabela2[[#This Row],[Coluna9]],Tabela2[[#This Row],[Coluna10]])</f>
        <v>900</v>
      </c>
      <c r="V1144" s="2" t="str">
        <f>Tabela2[[#This Row],[Coluna4]]</f>
        <v>12/11/2025</v>
      </c>
      <c r="W1144" s="2" t="str">
        <f>Tabela2[[#This Row],[Coluna6]]</f>
        <v>12/11/2025</v>
      </c>
    </row>
    <row r="1145" spans="2:23" x14ac:dyDescent="0.2">
      <c r="B1145" t="s">
        <v>215</v>
      </c>
      <c r="C1145" t="s">
        <v>95</v>
      </c>
      <c r="D1145" t="s">
        <v>13</v>
      </c>
      <c r="E1145" s="8" t="s">
        <v>48</v>
      </c>
      <c r="F1145" t="s">
        <v>42</v>
      </c>
      <c r="G1145" s="8" t="s">
        <v>48</v>
      </c>
      <c r="H1145" t="s">
        <v>546</v>
      </c>
      <c r="I1145" t="e">
        <f>VLOOKUP(Tabela2[[#This Row],[Coluna7]],[1]!Tabela1[#All],2,0)</f>
        <v>#REF!</v>
      </c>
      <c r="L1145">
        <v>50</v>
      </c>
      <c r="N1145" t="s">
        <v>547</v>
      </c>
      <c r="Q1145" s="10" t="str">
        <f>Tabela2[[#This Row],[Coluna5]]</f>
        <v>11/2025</v>
      </c>
      <c r="R1145" s="10" t="str">
        <f>IF(Tabela2[[#This Row],[Coluna9]]&gt;0,"Entrada","Saída")</f>
        <v>Saída</v>
      </c>
      <c r="S1145" s="10">
        <f>Tabela2[[#This Row],[Coluna8]]</f>
        <v>0</v>
      </c>
      <c r="T1145" s="10" t="e">
        <f>Tabela2[[#This Row],[Coluna72]]</f>
        <v>#REF!</v>
      </c>
      <c r="U1145" s="10">
        <f>SUM(Tabela2[[#This Row],[Coluna9]],Tabela2[[#This Row],[Coluna10]])</f>
        <v>50</v>
      </c>
      <c r="V1145" s="2" t="str">
        <f>Tabela2[[#This Row],[Coluna4]]</f>
        <v>12/11/2025</v>
      </c>
      <c r="W1145" s="2" t="str">
        <f>Tabela2[[#This Row],[Coluna6]]</f>
        <v>12/11/2025</v>
      </c>
    </row>
    <row r="1146" spans="2:23" x14ac:dyDescent="0.2">
      <c r="B1146" t="s">
        <v>18</v>
      </c>
      <c r="C1146" t="s">
        <v>95</v>
      </c>
      <c r="D1146" t="s">
        <v>13</v>
      </c>
      <c r="E1146" s="8" t="s">
        <v>51</v>
      </c>
      <c r="F1146" t="s">
        <v>42</v>
      </c>
      <c r="G1146" s="8" t="s">
        <v>51</v>
      </c>
      <c r="H1146" t="s">
        <v>443</v>
      </c>
      <c r="I1146" t="e">
        <f>VLOOKUP(Tabela2[[#This Row],[Coluna7]],[1]!Tabela1[#All],2,0)</f>
        <v>#REF!</v>
      </c>
      <c r="J1146" t="s">
        <v>454</v>
      </c>
      <c r="L1146">
        <v>22</v>
      </c>
      <c r="Q1146" s="10" t="str">
        <f>Tabela2[[#This Row],[Coluna5]]</f>
        <v>11/2025</v>
      </c>
      <c r="R1146" s="10" t="str">
        <f>IF(Tabela2[[#This Row],[Coluna9]]&gt;0,"Entrada","Saída")</f>
        <v>Saída</v>
      </c>
      <c r="S1146" s="10" t="str">
        <f>Tabela2[[#This Row],[Coluna8]]</f>
        <v>ALMOÇO</v>
      </c>
      <c r="T1146" s="10" t="e">
        <f>Tabela2[[#This Row],[Coluna72]]</f>
        <v>#REF!</v>
      </c>
      <c r="U1146" s="10">
        <f>SUM(Tabela2[[#This Row],[Coluna9]],Tabela2[[#This Row],[Coluna10]])</f>
        <v>22</v>
      </c>
      <c r="V1146" s="2" t="str">
        <f>Tabela2[[#This Row],[Coluna4]]</f>
        <v>13/11/2025</v>
      </c>
      <c r="W1146" s="2" t="str">
        <f>Tabela2[[#This Row],[Coluna6]]</f>
        <v>13/11/2025</v>
      </c>
    </row>
    <row r="1147" spans="2:23" x14ac:dyDescent="0.2">
      <c r="B1147" t="s">
        <v>18</v>
      </c>
      <c r="C1147" t="s">
        <v>95</v>
      </c>
      <c r="D1147" t="s">
        <v>13</v>
      </c>
      <c r="E1147" s="8" t="s">
        <v>54</v>
      </c>
      <c r="F1147" t="s">
        <v>42</v>
      </c>
      <c r="G1147" s="8" t="s">
        <v>54</v>
      </c>
      <c r="H1147" t="s">
        <v>546</v>
      </c>
      <c r="I1147" t="e">
        <f>VLOOKUP(Tabela2[[#This Row],[Coluna7]],[1]!Tabela1[#All],2,0)</f>
        <v>#REF!</v>
      </c>
      <c r="J1147" t="s">
        <v>584</v>
      </c>
      <c r="L1147">
        <v>220</v>
      </c>
      <c r="Q1147" s="10" t="str">
        <f>Tabela2[[#This Row],[Coluna5]]</f>
        <v>11/2025</v>
      </c>
      <c r="R1147" s="10" t="str">
        <f>IF(Tabela2[[#This Row],[Coluna9]]&gt;0,"Entrada","Saída")</f>
        <v>Saída</v>
      </c>
      <c r="S1147" s="10" t="str">
        <f>Tabela2[[#This Row],[Coluna8]]</f>
        <v>ELIEL ANTONIO DA SILVA</v>
      </c>
      <c r="T1147" s="10" t="e">
        <f>Tabela2[[#This Row],[Coluna72]]</f>
        <v>#REF!</v>
      </c>
      <c r="U1147" s="10">
        <f>SUM(Tabela2[[#This Row],[Coluna9]],Tabela2[[#This Row],[Coluna10]])</f>
        <v>220</v>
      </c>
      <c r="V1147" s="2" t="str">
        <f>Tabela2[[#This Row],[Coluna4]]</f>
        <v>14/11/2025</v>
      </c>
      <c r="W1147" s="2" t="str">
        <f>Tabela2[[#This Row],[Coluna6]]</f>
        <v>14/11/2025</v>
      </c>
    </row>
    <row r="1148" spans="2:23" x14ac:dyDescent="0.2">
      <c r="B1148" t="s">
        <v>18</v>
      </c>
      <c r="C1148" t="s">
        <v>95</v>
      </c>
      <c r="D1148" t="s">
        <v>13</v>
      </c>
      <c r="E1148" s="8" t="s">
        <v>54</v>
      </c>
      <c r="F1148" t="s">
        <v>42</v>
      </c>
      <c r="G1148" s="8" t="s">
        <v>54</v>
      </c>
      <c r="H1148" t="s">
        <v>546</v>
      </c>
      <c r="I1148" t="e">
        <f>VLOOKUP(Tabela2[[#This Row],[Coluna7]],[1]!Tabela1[#All],2,0)</f>
        <v>#REF!</v>
      </c>
      <c r="J1148" t="s">
        <v>612</v>
      </c>
      <c r="L1148">
        <v>450</v>
      </c>
      <c r="Q1148" s="10" t="str">
        <f>Tabela2[[#This Row],[Coluna5]]</f>
        <v>11/2025</v>
      </c>
      <c r="R1148" s="10" t="str">
        <f>IF(Tabela2[[#This Row],[Coluna9]]&gt;0,"Entrada","Saída")</f>
        <v>Saída</v>
      </c>
      <c r="S1148" s="10" t="str">
        <f>Tabela2[[#This Row],[Coluna8]]</f>
        <v>LEANDRO JOAO BATISTA DA SILVA</v>
      </c>
      <c r="T1148" s="10" t="e">
        <f>Tabela2[[#This Row],[Coluna72]]</f>
        <v>#REF!</v>
      </c>
      <c r="U1148" s="10">
        <f>SUM(Tabela2[[#This Row],[Coluna9]],Tabela2[[#This Row],[Coluna10]])</f>
        <v>450</v>
      </c>
      <c r="V1148" s="2" t="str">
        <f>Tabela2[[#This Row],[Coluna4]]</f>
        <v>14/11/2025</v>
      </c>
      <c r="W1148" s="2" t="str">
        <f>Tabela2[[#This Row],[Coluna6]]</f>
        <v>14/11/2025</v>
      </c>
    </row>
    <row r="1149" spans="2:23" x14ac:dyDescent="0.2">
      <c r="B1149" t="s">
        <v>12</v>
      </c>
      <c r="C1149" t="s">
        <v>125</v>
      </c>
      <c r="D1149" t="s">
        <v>13</v>
      </c>
      <c r="E1149" s="8" t="s">
        <v>54</v>
      </c>
      <c r="F1149" t="s">
        <v>15</v>
      </c>
      <c r="G1149" s="8" t="s">
        <v>253</v>
      </c>
      <c r="H1149" t="s">
        <v>580</v>
      </c>
      <c r="I1149" t="e">
        <f>VLOOKUP(Tabela2[[#This Row],[Coluna7]],[1]!Tabela1[#All],2,0)</f>
        <v>#REF!</v>
      </c>
      <c r="J1149" t="s">
        <v>613</v>
      </c>
      <c r="L1149">
        <v>3544</v>
      </c>
      <c r="N1149" t="s">
        <v>523</v>
      </c>
      <c r="Q1149" s="10" t="str">
        <f>Tabela2[[#This Row],[Coluna5]]</f>
        <v>10/2025</v>
      </c>
      <c r="R1149" s="10" t="str">
        <f>IF(Tabela2[[#This Row],[Coluna9]]&gt;0,"Entrada","Saída")</f>
        <v>Saída</v>
      </c>
      <c r="S1149" s="10" t="str">
        <f>Tabela2[[#This Row],[Coluna8]]</f>
        <v>PARCERIA</v>
      </c>
      <c r="T1149" s="10" t="e">
        <f>Tabela2[[#This Row],[Coluna72]]</f>
        <v>#REF!</v>
      </c>
      <c r="U1149" s="10">
        <f>SUM(Tabela2[[#This Row],[Coluna9]],Tabela2[[#This Row],[Coluna10]])</f>
        <v>3544</v>
      </c>
      <c r="V1149" s="2" t="str">
        <f>Tabela2[[#This Row],[Coluna4]]</f>
        <v>14/11/2025</v>
      </c>
      <c r="W1149" s="2" t="str">
        <f>Tabela2[[#This Row],[Coluna6]]</f>
        <v>21/11/2025</v>
      </c>
    </row>
    <row r="1150" spans="2:23" x14ac:dyDescent="0.2">
      <c r="B1150" t="s">
        <v>12</v>
      </c>
      <c r="C1150" t="s">
        <v>95</v>
      </c>
      <c r="D1150" t="s">
        <v>13</v>
      </c>
      <c r="E1150" s="8" t="s">
        <v>55</v>
      </c>
      <c r="F1150" t="s">
        <v>42</v>
      </c>
      <c r="G1150" s="8" t="s">
        <v>55</v>
      </c>
      <c r="H1150" t="s">
        <v>570</v>
      </c>
      <c r="I1150" t="e">
        <f>VLOOKUP(Tabela2[[#This Row],[Coluna7]],[1]!Tabela1[#All],2,0)</f>
        <v>#REF!</v>
      </c>
      <c r="J1150" t="s">
        <v>614</v>
      </c>
      <c r="L1150">
        <v>10</v>
      </c>
      <c r="Q1150" s="10" t="str">
        <f>Tabela2[[#This Row],[Coluna5]]</f>
        <v>11/2025</v>
      </c>
      <c r="R1150" s="10" t="str">
        <f>IF(Tabela2[[#This Row],[Coluna9]]&gt;0,"Entrada","Saída")</f>
        <v>Saída</v>
      </c>
      <c r="S1150" s="10" t="str">
        <f>Tabela2[[#This Row],[Coluna8]]</f>
        <v>MARCIA MAIA CORREIA</v>
      </c>
      <c r="T1150" s="10" t="e">
        <f>Tabela2[[#This Row],[Coluna72]]</f>
        <v>#REF!</v>
      </c>
      <c r="U1150" s="10">
        <f>SUM(Tabela2[[#This Row],[Coluna9]],Tabela2[[#This Row],[Coluna10]])</f>
        <v>10</v>
      </c>
      <c r="V1150" s="2" t="str">
        <f>Tabela2[[#This Row],[Coluna4]]</f>
        <v>15/11/2025</v>
      </c>
      <c r="W1150" s="2" t="str">
        <f>Tabela2[[#This Row],[Coluna6]]</f>
        <v>15/11/2025</v>
      </c>
    </row>
    <row r="1151" spans="2:23" x14ac:dyDescent="0.2">
      <c r="B1151" t="s">
        <v>12</v>
      </c>
      <c r="C1151" t="s">
        <v>95</v>
      </c>
      <c r="D1151" t="s">
        <v>13</v>
      </c>
      <c r="E1151" s="8" t="s">
        <v>55</v>
      </c>
      <c r="F1151" t="s">
        <v>42</v>
      </c>
      <c r="G1151" s="8" t="s">
        <v>55</v>
      </c>
      <c r="H1151" t="s">
        <v>570</v>
      </c>
      <c r="I1151" t="e">
        <f>VLOOKUP(Tabela2[[#This Row],[Coluna7]],[1]!Tabela1[#All],2,0)</f>
        <v>#REF!</v>
      </c>
      <c r="J1151" t="s">
        <v>615</v>
      </c>
      <c r="L1151">
        <v>17</v>
      </c>
      <c r="Q1151" s="10" t="str">
        <f>Tabela2[[#This Row],[Coluna5]]</f>
        <v>11/2025</v>
      </c>
      <c r="R1151" s="10" t="str">
        <f>IF(Tabela2[[#This Row],[Coluna9]]&gt;0,"Entrada","Saída")</f>
        <v>Saída</v>
      </c>
      <c r="S1151" s="10" t="str">
        <f>Tabela2[[#This Row],[Coluna8]]</f>
        <v>JOABSON DE ARAUJO</v>
      </c>
      <c r="T1151" s="10" t="e">
        <f>Tabela2[[#This Row],[Coluna72]]</f>
        <v>#REF!</v>
      </c>
      <c r="U1151" s="10">
        <f>SUM(Tabela2[[#This Row],[Coluna9]],Tabela2[[#This Row],[Coluna10]])</f>
        <v>17</v>
      </c>
      <c r="V1151" s="2" t="str">
        <f>Tabela2[[#This Row],[Coluna4]]</f>
        <v>15/11/2025</v>
      </c>
      <c r="W1151" s="2" t="str">
        <f>Tabela2[[#This Row],[Coluna6]]</f>
        <v>15/11/2025</v>
      </c>
    </row>
    <row r="1152" spans="2:23" x14ac:dyDescent="0.2">
      <c r="B1152" t="s">
        <v>12</v>
      </c>
      <c r="C1152" t="s">
        <v>95</v>
      </c>
      <c r="D1152" t="s">
        <v>13</v>
      </c>
      <c r="E1152" s="8" t="s">
        <v>55</v>
      </c>
      <c r="F1152" t="s">
        <v>42</v>
      </c>
      <c r="G1152" s="8" t="s">
        <v>55</v>
      </c>
      <c r="H1152" t="s">
        <v>570</v>
      </c>
      <c r="I1152" t="e">
        <f>VLOOKUP(Tabela2[[#This Row],[Coluna7]],[1]!Tabela1[#All],2,0)</f>
        <v>#REF!</v>
      </c>
      <c r="J1152" t="s">
        <v>616</v>
      </c>
      <c r="L1152">
        <v>18</v>
      </c>
      <c r="Q1152" s="10" t="str">
        <f>Tabela2[[#This Row],[Coluna5]]</f>
        <v>11/2025</v>
      </c>
      <c r="R1152" s="10" t="str">
        <f>IF(Tabela2[[#This Row],[Coluna9]]&gt;0,"Entrada","Saída")</f>
        <v>Saída</v>
      </c>
      <c r="S1152" s="10" t="str">
        <f>Tabela2[[#This Row],[Coluna8]]</f>
        <v>NETO CASA E CONSTRUÇÃO</v>
      </c>
      <c r="T1152" s="10" t="e">
        <f>Tabela2[[#This Row],[Coluna72]]</f>
        <v>#REF!</v>
      </c>
      <c r="U1152" s="10">
        <f>SUM(Tabela2[[#This Row],[Coluna9]],Tabela2[[#This Row],[Coluna10]])</f>
        <v>18</v>
      </c>
      <c r="V1152" s="2" t="str">
        <f>Tabela2[[#This Row],[Coluna4]]</f>
        <v>15/11/2025</v>
      </c>
      <c r="W1152" s="2" t="str">
        <f>Tabela2[[#This Row],[Coluna6]]</f>
        <v>15/11/2025</v>
      </c>
    </row>
    <row r="1153" spans="2:23" x14ac:dyDescent="0.2">
      <c r="B1153" t="s">
        <v>18</v>
      </c>
      <c r="C1153" t="s">
        <v>95</v>
      </c>
      <c r="D1153" t="s">
        <v>13</v>
      </c>
      <c r="E1153" s="8" t="s">
        <v>55</v>
      </c>
      <c r="F1153" t="s">
        <v>42</v>
      </c>
      <c r="G1153" s="8" t="s">
        <v>55</v>
      </c>
      <c r="H1153" t="s">
        <v>546</v>
      </c>
      <c r="I1153" t="e">
        <f>VLOOKUP(Tabela2[[#This Row],[Coluna7]],[1]!Tabela1[#All],2,0)</f>
        <v>#REF!</v>
      </c>
      <c r="J1153" t="s">
        <v>584</v>
      </c>
      <c r="L1153">
        <v>200</v>
      </c>
      <c r="Q1153" s="10" t="str">
        <f>Tabela2[[#This Row],[Coluna5]]</f>
        <v>11/2025</v>
      </c>
      <c r="R1153" s="10" t="str">
        <f>IF(Tabela2[[#This Row],[Coluna9]]&gt;0,"Entrada","Saída")</f>
        <v>Saída</v>
      </c>
      <c r="S1153" s="10" t="str">
        <f>Tabela2[[#This Row],[Coluna8]]</f>
        <v>ELIEL ANTONIO DA SILVA</v>
      </c>
      <c r="T1153" s="10" t="e">
        <f>Tabela2[[#This Row],[Coluna72]]</f>
        <v>#REF!</v>
      </c>
      <c r="U1153" s="10">
        <f>SUM(Tabela2[[#This Row],[Coluna9]],Tabela2[[#This Row],[Coluna10]])</f>
        <v>200</v>
      </c>
      <c r="V1153" s="2" t="str">
        <f>Tabela2[[#This Row],[Coluna4]]</f>
        <v>15/11/2025</v>
      </c>
      <c r="W1153" s="2" t="str">
        <f>Tabela2[[#This Row],[Coluna6]]</f>
        <v>15/11/2025</v>
      </c>
    </row>
    <row r="1154" spans="2:23" x14ac:dyDescent="0.2">
      <c r="B1154" t="s">
        <v>18</v>
      </c>
      <c r="C1154" t="s">
        <v>95</v>
      </c>
      <c r="D1154" t="s">
        <v>13</v>
      </c>
      <c r="E1154" s="8" t="s">
        <v>55</v>
      </c>
      <c r="F1154" t="s">
        <v>42</v>
      </c>
      <c r="G1154" s="8" t="s">
        <v>55</v>
      </c>
      <c r="H1154" t="s">
        <v>580</v>
      </c>
      <c r="I1154" t="e">
        <f>VLOOKUP(Tabela2[[#This Row],[Coluna7]],[1]!Tabela1[#All],2,0)</f>
        <v>#REF!</v>
      </c>
      <c r="J1154" t="s">
        <v>583</v>
      </c>
      <c r="L1154">
        <v>5000</v>
      </c>
      <c r="Q1154" s="10" t="str">
        <f>Tabela2[[#This Row],[Coluna5]]</f>
        <v>11/2025</v>
      </c>
      <c r="R1154" s="10" t="str">
        <f>IF(Tabela2[[#This Row],[Coluna9]]&gt;0,"Entrada","Saída")</f>
        <v>Saída</v>
      </c>
      <c r="S1154" s="10" t="str">
        <f>Tabela2[[#This Row],[Coluna8]]</f>
        <v>DIEGO AIRES MORENO</v>
      </c>
      <c r="T1154" s="10" t="e">
        <f>Tabela2[[#This Row],[Coluna72]]</f>
        <v>#REF!</v>
      </c>
      <c r="U1154" s="10">
        <f>SUM(Tabela2[[#This Row],[Coluna9]],Tabela2[[#This Row],[Coluna10]])</f>
        <v>5000</v>
      </c>
      <c r="V1154" s="2" t="str">
        <f>Tabela2[[#This Row],[Coluna4]]</f>
        <v>15/11/2025</v>
      </c>
      <c r="W1154" s="2" t="str">
        <f>Tabela2[[#This Row],[Coluna6]]</f>
        <v>15/11/2025</v>
      </c>
    </row>
    <row r="1155" spans="2:23" x14ac:dyDescent="0.2">
      <c r="B1155" t="s">
        <v>12</v>
      </c>
      <c r="C1155" t="s">
        <v>95</v>
      </c>
      <c r="D1155" t="s">
        <v>13</v>
      </c>
      <c r="E1155" s="8" t="s">
        <v>401</v>
      </c>
      <c r="F1155" t="s">
        <v>42</v>
      </c>
      <c r="G1155" s="8" t="s">
        <v>401</v>
      </c>
      <c r="H1155" t="s">
        <v>538</v>
      </c>
      <c r="I1155" t="e">
        <f>VLOOKUP(Tabela2[[#This Row],[Coluna7]],[1]!Tabela1[#All],2,0)</f>
        <v>#REF!</v>
      </c>
      <c r="J1155" t="s">
        <v>584</v>
      </c>
      <c r="L1155">
        <v>50</v>
      </c>
      <c r="Q1155" s="10" t="str">
        <f>Tabela2[[#This Row],[Coluna5]]</f>
        <v>11/2025</v>
      </c>
      <c r="R1155" s="10" t="str">
        <f>IF(Tabela2[[#This Row],[Coluna9]]&gt;0,"Entrada","Saída")</f>
        <v>Saída</v>
      </c>
      <c r="S1155" s="10" t="str">
        <f>Tabela2[[#This Row],[Coluna8]]</f>
        <v>ELIEL ANTONIO DA SILVA</v>
      </c>
      <c r="T1155" s="10" t="e">
        <f>Tabela2[[#This Row],[Coluna72]]</f>
        <v>#REF!</v>
      </c>
      <c r="U1155" s="10">
        <f>SUM(Tabela2[[#This Row],[Coluna9]],Tabela2[[#This Row],[Coluna10]])</f>
        <v>50</v>
      </c>
      <c r="V1155" s="2" t="str">
        <f>Tabela2[[#This Row],[Coluna4]]</f>
        <v>16/11/2025</v>
      </c>
      <c r="W1155" s="2" t="str">
        <f>Tabela2[[#This Row],[Coluna6]]</f>
        <v>16/11/2025</v>
      </c>
    </row>
    <row r="1156" spans="2:23" x14ac:dyDescent="0.2">
      <c r="B1156" t="s">
        <v>18</v>
      </c>
      <c r="C1156" t="s">
        <v>95</v>
      </c>
      <c r="D1156" t="s">
        <v>13</v>
      </c>
      <c r="E1156" s="8" t="s">
        <v>401</v>
      </c>
      <c r="F1156" t="s">
        <v>42</v>
      </c>
      <c r="G1156" s="8" t="s">
        <v>401</v>
      </c>
      <c r="H1156" t="s">
        <v>546</v>
      </c>
      <c r="I1156" t="e">
        <f>VLOOKUP(Tabela2[[#This Row],[Coluna7]],[1]!Tabela1[#All],2,0)</f>
        <v>#REF!</v>
      </c>
      <c r="J1156" t="s">
        <v>584</v>
      </c>
      <c r="L1156">
        <v>1200</v>
      </c>
      <c r="Q1156" s="10" t="str">
        <f>Tabela2[[#This Row],[Coluna5]]</f>
        <v>11/2025</v>
      </c>
      <c r="R1156" s="10" t="str">
        <f>IF(Tabela2[[#This Row],[Coluna9]]&gt;0,"Entrada","Saída")</f>
        <v>Saída</v>
      </c>
      <c r="S1156" s="10" t="str">
        <f>Tabela2[[#This Row],[Coluna8]]</f>
        <v>ELIEL ANTONIO DA SILVA</v>
      </c>
      <c r="T1156" s="10" t="e">
        <f>Tabela2[[#This Row],[Coluna72]]</f>
        <v>#REF!</v>
      </c>
      <c r="U1156" s="10">
        <f>SUM(Tabela2[[#This Row],[Coluna9]],Tabela2[[#This Row],[Coluna10]])</f>
        <v>1200</v>
      </c>
      <c r="V1156" s="2" t="str">
        <f>Tabela2[[#This Row],[Coluna4]]</f>
        <v>16/11/2025</v>
      </c>
      <c r="W1156" s="2" t="str">
        <f>Tabela2[[#This Row],[Coluna6]]</f>
        <v>16/11/2025</v>
      </c>
    </row>
    <row r="1157" spans="2:23" x14ac:dyDescent="0.2">
      <c r="B1157" t="s">
        <v>27</v>
      </c>
      <c r="C1157" t="s">
        <v>95</v>
      </c>
      <c r="D1157" t="s">
        <v>13</v>
      </c>
      <c r="E1157" s="8" t="s">
        <v>56</v>
      </c>
      <c r="F1157" t="s">
        <v>42</v>
      </c>
      <c r="G1157" s="8" t="s">
        <v>56</v>
      </c>
      <c r="H1157" t="s">
        <v>538</v>
      </c>
      <c r="I1157" t="e">
        <f>VLOOKUP(Tabela2[[#This Row],[Coluna7]],[1]!Tabela1[#All],2,0)</f>
        <v>#REF!</v>
      </c>
      <c r="J1157" t="s">
        <v>576</v>
      </c>
      <c r="L1157">
        <v>2223</v>
      </c>
      <c r="Q1157" s="10" t="str">
        <f>Tabela2[[#This Row],[Coluna5]]</f>
        <v>11/2025</v>
      </c>
      <c r="R1157" s="10" t="str">
        <f>IF(Tabela2[[#This Row],[Coluna9]]&gt;0,"Entrada","Saída")</f>
        <v>Saída</v>
      </c>
      <c r="S1157" s="10" t="str">
        <f>Tabela2[[#This Row],[Coluna8]]</f>
        <v>CARTÃO DÉBITO - BRADESCO</v>
      </c>
      <c r="T1157" s="10" t="e">
        <f>Tabela2[[#This Row],[Coluna72]]</f>
        <v>#REF!</v>
      </c>
      <c r="U1157" s="10">
        <f>SUM(Tabela2[[#This Row],[Coluna9]],Tabela2[[#This Row],[Coluna10]])</f>
        <v>2223</v>
      </c>
      <c r="V1157" s="2" t="str">
        <f>Tabela2[[#This Row],[Coluna4]]</f>
        <v>17/11/2025</v>
      </c>
      <c r="W1157" s="2" t="str">
        <f>Tabela2[[#This Row],[Coluna6]]</f>
        <v>17/11/2025</v>
      </c>
    </row>
    <row r="1158" spans="2:23" x14ac:dyDescent="0.2">
      <c r="B1158" t="s">
        <v>18</v>
      </c>
      <c r="C1158" t="s">
        <v>95</v>
      </c>
      <c r="D1158" t="s">
        <v>13</v>
      </c>
      <c r="E1158" s="8" t="s">
        <v>49</v>
      </c>
      <c r="F1158" t="s">
        <v>42</v>
      </c>
      <c r="G1158" s="8" t="s">
        <v>49</v>
      </c>
      <c r="H1158" t="s">
        <v>570</v>
      </c>
      <c r="I1158" t="e">
        <f>VLOOKUP(Tabela2[[#This Row],[Coluna7]],[1]!Tabela1[#All],2,0)</f>
        <v>#REF!</v>
      </c>
      <c r="L1158">
        <v>34</v>
      </c>
      <c r="Q1158" s="10" t="str">
        <f>Tabela2[[#This Row],[Coluna5]]</f>
        <v>11/2025</v>
      </c>
      <c r="R1158" s="10" t="str">
        <f>IF(Tabela2[[#This Row],[Coluna9]]&gt;0,"Entrada","Saída")</f>
        <v>Saída</v>
      </c>
      <c r="S1158" s="10">
        <f>Tabela2[[#This Row],[Coluna8]]</f>
        <v>0</v>
      </c>
      <c r="T1158" s="10" t="e">
        <f>Tabela2[[#This Row],[Coluna72]]</f>
        <v>#REF!</v>
      </c>
      <c r="U1158" s="10">
        <f>SUM(Tabela2[[#This Row],[Coluna9]],Tabela2[[#This Row],[Coluna10]])</f>
        <v>34</v>
      </c>
      <c r="V1158" s="2" t="str">
        <f>Tabela2[[#This Row],[Coluna4]]</f>
        <v>18/11/2025</v>
      </c>
      <c r="W1158" s="2" t="str">
        <f>Tabela2[[#This Row],[Coluna6]]</f>
        <v>18/11/2025</v>
      </c>
    </row>
    <row r="1159" spans="2:23" x14ac:dyDescent="0.2">
      <c r="B1159" t="s">
        <v>18</v>
      </c>
      <c r="C1159" t="s">
        <v>95</v>
      </c>
      <c r="D1159" t="s">
        <v>13</v>
      </c>
      <c r="E1159" s="8" t="s">
        <v>49</v>
      </c>
      <c r="F1159" t="s">
        <v>42</v>
      </c>
      <c r="G1159" s="8" t="s">
        <v>49</v>
      </c>
      <c r="H1159" t="s">
        <v>443</v>
      </c>
      <c r="I1159" t="e">
        <f>VLOOKUP(Tabela2[[#This Row],[Coluna7]],[1]!Tabela1[#All],2,0)</f>
        <v>#REF!</v>
      </c>
      <c r="J1159" t="s">
        <v>550</v>
      </c>
      <c r="L1159">
        <v>22</v>
      </c>
      <c r="Q1159" s="10" t="str">
        <f>Tabela2[[#This Row],[Coluna5]]</f>
        <v>11/2025</v>
      </c>
      <c r="R1159" s="10" t="str">
        <f>IF(Tabela2[[#This Row],[Coluna9]]&gt;0,"Entrada","Saída")</f>
        <v>Saída</v>
      </c>
      <c r="S1159" s="10" t="str">
        <f>Tabela2[[#This Row],[Coluna8]]</f>
        <v>ALMOÇO THIAGO</v>
      </c>
      <c r="T1159" s="10" t="e">
        <f>Tabela2[[#This Row],[Coluna72]]</f>
        <v>#REF!</v>
      </c>
      <c r="U1159" s="10">
        <f>SUM(Tabela2[[#This Row],[Coluna9]],Tabela2[[#This Row],[Coluna10]])</f>
        <v>22</v>
      </c>
      <c r="V1159" s="2" t="str">
        <f>Tabela2[[#This Row],[Coluna4]]</f>
        <v>18/11/2025</v>
      </c>
      <c r="W1159" s="2" t="str">
        <f>Tabela2[[#This Row],[Coluna6]]</f>
        <v>18/11/2025</v>
      </c>
    </row>
    <row r="1160" spans="2:23" x14ac:dyDescent="0.2">
      <c r="B1160" t="s">
        <v>18</v>
      </c>
      <c r="C1160" t="s">
        <v>95</v>
      </c>
      <c r="D1160" t="s">
        <v>13</v>
      </c>
      <c r="E1160" s="8" t="s">
        <v>49</v>
      </c>
      <c r="F1160" t="s">
        <v>42</v>
      </c>
      <c r="G1160" s="8" t="s">
        <v>49</v>
      </c>
      <c r="H1160" t="s">
        <v>580</v>
      </c>
      <c r="I1160" t="e">
        <f>VLOOKUP(Tabela2[[#This Row],[Coluna7]],[1]!Tabela1[#All],2,0)</f>
        <v>#REF!</v>
      </c>
      <c r="J1160" t="s">
        <v>549</v>
      </c>
      <c r="L1160">
        <v>272.43</v>
      </c>
      <c r="Q1160" s="10" t="str">
        <f>Tabela2[[#This Row],[Coluna5]]</f>
        <v>11/2025</v>
      </c>
      <c r="R1160" s="10" t="str">
        <f>IF(Tabela2[[#This Row],[Coluna9]]&gt;0,"Entrada","Saída")</f>
        <v>Saída</v>
      </c>
      <c r="S1160" s="10" t="str">
        <f>Tabela2[[#This Row],[Coluna8]]</f>
        <v>LINDA - MARIA DAS GRAÇAS FORTUNATO CALIXTO</v>
      </c>
      <c r="T1160" s="10" t="e">
        <f>Tabela2[[#This Row],[Coluna72]]</f>
        <v>#REF!</v>
      </c>
      <c r="U1160" s="10">
        <f>SUM(Tabela2[[#This Row],[Coluna9]],Tabela2[[#This Row],[Coluna10]])</f>
        <v>272.43</v>
      </c>
      <c r="V1160" s="2" t="str">
        <f>Tabela2[[#This Row],[Coluna4]]</f>
        <v>18/11/2025</v>
      </c>
      <c r="W1160" s="2" t="str">
        <f>Tabela2[[#This Row],[Coluna6]]</f>
        <v>18/11/2025</v>
      </c>
    </row>
    <row r="1161" spans="2:23" x14ac:dyDescent="0.2">
      <c r="B1161" t="s">
        <v>12</v>
      </c>
      <c r="C1161" t="s">
        <v>95</v>
      </c>
      <c r="D1161" t="s">
        <v>13</v>
      </c>
      <c r="E1161" s="8" t="s">
        <v>49</v>
      </c>
      <c r="F1161" t="s">
        <v>42</v>
      </c>
      <c r="G1161" s="8" t="s">
        <v>49</v>
      </c>
      <c r="H1161" t="s">
        <v>546</v>
      </c>
      <c r="I1161" t="e">
        <f>VLOOKUP(Tabela2[[#This Row],[Coluna7]],[1]!Tabela1[#All],2,0)</f>
        <v>#REF!</v>
      </c>
      <c r="J1161" t="s">
        <v>565</v>
      </c>
      <c r="L1161">
        <v>50</v>
      </c>
      <c r="Q1161" s="10" t="str">
        <f>Tabela2[[#This Row],[Coluna5]]</f>
        <v>11/2025</v>
      </c>
      <c r="R1161" s="10" t="str">
        <f>IF(Tabela2[[#This Row],[Coluna9]]&gt;0,"Entrada","Saída")</f>
        <v>Saída</v>
      </c>
      <c r="S1161" s="10" t="str">
        <f>Tabela2[[#This Row],[Coluna8]]</f>
        <v>LEANDRO JOAO BATISTA</v>
      </c>
      <c r="T1161" s="10" t="e">
        <f>Tabela2[[#This Row],[Coluna72]]</f>
        <v>#REF!</v>
      </c>
      <c r="U1161" s="10">
        <f>SUM(Tabela2[[#This Row],[Coluna9]],Tabela2[[#This Row],[Coluna10]])</f>
        <v>50</v>
      </c>
      <c r="V1161" s="2" t="str">
        <f>Tabela2[[#This Row],[Coluna4]]</f>
        <v>18/11/2025</v>
      </c>
      <c r="W1161" s="2" t="str">
        <f>Tabela2[[#This Row],[Coluna6]]</f>
        <v>18/11/2025</v>
      </c>
    </row>
    <row r="1162" spans="2:23" x14ac:dyDescent="0.2">
      <c r="B1162" t="s">
        <v>18</v>
      </c>
      <c r="C1162" t="s">
        <v>95</v>
      </c>
      <c r="D1162" t="s">
        <v>13</v>
      </c>
      <c r="E1162" s="8" t="s">
        <v>59</v>
      </c>
      <c r="F1162" t="s">
        <v>42</v>
      </c>
      <c r="G1162" s="8" t="s">
        <v>59</v>
      </c>
      <c r="H1162" t="s">
        <v>546</v>
      </c>
      <c r="I1162" t="e">
        <f>VLOOKUP(Tabela2[[#This Row],[Coluna7]],[1]!Tabela1[#All],2,0)</f>
        <v>#REF!</v>
      </c>
      <c r="J1162" t="s">
        <v>617</v>
      </c>
      <c r="L1162">
        <v>50</v>
      </c>
      <c r="Q1162" s="10" t="str">
        <f>Tabela2[[#This Row],[Coluna5]]</f>
        <v>11/2025</v>
      </c>
      <c r="R1162" s="10" t="str">
        <f>IF(Tabela2[[#This Row],[Coluna9]]&gt;0,"Entrada","Saída")</f>
        <v>Saída</v>
      </c>
      <c r="S1162" s="10" t="str">
        <f>Tabela2[[#This Row],[Coluna8]]</f>
        <v>ELIEL ANTONIO DA SILVA - GASOLINA</v>
      </c>
      <c r="T1162" s="10" t="e">
        <f>Tabela2[[#This Row],[Coluna72]]</f>
        <v>#REF!</v>
      </c>
      <c r="U1162" s="10">
        <f>SUM(Tabela2[[#This Row],[Coluna9]],Tabela2[[#This Row],[Coluna10]])</f>
        <v>50</v>
      </c>
      <c r="V1162" s="2" t="str">
        <f>Tabela2[[#This Row],[Coluna4]]</f>
        <v>19/11/2025</v>
      </c>
      <c r="W1162" s="2" t="str">
        <f>Tabela2[[#This Row],[Coluna6]]</f>
        <v>19/11/2025</v>
      </c>
    </row>
    <row r="1163" spans="2:23" x14ac:dyDescent="0.2">
      <c r="B1163" t="s">
        <v>12</v>
      </c>
      <c r="C1163" t="s">
        <v>95</v>
      </c>
      <c r="D1163" t="s">
        <v>13</v>
      </c>
      <c r="E1163" s="8" t="s">
        <v>59</v>
      </c>
      <c r="F1163" t="s">
        <v>42</v>
      </c>
      <c r="G1163" s="8" t="s">
        <v>59</v>
      </c>
      <c r="H1163" t="s">
        <v>546</v>
      </c>
      <c r="I1163" t="e">
        <f>VLOOKUP(Tabela2[[#This Row],[Coluna7]],[1]!Tabela1[#All],2,0)</f>
        <v>#REF!</v>
      </c>
      <c r="J1163" t="s">
        <v>584</v>
      </c>
      <c r="L1163">
        <v>100</v>
      </c>
      <c r="Q1163" s="10" t="str">
        <f>Tabela2[[#This Row],[Coluna5]]</f>
        <v>11/2025</v>
      </c>
      <c r="R1163" s="10" t="str">
        <f>IF(Tabela2[[#This Row],[Coluna9]]&gt;0,"Entrada","Saída")</f>
        <v>Saída</v>
      </c>
      <c r="S1163" s="10" t="str">
        <f>Tabela2[[#This Row],[Coluna8]]</f>
        <v>ELIEL ANTONIO DA SILVA</v>
      </c>
      <c r="T1163" s="10" t="e">
        <f>Tabela2[[#This Row],[Coluna72]]</f>
        <v>#REF!</v>
      </c>
      <c r="U1163" s="10">
        <f>SUM(Tabela2[[#This Row],[Coluna9]],Tabela2[[#This Row],[Coluna10]])</f>
        <v>100</v>
      </c>
      <c r="V1163" s="2" t="str">
        <f>Tabela2[[#This Row],[Coluna4]]</f>
        <v>19/11/2025</v>
      </c>
      <c r="W1163" s="2" t="str">
        <f>Tabela2[[#This Row],[Coluna6]]</f>
        <v>19/11/2025</v>
      </c>
    </row>
    <row r="1164" spans="2:23" x14ac:dyDescent="0.2">
      <c r="B1164" t="s">
        <v>18</v>
      </c>
      <c r="C1164" t="s">
        <v>95</v>
      </c>
      <c r="D1164" t="s">
        <v>13</v>
      </c>
      <c r="E1164" s="8" t="s">
        <v>60</v>
      </c>
      <c r="F1164" t="s">
        <v>42</v>
      </c>
      <c r="G1164" s="8" t="s">
        <v>60</v>
      </c>
      <c r="H1164" t="s">
        <v>618</v>
      </c>
      <c r="I1164" t="e">
        <f>VLOOKUP(Tabela2[[#This Row],[Coluna7]],[1]!Tabela1[#All],2,0)</f>
        <v>#REF!</v>
      </c>
      <c r="J1164" t="s">
        <v>619</v>
      </c>
      <c r="L1164">
        <v>79</v>
      </c>
      <c r="Q1164" s="10" t="str">
        <f>Tabela2[[#This Row],[Coluna5]]</f>
        <v>11/2025</v>
      </c>
      <c r="R1164" s="10" t="str">
        <f>IF(Tabela2[[#This Row],[Coluna9]]&gt;0,"Entrada","Saída")</f>
        <v>Saída</v>
      </c>
      <c r="S1164" s="10" t="str">
        <f>Tabela2[[#This Row],[Coluna8]]</f>
        <v>NOTAS FISCAIS</v>
      </c>
      <c r="T1164" s="10" t="e">
        <f>Tabela2[[#This Row],[Coluna72]]</f>
        <v>#REF!</v>
      </c>
      <c r="U1164" s="10">
        <f>SUM(Tabela2[[#This Row],[Coluna9]],Tabela2[[#This Row],[Coluna10]])</f>
        <v>79</v>
      </c>
      <c r="V1164" s="2" t="str">
        <f>Tabela2[[#This Row],[Coluna4]]</f>
        <v>20/11/2025</v>
      </c>
      <c r="W1164" s="2" t="str">
        <f>Tabela2[[#This Row],[Coluna6]]</f>
        <v>20/11/2025</v>
      </c>
    </row>
    <row r="1165" spans="2:23" x14ac:dyDescent="0.2">
      <c r="B1165" t="s">
        <v>12</v>
      </c>
      <c r="C1165" t="s">
        <v>95</v>
      </c>
      <c r="D1165" t="s">
        <v>13</v>
      </c>
      <c r="E1165" s="8" t="s">
        <v>253</v>
      </c>
      <c r="F1165" t="s">
        <v>42</v>
      </c>
      <c r="G1165" s="8" t="s">
        <v>253</v>
      </c>
      <c r="H1165" t="s">
        <v>597</v>
      </c>
      <c r="I1165" t="e">
        <f>VLOOKUP(Tabela2[[#This Row],[Coluna7]],[1]!Tabela1[#All],2,0)</f>
        <v>#REF!</v>
      </c>
      <c r="J1165" t="s">
        <v>620</v>
      </c>
      <c r="L1165">
        <v>1000</v>
      </c>
      <c r="Q1165" s="10" t="str">
        <f>Tabela2[[#This Row],[Coluna5]]</f>
        <v>11/2025</v>
      </c>
      <c r="R1165" s="10" t="str">
        <f>IF(Tabela2[[#This Row],[Coluna9]]&gt;0,"Entrada","Saída")</f>
        <v>Saída</v>
      </c>
      <c r="S1165" s="10" t="str">
        <f>Tabela2[[#This Row],[Coluna8]]</f>
        <v>VALDECI MARCULINO</v>
      </c>
      <c r="T1165" s="10" t="e">
        <f>Tabela2[[#This Row],[Coluna72]]</f>
        <v>#REF!</v>
      </c>
      <c r="U1165" s="10">
        <f>SUM(Tabela2[[#This Row],[Coluna9]],Tabela2[[#This Row],[Coluna10]])</f>
        <v>1000</v>
      </c>
      <c r="V1165" s="2" t="str">
        <f>Tabela2[[#This Row],[Coluna4]]</f>
        <v>21/11/2025</v>
      </c>
      <c r="W1165" s="2" t="str">
        <f>Tabela2[[#This Row],[Coluna6]]</f>
        <v>21/11/2025</v>
      </c>
    </row>
    <row r="1166" spans="2:23" x14ac:dyDescent="0.2">
      <c r="B1166" t="s">
        <v>12</v>
      </c>
      <c r="C1166" t="s">
        <v>95</v>
      </c>
      <c r="D1166" t="s">
        <v>13</v>
      </c>
      <c r="E1166" s="8" t="s">
        <v>253</v>
      </c>
      <c r="F1166" t="s">
        <v>42</v>
      </c>
      <c r="G1166" s="8" t="s">
        <v>253</v>
      </c>
      <c r="H1166" t="s">
        <v>546</v>
      </c>
      <c r="I1166" t="e">
        <f>VLOOKUP(Tabela2[[#This Row],[Coluna7]],[1]!Tabela1[#All],2,0)</f>
        <v>#REF!</v>
      </c>
      <c r="J1166" t="s">
        <v>584</v>
      </c>
      <c r="L1166">
        <v>150</v>
      </c>
      <c r="Q1166" s="10" t="str">
        <f>Tabela2[[#This Row],[Coluna5]]</f>
        <v>11/2025</v>
      </c>
      <c r="R1166" s="10" t="str">
        <f>IF(Tabela2[[#This Row],[Coluna9]]&gt;0,"Entrada","Saída")</f>
        <v>Saída</v>
      </c>
      <c r="S1166" s="10" t="str">
        <f>Tabela2[[#This Row],[Coluna8]]</f>
        <v>ELIEL ANTONIO DA SILVA</v>
      </c>
      <c r="T1166" s="10" t="e">
        <f>Tabela2[[#This Row],[Coluna72]]</f>
        <v>#REF!</v>
      </c>
      <c r="U1166" s="10">
        <f>SUM(Tabela2[[#This Row],[Coluna9]],Tabela2[[#This Row],[Coluna10]])</f>
        <v>150</v>
      </c>
      <c r="V1166" s="2" t="str">
        <f>Tabela2[[#This Row],[Coluna4]]</f>
        <v>21/11/2025</v>
      </c>
      <c r="W1166" s="2" t="str">
        <f>Tabela2[[#This Row],[Coluna6]]</f>
        <v>21/11/2025</v>
      </c>
    </row>
    <row r="1167" spans="2:23" x14ac:dyDescent="0.2">
      <c r="B1167" t="s">
        <v>12</v>
      </c>
      <c r="C1167" t="s">
        <v>95</v>
      </c>
      <c r="D1167" t="s">
        <v>13</v>
      </c>
      <c r="E1167" s="8" t="s">
        <v>253</v>
      </c>
      <c r="F1167" t="s">
        <v>42</v>
      </c>
      <c r="G1167" s="8" t="s">
        <v>253</v>
      </c>
      <c r="H1167" t="s">
        <v>546</v>
      </c>
      <c r="I1167" t="e">
        <f>VLOOKUP(Tabela2[[#This Row],[Coluna7]],[1]!Tabela1[#All],2,0)</f>
        <v>#REF!</v>
      </c>
      <c r="J1167" t="s">
        <v>565</v>
      </c>
      <c r="L1167">
        <v>100</v>
      </c>
      <c r="Q1167" s="10" t="str">
        <f>Tabela2[[#This Row],[Coluna5]]</f>
        <v>11/2025</v>
      </c>
      <c r="R1167" s="10" t="str">
        <f>IF(Tabela2[[#This Row],[Coluna9]]&gt;0,"Entrada","Saída")</f>
        <v>Saída</v>
      </c>
      <c r="S1167" s="10" t="str">
        <f>Tabela2[[#This Row],[Coluna8]]</f>
        <v>LEANDRO JOAO BATISTA</v>
      </c>
      <c r="T1167" s="10" t="e">
        <f>Tabela2[[#This Row],[Coluna72]]</f>
        <v>#REF!</v>
      </c>
      <c r="U1167" s="10">
        <f>SUM(Tabela2[[#This Row],[Coluna9]],Tabela2[[#This Row],[Coluna10]])</f>
        <v>100</v>
      </c>
      <c r="V1167" s="2" t="str">
        <f>Tabela2[[#This Row],[Coluna4]]</f>
        <v>21/11/2025</v>
      </c>
      <c r="W1167" s="2" t="str">
        <f>Tabela2[[#This Row],[Coluna6]]</f>
        <v>21/11/2025</v>
      </c>
    </row>
    <row r="1168" spans="2:23" x14ac:dyDescent="0.2">
      <c r="B1168" t="s">
        <v>12</v>
      </c>
      <c r="C1168" t="s">
        <v>95</v>
      </c>
      <c r="D1168" t="s">
        <v>13</v>
      </c>
      <c r="E1168" s="8" t="s">
        <v>253</v>
      </c>
      <c r="F1168" t="s">
        <v>42</v>
      </c>
      <c r="G1168" s="8" t="s">
        <v>253</v>
      </c>
      <c r="H1168" t="s">
        <v>535</v>
      </c>
      <c r="I1168" t="e">
        <f>VLOOKUP(Tabela2[[#This Row],[Coluna7]],[1]!Tabela1[#All],2,0)</f>
        <v>#REF!</v>
      </c>
      <c r="J1168" t="s">
        <v>621</v>
      </c>
      <c r="L1168">
        <v>50</v>
      </c>
      <c r="Q1168" s="10" t="str">
        <f>Tabela2[[#This Row],[Coluna5]]</f>
        <v>11/2025</v>
      </c>
      <c r="R1168" s="10" t="str">
        <f>IF(Tabela2[[#This Row],[Coluna9]]&gt;0,"Entrada","Saída")</f>
        <v>Saída</v>
      </c>
      <c r="S1168" s="10" t="str">
        <f>Tabela2[[#This Row],[Coluna8]]</f>
        <v>ANIVERSÁRIO ALISSON</v>
      </c>
      <c r="T1168" s="10" t="e">
        <f>Tabela2[[#This Row],[Coluna72]]</f>
        <v>#REF!</v>
      </c>
      <c r="U1168" s="10">
        <f>SUM(Tabela2[[#This Row],[Coluna9]],Tabela2[[#This Row],[Coluna10]])</f>
        <v>50</v>
      </c>
      <c r="V1168" s="2" t="str">
        <f>Tabela2[[#This Row],[Coluna4]]</f>
        <v>21/11/2025</v>
      </c>
      <c r="W1168" s="2" t="str">
        <f>Tabela2[[#This Row],[Coluna6]]</f>
        <v>21/11/2025</v>
      </c>
    </row>
    <row r="1169" spans="2:23" x14ac:dyDescent="0.2">
      <c r="B1169" t="s">
        <v>18</v>
      </c>
      <c r="C1169" t="s">
        <v>95</v>
      </c>
      <c r="D1169" t="s">
        <v>13</v>
      </c>
      <c r="E1169" s="8" t="s">
        <v>61</v>
      </c>
      <c r="F1169" t="s">
        <v>42</v>
      </c>
      <c r="G1169" s="8" t="s">
        <v>61</v>
      </c>
      <c r="H1169" t="s">
        <v>546</v>
      </c>
      <c r="I1169" t="e">
        <f>VLOOKUP(Tabela2[[#This Row],[Coluna7]],[1]!Tabela1[#All],2,0)</f>
        <v>#REF!</v>
      </c>
      <c r="J1169" t="s">
        <v>547</v>
      </c>
      <c r="L1169">
        <v>650</v>
      </c>
      <c r="Q1169" s="10" t="str">
        <f>Tabela2[[#This Row],[Coluna5]]</f>
        <v>11/2025</v>
      </c>
      <c r="R1169" s="10" t="str">
        <f>IF(Tabela2[[#This Row],[Coluna9]]&gt;0,"Entrada","Saída")</f>
        <v>Saída</v>
      </c>
      <c r="S1169" s="10" t="str">
        <f>Tabela2[[#This Row],[Coluna8]]</f>
        <v>LEANDRO JOAO BATISTA DOS SANTOS</v>
      </c>
      <c r="T1169" s="10" t="e">
        <f>Tabela2[[#This Row],[Coluna72]]</f>
        <v>#REF!</v>
      </c>
      <c r="U1169" s="10">
        <f>SUM(Tabela2[[#This Row],[Coluna9]],Tabela2[[#This Row],[Coluna10]])</f>
        <v>650</v>
      </c>
      <c r="V1169" s="2" t="str">
        <f>Tabela2[[#This Row],[Coluna4]]</f>
        <v>22/11/2025</v>
      </c>
      <c r="W1169" s="2" t="str">
        <f>Tabela2[[#This Row],[Coluna6]]</f>
        <v>22/11/2025</v>
      </c>
    </row>
    <row r="1170" spans="2:23" x14ac:dyDescent="0.2">
      <c r="B1170" t="s">
        <v>18</v>
      </c>
      <c r="C1170" t="s">
        <v>95</v>
      </c>
      <c r="D1170" t="s">
        <v>13</v>
      </c>
      <c r="E1170" s="8" t="s">
        <v>61</v>
      </c>
      <c r="F1170" t="s">
        <v>42</v>
      </c>
      <c r="G1170" s="8" t="s">
        <v>61</v>
      </c>
      <c r="H1170" t="s">
        <v>546</v>
      </c>
      <c r="I1170" t="e">
        <f>VLOOKUP(Tabela2[[#This Row],[Coluna7]],[1]!Tabela1[#All],2,0)</f>
        <v>#REF!</v>
      </c>
      <c r="J1170" t="s">
        <v>584</v>
      </c>
      <c r="L1170">
        <v>1000</v>
      </c>
      <c r="Q1170" s="10" t="str">
        <f>Tabela2[[#This Row],[Coluna5]]</f>
        <v>11/2025</v>
      </c>
      <c r="R1170" s="10" t="str">
        <f>IF(Tabela2[[#This Row],[Coluna9]]&gt;0,"Entrada","Saída")</f>
        <v>Saída</v>
      </c>
      <c r="S1170" s="10" t="str">
        <f>Tabela2[[#This Row],[Coluna8]]</f>
        <v>ELIEL ANTONIO DA SILVA</v>
      </c>
      <c r="T1170" s="10" t="e">
        <f>Tabela2[[#This Row],[Coluna72]]</f>
        <v>#REF!</v>
      </c>
      <c r="U1170" s="10">
        <f>SUM(Tabela2[[#This Row],[Coluna9]],Tabela2[[#This Row],[Coluna10]])</f>
        <v>1000</v>
      </c>
      <c r="V1170" s="2" t="str">
        <f>Tabela2[[#This Row],[Coluna4]]</f>
        <v>22/11/2025</v>
      </c>
      <c r="W1170" s="2" t="str">
        <f>Tabela2[[#This Row],[Coluna6]]</f>
        <v>22/11/2025</v>
      </c>
    </row>
    <row r="1171" spans="2:23" x14ac:dyDescent="0.2">
      <c r="B1171" t="s">
        <v>18</v>
      </c>
      <c r="C1171" t="s">
        <v>95</v>
      </c>
      <c r="D1171" t="s">
        <v>13</v>
      </c>
      <c r="E1171" s="8" t="s">
        <v>62</v>
      </c>
      <c r="F1171" t="s">
        <v>42</v>
      </c>
      <c r="G1171" s="8" t="s">
        <v>62</v>
      </c>
      <c r="H1171" t="s">
        <v>542</v>
      </c>
      <c r="I1171" t="e">
        <f>VLOOKUP(Tabela2[[#This Row],[Coluna7]],[1]!Tabela1[#All],2,0)</f>
        <v>#REF!</v>
      </c>
      <c r="J1171" t="s">
        <v>622</v>
      </c>
      <c r="L1171">
        <v>250</v>
      </c>
      <c r="Q1171" s="10" t="str">
        <f>Tabela2[[#This Row],[Coluna5]]</f>
        <v>11/2025</v>
      </c>
      <c r="R1171" s="10" t="str">
        <f>IF(Tabela2[[#This Row],[Coluna9]]&gt;0,"Entrada","Saída")</f>
        <v>Saída</v>
      </c>
      <c r="S1171" s="10" t="str">
        <f>Tabela2[[#This Row],[Coluna8]]</f>
        <v>JOSENILDA PONCIANO  - REFERENTE A JOAO SIMAO</v>
      </c>
      <c r="T1171" s="10" t="e">
        <f>Tabela2[[#This Row],[Coluna72]]</f>
        <v>#REF!</v>
      </c>
      <c r="U1171" s="10">
        <f>SUM(Tabela2[[#This Row],[Coluna9]],Tabela2[[#This Row],[Coluna10]])</f>
        <v>250</v>
      </c>
      <c r="V1171" s="2" t="str">
        <f>Tabela2[[#This Row],[Coluna4]]</f>
        <v>24/11/2025</v>
      </c>
      <c r="W1171" s="2" t="str">
        <f>Tabela2[[#This Row],[Coluna6]]</f>
        <v>24/11/2025</v>
      </c>
    </row>
    <row r="1172" spans="2:23" x14ac:dyDescent="0.2">
      <c r="B1172" t="s">
        <v>18</v>
      </c>
      <c r="C1172" t="s">
        <v>125</v>
      </c>
      <c r="D1172" t="s">
        <v>13</v>
      </c>
      <c r="E1172" s="8" t="s">
        <v>62</v>
      </c>
      <c r="F1172" t="s">
        <v>42</v>
      </c>
      <c r="G1172" s="8" t="s">
        <v>62</v>
      </c>
      <c r="H1172" t="s">
        <v>597</v>
      </c>
      <c r="I1172" t="e">
        <f>VLOOKUP(Tabela2[[#This Row],[Coluna7]],[1]!Tabela1[#All],2,0)</f>
        <v>#REF!</v>
      </c>
      <c r="J1172" t="s">
        <v>623</v>
      </c>
      <c r="L1172">
        <v>75</v>
      </c>
      <c r="N1172" t="s">
        <v>624</v>
      </c>
      <c r="Q1172" s="10" t="str">
        <f>Tabela2[[#This Row],[Coluna5]]</f>
        <v>11/2025</v>
      </c>
      <c r="R1172" s="10" t="str">
        <f>IF(Tabela2[[#This Row],[Coluna9]]&gt;0,"Entrada","Saída")</f>
        <v>Saída</v>
      </c>
      <c r="S1172" s="10" t="str">
        <f>Tabela2[[#This Row],[Coluna8]]</f>
        <v>JOAO PAULO MONTEIRO DA SILVA</v>
      </c>
      <c r="T1172" s="10" t="e">
        <f>Tabela2[[#This Row],[Coluna72]]</f>
        <v>#REF!</v>
      </c>
      <c r="U1172" s="10">
        <f>SUM(Tabela2[[#This Row],[Coluna9]],Tabela2[[#This Row],[Coluna10]])</f>
        <v>75</v>
      </c>
      <c r="V1172" s="2" t="str">
        <f>Tabela2[[#This Row],[Coluna4]]</f>
        <v>24/11/2025</v>
      </c>
      <c r="W1172" s="2" t="str">
        <f>Tabela2[[#This Row],[Coluna6]]</f>
        <v>24/11/2025</v>
      </c>
    </row>
    <row r="1173" spans="2:23" hidden="1" x14ac:dyDescent="0.2">
      <c r="B1173" t="s">
        <v>18</v>
      </c>
      <c r="C1173" t="s">
        <v>95</v>
      </c>
      <c r="D1173" t="s">
        <v>13</v>
      </c>
      <c r="E1173" s="8" t="s">
        <v>62</v>
      </c>
      <c r="F1173" t="s">
        <v>42</v>
      </c>
      <c r="G1173" s="8" t="s">
        <v>62</v>
      </c>
      <c r="H1173" t="s">
        <v>625</v>
      </c>
      <c r="I1173" t="e">
        <f>VLOOKUP(Tabela2[[#This Row],[Coluna7]],[1]!Tabela1[#All],2,0)</f>
        <v>#REF!</v>
      </c>
      <c r="J1173" t="s">
        <v>626</v>
      </c>
      <c r="L1173">
        <v>1000</v>
      </c>
      <c r="Q1173" s="10" t="str">
        <f>Tabela2[[#This Row],[Coluna5]]</f>
        <v>11/2025</v>
      </c>
      <c r="R1173" s="10" t="str">
        <f>IF(Tabela2[[#This Row],[Coluna9]]&gt;0,"Entrada","Saída")</f>
        <v>Saída</v>
      </c>
      <c r="S1173" s="10" t="str">
        <f>Tabela2[[#This Row],[Coluna8]]</f>
        <v>CARTÃO EFI</v>
      </c>
      <c r="T1173" s="10" t="e">
        <f>Tabela2[[#This Row],[Coluna72]]</f>
        <v>#REF!</v>
      </c>
      <c r="U1173" s="10">
        <f>SUM(Tabela2[[#This Row],[Coluna9]],Tabela2[[#This Row],[Coluna10]])</f>
        <v>1000</v>
      </c>
      <c r="V1173" s="2" t="str">
        <f>Tabela2[[#This Row],[Coluna4]]</f>
        <v>24/11/2025</v>
      </c>
      <c r="W1173" s="2" t="str">
        <f>Tabela2[[#This Row],[Coluna6]]</f>
        <v>24/11/2025</v>
      </c>
    </row>
    <row r="1174" spans="2:23" x14ac:dyDescent="0.2">
      <c r="B1174" t="s">
        <v>18</v>
      </c>
      <c r="C1174" t="s">
        <v>95</v>
      </c>
      <c r="D1174" t="s">
        <v>13</v>
      </c>
      <c r="E1174" s="8" t="s">
        <v>256</v>
      </c>
      <c r="F1174" t="s">
        <v>42</v>
      </c>
      <c r="G1174" s="8" t="s">
        <v>256</v>
      </c>
      <c r="H1174" t="s">
        <v>570</v>
      </c>
      <c r="I1174" t="e">
        <f>VLOOKUP(Tabela2[[#This Row],[Coluna7]],[1]!Tabela1[#All],2,0)</f>
        <v>#REF!</v>
      </c>
      <c r="L1174">
        <v>77.66</v>
      </c>
      <c r="Q1174" s="10" t="str">
        <f>Tabela2[[#This Row],[Coluna5]]</f>
        <v>11/2025</v>
      </c>
      <c r="R1174" s="10" t="str">
        <f>IF(Tabela2[[#This Row],[Coluna9]]&gt;0,"Entrada","Saída")</f>
        <v>Saída</v>
      </c>
      <c r="S1174" s="10">
        <f>Tabela2[[#This Row],[Coluna8]]</f>
        <v>0</v>
      </c>
      <c r="T1174" s="10" t="e">
        <f>Tabela2[[#This Row],[Coluna72]]</f>
        <v>#REF!</v>
      </c>
      <c r="U1174" s="10">
        <f>SUM(Tabela2[[#This Row],[Coluna9]],Tabela2[[#This Row],[Coluna10]])</f>
        <v>77.66</v>
      </c>
      <c r="V1174" s="2" t="str">
        <f>Tabela2[[#This Row],[Coluna4]]</f>
        <v>25/11/2025</v>
      </c>
      <c r="W1174" s="2" t="str">
        <f>Tabela2[[#This Row],[Coluna6]]</f>
        <v>25/11/2025</v>
      </c>
    </row>
    <row r="1175" spans="2:23" x14ac:dyDescent="0.2">
      <c r="B1175" t="s">
        <v>18</v>
      </c>
      <c r="C1175" t="s">
        <v>95</v>
      </c>
      <c r="D1175" t="s">
        <v>13</v>
      </c>
      <c r="E1175" s="8" t="s">
        <v>256</v>
      </c>
      <c r="F1175" t="s">
        <v>42</v>
      </c>
      <c r="G1175" s="8" t="s">
        <v>256</v>
      </c>
      <c r="H1175" t="s">
        <v>443</v>
      </c>
      <c r="I1175" t="e">
        <f>VLOOKUP(Tabela2[[#This Row],[Coluna7]],[1]!Tabela1[#All],2,0)</f>
        <v>#REF!</v>
      </c>
      <c r="J1175" t="s">
        <v>454</v>
      </c>
      <c r="L1175">
        <v>22</v>
      </c>
      <c r="Q1175" s="10" t="str">
        <f>Tabela2[[#This Row],[Coluna5]]</f>
        <v>11/2025</v>
      </c>
      <c r="R1175" s="10" t="str">
        <f>IF(Tabela2[[#This Row],[Coluna9]]&gt;0,"Entrada","Saída")</f>
        <v>Saída</v>
      </c>
      <c r="S1175" s="10" t="str">
        <f>Tabela2[[#This Row],[Coluna8]]</f>
        <v>ALMOÇO</v>
      </c>
      <c r="T1175" s="10" t="e">
        <f>Tabela2[[#This Row],[Coluna72]]</f>
        <v>#REF!</v>
      </c>
      <c r="U1175" s="10">
        <f>SUM(Tabela2[[#This Row],[Coluna9]],Tabela2[[#This Row],[Coluna10]])</f>
        <v>22</v>
      </c>
      <c r="V1175" s="2" t="str">
        <f>Tabela2[[#This Row],[Coluna4]]</f>
        <v>25/11/2025</v>
      </c>
      <c r="W1175" s="2" t="str">
        <f>Tabela2[[#This Row],[Coluna6]]</f>
        <v>25/11/2025</v>
      </c>
    </row>
    <row r="1176" spans="2:23" x14ac:dyDescent="0.2">
      <c r="B1176" t="s">
        <v>18</v>
      </c>
      <c r="C1176" t="s">
        <v>95</v>
      </c>
      <c r="D1176" t="s">
        <v>13</v>
      </c>
      <c r="E1176" s="8" t="s">
        <v>256</v>
      </c>
      <c r="F1176" t="s">
        <v>42</v>
      </c>
      <c r="G1176" s="8" t="s">
        <v>256</v>
      </c>
      <c r="H1176" t="s">
        <v>542</v>
      </c>
      <c r="I1176" t="e">
        <f>VLOOKUP(Tabela2[[#This Row],[Coluna7]],[1]!Tabela1[#All],2,0)</f>
        <v>#REF!</v>
      </c>
      <c r="J1176" t="s">
        <v>583</v>
      </c>
      <c r="L1176">
        <v>300</v>
      </c>
      <c r="Q1176" s="10" t="str">
        <f>Tabela2[[#This Row],[Coluna5]]</f>
        <v>11/2025</v>
      </c>
      <c r="R1176" s="10" t="str">
        <f>IF(Tabela2[[#This Row],[Coluna9]]&gt;0,"Entrada","Saída")</f>
        <v>Saída</v>
      </c>
      <c r="S1176" s="10" t="str">
        <f>Tabela2[[#This Row],[Coluna8]]</f>
        <v>DIEGO AIRES MORENO</v>
      </c>
      <c r="T1176" s="10" t="e">
        <f>Tabela2[[#This Row],[Coluna72]]</f>
        <v>#REF!</v>
      </c>
      <c r="U1176" s="10">
        <f>SUM(Tabela2[[#This Row],[Coluna9]],Tabela2[[#This Row],[Coluna10]])</f>
        <v>300</v>
      </c>
      <c r="V1176" s="2" t="str">
        <f>Tabela2[[#This Row],[Coluna4]]</f>
        <v>25/11/2025</v>
      </c>
      <c r="W1176" s="2" t="str">
        <f>Tabela2[[#This Row],[Coluna6]]</f>
        <v>25/11/2025</v>
      </c>
    </row>
    <row r="1177" spans="2:23" x14ac:dyDescent="0.2">
      <c r="B1177" t="s">
        <v>18</v>
      </c>
      <c r="C1177" t="s">
        <v>95</v>
      </c>
      <c r="D1177" t="s">
        <v>13</v>
      </c>
      <c r="E1177" s="8" t="s">
        <v>265</v>
      </c>
      <c r="F1177" t="s">
        <v>42</v>
      </c>
      <c r="G1177" s="8" t="s">
        <v>265</v>
      </c>
      <c r="H1177" t="s">
        <v>542</v>
      </c>
      <c r="I1177" t="e">
        <f>VLOOKUP(Tabela2[[#This Row],[Coluna7]],[1]!Tabela1[#All],2,0)</f>
        <v>#REF!</v>
      </c>
      <c r="J1177" t="s">
        <v>583</v>
      </c>
      <c r="L1177">
        <v>500</v>
      </c>
      <c r="Q1177" s="10" t="str">
        <f>Tabela2[[#This Row],[Coluna5]]</f>
        <v>11/2025</v>
      </c>
      <c r="R1177" s="10" t="str">
        <f>IF(Tabela2[[#This Row],[Coluna9]]&gt;0,"Entrada","Saída")</f>
        <v>Saída</v>
      </c>
      <c r="S1177" s="10" t="str">
        <f>Tabela2[[#This Row],[Coluna8]]</f>
        <v>DIEGO AIRES MORENO</v>
      </c>
      <c r="T1177" s="10" t="e">
        <f>Tabela2[[#This Row],[Coluna72]]</f>
        <v>#REF!</v>
      </c>
      <c r="U1177" s="10">
        <f>SUM(Tabela2[[#This Row],[Coluna9]],Tabela2[[#This Row],[Coluna10]])</f>
        <v>500</v>
      </c>
      <c r="V1177" s="2" t="str">
        <f>Tabela2[[#This Row],[Coluna4]]</f>
        <v>27/11/2025</v>
      </c>
      <c r="W1177" s="2" t="str">
        <f>Tabela2[[#This Row],[Coluna6]]</f>
        <v>27/11/2025</v>
      </c>
    </row>
    <row r="1178" spans="2:23" hidden="1" x14ac:dyDescent="0.2">
      <c r="B1178" t="s">
        <v>18</v>
      </c>
      <c r="C1178" t="s">
        <v>95</v>
      </c>
      <c r="D1178" t="s">
        <v>13</v>
      </c>
      <c r="E1178" s="8" t="s">
        <v>269</v>
      </c>
      <c r="F1178" t="s">
        <v>42</v>
      </c>
      <c r="G1178" s="8" t="s">
        <v>269</v>
      </c>
      <c r="H1178" t="s">
        <v>625</v>
      </c>
      <c r="I1178" t="e">
        <f>VLOOKUP(Tabela2[[#This Row],[Coluna7]],[1]!Tabela1[#All],2,0)</f>
        <v>#REF!</v>
      </c>
      <c r="J1178" t="s">
        <v>627</v>
      </c>
      <c r="L1178">
        <v>500</v>
      </c>
      <c r="Q1178" s="10" t="str">
        <f>Tabela2[[#This Row],[Coluna5]]</f>
        <v>11/2025</v>
      </c>
      <c r="R1178" s="10" t="str">
        <f>IF(Tabela2[[#This Row],[Coluna9]]&gt;0,"Entrada","Saída")</f>
        <v>Saída</v>
      </c>
      <c r="S1178" s="10" t="str">
        <f>Tabela2[[#This Row],[Coluna8]]</f>
        <v>CARTÃO EFÍ</v>
      </c>
      <c r="T1178" s="10" t="e">
        <f>Tabela2[[#This Row],[Coluna72]]</f>
        <v>#REF!</v>
      </c>
      <c r="U1178" s="10">
        <f>SUM(Tabela2[[#This Row],[Coluna9]],Tabela2[[#This Row],[Coluna10]])</f>
        <v>500</v>
      </c>
      <c r="V1178" s="2" t="str">
        <f>Tabela2[[#This Row],[Coluna4]]</f>
        <v>28/11/2025</v>
      </c>
      <c r="W1178" s="2" t="str">
        <f>Tabela2[[#This Row],[Coluna6]]</f>
        <v>28/11/2025</v>
      </c>
    </row>
    <row r="1179" spans="2:23" x14ac:dyDescent="0.2">
      <c r="B1179" t="s">
        <v>12</v>
      </c>
      <c r="C1179" t="s">
        <v>95</v>
      </c>
      <c r="D1179" t="s">
        <v>13</v>
      </c>
      <c r="E1179" s="8" t="s">
        <v>274</v>
      </c>
      <c r="F1179" t="s">
        <v>42</v>
      </c>
      <c r="G1179" s="8" t="s">
        <v>274</v>
      </c>
      <c r="H1179" t="s">
        <v>546</v>
      </c>
      <c r="I1179" t="e">
        <f>VLOOKUP(Tabela2[[#This Row],[Coluna7]],[1]!Tabela1[#All],2,0)</f>
        <v>#REF!</v>
      </c>
      <c r="J1179" t="s">
        <v>565</v>
      </c>
      <c r="L1179">
        <v>450</v>
      </c>
      <c r="Q1179" s="10" t="str">
        <f>Tabela2[[#This Row],[Coluna5]]</f>
        <v>11/2025</v>
      </c>
      <c r="R1179" s="10" t="str">
        <f>IF(Tabela2[[#This Row],[Coluna9]]&gt;0,"Entrada","Saída")</f>
        <v>Saída</v>
      </c>
      <c r="S1179" s="10" t="str">
        <f>Tabela2[[#This Row],[Coluna8]]</f>
        <v>LEANDRO JOAO BATISTA</v>
      </c>
      <c r="T1179" s="10" t="e">
        <f>Tabela2[[#This Row],[Coluna72]]</f>
        <v>#REF!</v>
      </c>
      <c r="U1179" s="10">
        <f>SUM(Tabela2[[#This Row],[Coluna9]],Tabela2[[#This Row],[Coluna10]])</f>
        <v>450</v>
      </c>
      <c r="V1179" s="2" t="str">
        <f>Tabela2[[#This Row],[Coluna4]]</f>
        <v>29/11/2025</v>
      </c>
      <c r="W1179" s="2" t="str">
        <f>Tabela2[[#This Row],[Coluna6]]</f>
        <v>29/11/2025</v>
      </c>
    </row>
    <row r="1180" spans="2:23" x14ac:dyDescent="0.2">
      <c r="B1180" t="s">
        <v>12</v>
      </c>
      <c r="C1180" t="s">
        <v>95</v>
      </c>
      <c r="D1180" t="s">
        <v>13</v>
      </c>
      <c r="E1180" s="8" t="s">
        <v>274</v>
      </c>
      <c r="F1180" t="s">
        <v>42</v>
      </c>
      <c r="G1180" s="8" t="s">
        <v>274</v>
      </c>
      <c r="H1180" t="s">
        <v>570</v>
      </c>
      <c r="I1180" t="e">
        <f>VLOOKUP(Tabela2[[#This Row],[Coluna7]],[1]!Tabela1[#All],2,0)</f>
        <v>#REF!</v>
      </c>
      <c r="L1180">
        <v>5.8</v>
      </c>
      <c r="Q1180" s="10" t="str">
        <f>Tabela2[[#This Row],[Coluna5]]</f>
        <v>11/2025</v>
      </c>
      <c r="R1180" s="10" t="str">
        <f>IF(Tabela2[[#This Row],[Coluna9]]&gt;0,"Entrada","Saída")</f>
        <v>Saída</v>
      </c>
      <c r="S1180" s="10">
        <f>Tabela2[[#This Row],[Coluna8]]</f>
        <v>0</v>
      </c>
      <c r="T1180" s="10" t="e">
        <f>Tabela2[[#This Row],[Coluna72]]</f>
        <v>#REF!</v>
      </c>
      <c r="U1180" s="10">
        <f>SUM(Tabela2[[#This Row],[Coluna9]],Tabela2[[#This Row],[Coluna10]])</f>
        <v>5.8</v>
      </c>
      <c r="V1180" s="2" t="str">
        <f>Tabela2[[#This Row],[Coluna4]]</f>
        <v>29/11/2025</v>
      </c>
      <c r="W1180" s="2" t="str">
        <f>Tabela2[[#This Row],[Coluna6]]</f>
        <v>29/11/2025</v>
      </c>
    </row>
    <row r="1181" spans="2:23" x14ac:dyDescent="0.2">
      <c r="B1181" t="s">
        <v>12</v>
      </c>
      <c r="C1181" t="s">
        <v>95</v>
      </c>
      <c r="D1181" t="s">
        <v>13</v>
      </c>
      <c r="E1181" s="8" t="s">
        <v>274</v>
      </c>
      <c r="F1181" t="s">
        <v>64</v>
      </c>
      <c r="G1181" s="8" t="s">
        <v>274</v>
      </c>
      <c r="H1181" t="s">
        <v>570</v>
      </c>
      <c r="I1181" t="e">
        <f>VLOOKUP(Tabela2[[#This Row],[Coluna7]],[1]!Tabela1[#All],2,0)</f>
        <v>#REF!</v>
      </c>
      <c r="L1181">
        <v>21</v>
      </c>
      <c r="Q1181" s="10" t="str">
        <f>Tabela2[[#This Row],[Coluna5]]</f>
        <v>12/2025</v>
      </c>
      <c r="R1181" s="10" t="str">
        <f>IF(Tabela2[[#This Row],[Coluna9]]&gt;0,"Entrada","Saída")</f>
        <v>Saída</v>
      </c>
      <c r="S1181" s="10">
        <f>Tabela2[[#This Row],[Coluna8]]</f>
        <v>0</v>
      </c>
      <c r="T1181" s="10" t="e">
        <f>Tabela2[[#This Row],[Coluna72]]</f>
        <v>#REF!</v>
      </c>
      <c r="U1181" s="10">
        <f>SUM(Tabela2[[#This Row],[Coluna9]],Tabela2[[#This Row],[Coluna10]])</f>
        <v>21</v>
      </c>
      <c r="V1181" s="2" t="str">
        <f>Tabela2[[#This Row],[Coluna4]]</f>
        <v>29/11/2025</v>
      </c>
      <c r="W1181" s="2" t="str">
        <f>Tabela2[[#This Row],[Coluna6]]</f>
        <v>29/11/2025</v>
      </c>
    </row>
    <row r="1182" spans="2:23" x14ac:dyDescent="0.2">
      <c r="B1182" t="s">
        <v>12</v>
      </c>
      <c r="C1182" t="s">
        <v>95</v>
      </c>
      <c r="D1182" t="s">
        <v>13</v>
      </c>
      <c r="E1182" s="8" t="s">
        <v>274</v>
      </c>
      <c r="F1182" t="s">
        <v>42</v>
      </c>
      <c r="G1182" s="8" t="s">
        <v>274</v>
      </c>
      <c r="H1182" t="s">
        <v>570</v>
      </c>
      <c r="I1182" t="e">
        <f>VLOOKUP(Tabela2[[#This Row],[Coluna7]],[1]!Tabela1[#All],2,0)</f>
        <v>#REF!</v>
      </c>
      <c r="L1182">
        <v>4.5999999999999996</v>
      </c>
      <c r="Q1182" s="10" t="str">
        <f>Tabela2[[#This Row],[Coluna5]]</f>
        <v>11/2025</v>
      </c>
      <c r="R1182" s="10" t="str">
        <f>IF(Tabela2[[#This Row],[Coluna9]]&gt;0,"Entrada","Saída")</f>
        <v>Saída</v>
      </c>
      <c r="S1182" s="10">
        <f>Tabela2[[#This Row],[Coluna8]]</f>
        <v>0</v>
      </c>
      <c r="T1182" s="10" t="e">
        <f>Tabela2[[#This Row],[Coluna72]]</f>
        <v>#REF!</v>
      </c>
      <c r="U1182" s="10">
        <f>SUM(Tabela2[[#This Row],[Coluna9]],Tabela2[[#This Row],[Coluna10]])</f>
        <v>4.5999999999999996</v>
      </c>
      <c r="V1182" s="2" t="str">
        <f>Tabela2[[#This Row],[Coluna4]]</f>
        <v>29/11/2025</v>
      </c>
      <c r="W1182" s="2" t="str">
        <f>Tabela2[[#This Row],[Coluna6]]</f>
        <v>29/11/2025</v>
      </c>
    </row>
    <row r="1183" spans="2:23" x14ac:dyDescent="0.2">
      <c r="B1183" t="s">
        <v>12</v>
      </c>
      <c r="C1183" t="s">
        <v>95</v>
      </c>
      <c r="D1183" t="s">
        <v>13</v>
      </c>
      <c r="E1183" s="8" t="s">
        <v>274</v>
      </c>
      <c r="F1183" t="s">
        <v>42</v>
      </c>
      <c r="G1183" s="8" t="s">
        <v>274</v>
      </c>
      <c r="H1183" t="s">
        <v>570</v>
      </c>
      <c r="I1183" t="e">
        <f>VLOOKUP(Tabela2[[#This Row],[Coluna7]],[1]!Tabela1[#All],2,0)</f>
        <v>#REF!</v>
      </c>
      <c r="L1183">
        <v>10.4</v>
      </c>
      <c r="Q1183" s="10" t="str">
        <f>Tabela2[[#This Row],[Coluna5]]</f>
        <v>11/2025</v>
      </c>
      <c r="R1183" s="10" t="str">
        <f>IF(Tabela2[[#This Row],[Coluna9]]&gt;0,"Entrada","Saída")</f>
        <v>Saída</v>
      </c>
      <c r="S1183" s="10">
        <f>Tabela2[[#This Row],[Coluna8]]</f>
        <v>0</v>
      </c>
      <c r="T1183" s="10" t="e">
        <f>Tabela2[[#This Row],[Coluna72]]</f>
        <v>#REF!</v>
      </c>
      <c r="U1183" s="10">
        <f>SUM(Tabela2[[#This Row],[Coluna9]],Tabela2[[#This Row],[Coluna10]])</f>
        <v>10.4</v>
      </c>
      <c r="V1183" s="2" t="str">
        <f>Tabela2[[#This Row],[Coluna4]]</f>
        <v>29/11/2025</v>
      </c>
      <c r="W1183" s="2" t="str">
        <f>Tabela2[[#This Row],[Coluna6]]</f>
        <v>29/11/2025</v>
      </c>
    </row>
    <row r="1184" spans="2:23" x14ac:dyDescent="0.2">
      <c r="B1184" t="s">
        <v>18</v>
      </c>
      <c r="C1184" t="s">
        <v>95</v>
      </c>
      <c r="D1184" t="s">
        <v>13</v>
      </c>
      <c r="E1184" s="8" t="s">
        <v>278</v>
      </c>
      <c r="F1184" t="s">
        <v>42</v>
      </c>
      <c r="G1184" s="8" t="s">
        <v>257</v>
      </c>
      <c r="H1184" t="s">
        <v>600</v>
      </c>
      <c r="I1184" t="e">
        <f>VLOOKUP(Tabela2[[#This Row],[Coluna7]],[1]!Tabela1[#All],2,0)</f>
        <v>#REF!</v>
      </c>
      <c r="J1184" t="s">
        <v>601</v>
      </c>
      <c r="L1184">
        <v>250</v>
      </c>
      <c r="Q1184" s="10" t="str">
        <f>Tabela2[[#This Row],[Coluna5]]</f>
        <v>11/2025</v>
      </c>
      <c r="R1184" s="10" t="str">
        <f>IF(Tabela2[[#This Row],[Coluna9]]&gt;0,"Entrada","Saída")</f>
        <v>Saída</v>
      </c>
      <c r="S1184" s="10" t="str">
        <f>Tabela2[[#This Row],[Coluna8]]</f>
        <v>FALCÃO</v>
      </c>
      <c r="T1184" s="10" t="e">
        <f>Tabela2[[#This Row],[Coluna72]]</f>
        <v>#REF!</v>
      </c>
      <c r="U1184" s="10">
        <f>SUM(Tabela2[[#This Row],[Coluna9]],Tabela2[[#This Row],[Coluna10]])</f>
        <v>250</v>
      </c>
      <c r="V1184" s="2" t="str">
        <f>Tabela2[[#This Row],[Coluna4]]</f>
        <v>30/11/2025</v>
      </c>
      <c r="W1184" s="2" t="str">
        <f>Tabela2[[#This Row],[Coluna6]]</f>
        <v>26/11/2025</v>
      </c>
    </row>
    <row r="1185" spans="2:23" x14ac:dyDescent="0.2">
      <c r="B1185" t="s">
        <v>18</v>
      </c>
      <c r="C1185" t="s">
        <v>95</v>
      </c>
      <c r="D1185" t="s">
        <v>13</v>
      </c>
      <c r="E1185" s="8" t="s">
        <v>63</v>
      </c>
      <c r="F1185" t="s">
        <v>64</v>
      </c>
      <c r="G1185" s="8" t="s">
        <v>265</v>
      </c>
      <c r="H1185" t="s">
        <v>595</v>
      </c>
      <c r="I1185" t="e">
        <f>VLOOKUP(Tabela2[[#This Row],[Coluna7]],[1]!Tabela1[#All],2,0)</f>
        <v>#REF!</v>
      </c>
      <c r="J1185" t="s">
        <v>628</v>
      </c>
      <c r="L1185">
        <v>911</v>
      </c>
      <c r="Q1185" s="10" t="str">
        <f>Tabela2[[#This Row],[Coluna5]]</f>
        <v>12/2025</v>
      </c>
      <c r="R1185" s="10" t="str">
        <f>IF(Tabela2[[#This Row],[Coluna9]]&gt;0,"Entrada","Saída")</f>
        <v>Saída</v>
      </c>
      <c r="S1185" s="10" t="str">
        <f>Tabela2[[#This Row],[Coluna8]]</f>
        <v>EDIMAR</v>
      </c>
      <c r="T1185" s="10" t="e">
        <f>Tabela2[[#This Row],[Coluna72]]</f>
        <v>#REF!</v>
      </c>
      <c r="U1185" s="10">
        <f>SUM(Tabela2[[#This Row],[Coluna9]],Tabela2[[#This Row],[Coluna10]])</f>
        <v>911</v>
      </c>
      <c r="V1185" s="2" t="str">
        <f>Tabela2[[#This Row],[Coluna4]]</f>
        <v>01/12/2025</v>
      </c>
      <c r="W1185" s="2" t="str">
        <f>Tabela2[[#This Row],[Coluna6]]</f>
        <v>27/11/2025</v>
      </c>
    </row>
    <row r="1186" spans="2:23" x14ac:dyDescent="0.2">
      <c r="B1186" t="s">
        <v>18</v>
      </c>
      <c r="C1186" t="s">
        <v>95</v>
      </c>
      <c r="D1186" t="s">
        <v>13</v>
      </c>
      <c r="E1186" s="8" t="s">
        <v>63</v>
      </c>
      <c r="F1186" t="s">
        <v>64</v>
      </c>
      <c r="G1186" s="8" t="s">
        <v>63</v>
      </c>
      <c r="H1186" t="s">
        <v>546</v>
      </c>
      <c r="I1186" t="e">
        <f>VLOOKUP(Tabela2[[#This Row],[Coluna7]],[1]!Tabela1[#All],2,0)</f>
        <v>#REF!</v>
      </c>
      <c r="L1186">
        <v>450</v>
      </c>
      <c r="N1186" t="s">
        <v>584</v>
      </c>
      <c r="Q1186" s="10" t="str">
        <f>Tabela2[[#This Row],[Coluna5]]</f>
        <v>12/2025</v>
      </c>
      <c r="R1186" s="10" t="str">
        <f>IF(Tabela2[[#This Row],[Coluna9]]&gt;0,"Entrada","Saída")</f>
        <v>Saída</v>
      </c>
      <c r="S1186" s="10">
        <f>Tabela2[[#This Row],[Coluna8]]</f>
        <v>0</v>
      </c>
      <c r="T1186" s="10" t="e">
        <f>Tabela2[[#This Row],[Coluna72]]</f>
        <v>#REF!</v>
      </c>
      <c r="U1186" s="10">
        <f>SUM(Tabela2[[#This Row],[Coluna9]],Tabela2[[#This Row],[Coluna10]])</f>
        <v>450</v>
      </c>
      <c r="V1186" s="2" t="str">
        <f>Tabela2[[#This Row],[Coluna4]]</f>
        <v>01/12/2025</v>
      </c>
      <c r="W1186" s="2" t="str">
        <f>Tabela2[[#This Row],[Coluna6]]</f>
        <v>01/12/2025</v>
      </c>
    </row>
    <row r="1187" spans="2:23" x14ac:dyDescent="0.2">
      <c r="B1187" t="s">
        <v>12</v>
      </c>
      <c r="C1187" t="s">
        <v>95</v>
      </c>
      <c r="D1187" t="s">
        <v>13</v>
      </c>
      <c r="E1187" s="8" t="s">
        <v>282</v>
      </c>
      <c r="F1187" t="s">
        <v>64</v>
      </c>
      <c r="G1187" s="8" t="s">
        <v>282</v>
      </c>
      <c r="H1187" t="s">
        <v>546</v>
      </c>
      <c r="I1187" t="e">
        <f>VLOOKUP(Tabela2[[#This Row],[Coluna7]],[1]!Tabela1[#All],2,0)</f>
        <v>#REF!</v>
      </c>
      <c r="L1187">
        <v>50</v>
      </c>
      <c r="N1187" t="s">
        <v>547</v>
      </c>
      <c r="Q1187" s="10" t="str">
        <f>Tabela2[[#This Row],[Coluna5]]</f>
        <v>12/2025</v>
      </c>
      <c r="R1187" s="10" t="str">
        <f>IF(Tabela2[[#This Row],[Coluna9]]&gt;0,"Entrada","Saída")</f>
        <v>Saída</v>
      </c>
      <c r="S1187" s="10">
        <f>Tabela2[[#This Row],[Coluna8]]</f>
        <v>0</v>
      </c>
      <c r="T1187" s="10" t="e">
        <f>Tabela2[[#This Row],[Coluna72]]</f>
        <v>#REF!</v>
      </c>
      <c r="U1187" s="10">
        <f>SUM(Tabela2[[#This Row],[Coluna9]],Tabela2[[#This Row],[Coluna10]])</f>
        <v>50</v>
      </c>
      <c r="V1187" s="2" t="str">
        <f>Tabela2[[#This Row],[Coluna4]]</f>
        <v>02/12/2025</v>
      </c>
      <c r="W1187" s="2" t="str">
        <f>Tabela2[[#This Row],[Coluna6]]</f>
        <v>02/12/2025</v>
      </c>
    </row>
    <row r="1188" spans="2:23" x14ac:dyDescent="0.2">
      <c r="B1188" t="s">
        <v>18</v>
      </c>
      <c r="C1188" t="s">
        <v>95</v>
      </c>
      <c r="D1188" t="s">
        <v>13</v>
      </c>
      <c r="E1188" s="8" t="s">
        <v>65</v>
      </c>
      <c r="F1188" t="s">
        <v>64</v>
      </c>
      <c r="G1188" s="8" t="s">
        <v>66</v>
      </c>
      <c r="H1188" t="s">
        <v>538</v>
      </c>
      <c r="I1188" t="e">
        <f>VLOOKUP(Tabela2[[#This Row],[Coluna7]],[1]!Tabela1[#All],2,0)</f>
        <v>#REF!</v>
      </c>
      <c r="J1188" t="s">
        <v>629</v>
      </c>
      <c r="L1188">
        <v>447</v>
      </c>
      <c r="Q1188" s="10" t="str">
        <f>Tabela2[[#This Row],[Coluna5]]</f>
        <v>12/2025</v>
      </c>
      <c r="R1188" s="10" t="str">
        <f>IF(Tabela2[[#This Row],[Coluna9]]&gt;0,"Entrada","Saída")</f>
        <v>Saída</v>
      </c>
      <c r="S1188" s="10" t="str">
        <f>Tabela2[[#This Row],[Coluna8]]</f>
        <v>2/10 GELADEIRA LUZIMAR</v>
      </c>
      <c r="T1188" s="10" t="e">
        <f>Tabela2[[#This Row],[Coluna72]]</f>
        <v>#REF!</v>
      </c>
      <c r="U1188" s="10">
        <f>SUM(Tabela2[[#This Row],[Coluna9]],Tabela2[[#This Row],[Coluna10]])</f>
        <v>447</v>
      </c>
      <c r="V1188" s="2" t="str">
        <f>Tabela2[[#This Row],[Coluna4]]</f>
        <v>03/12/2025</v>
      </c>
      <c r="W1188" s="2" t="str">
        <f>Tabela2[[#This Row],[Coluna6]]</f>
        <v>04/12/2025</v>
      </c>
    </row>
    <row r="1189" spans="2:23" x14ac:dyDescent="0.2">
      <c r="B1189" t="s">
        <v>18</v>
      </c>
      <c r="C1189" t="s">
        <v>125</v>
      </c>
      <c r="D1189" t="s">
        <v>13</v>
      </c>
      <c r="E1189" s="8" t="s">
        <v>65</v>
      </c>
      <c r="F1189" t="s">
        <v>64</v>
      </c>
      <c r="G1189" s="8" t="s">
        <v>65</v>
      </c>
      <c r="H1189" t="s">
        <v>597</v>
      </c>
      <c r="I1189" t="e">
        <f>VLOOKUP(Tabela2[[#This Row],[Coluna7]],[1]!Tabela1[#All],2,0)</f>
        <v>#REF!</v>
      </c>
      <c r="J1189" t="s">
        <v>630</v>
      </c>
      <c r="L1189">
        <v>100</v>
      </c>
      <c r="N1189" t="s">
        <v>631</v>
      </c>
      <c r="Q1189" s="10" t="str">
        <f>Tabela2[[#This Row],[Coluna5]]</f>
        <v>12/2025</v>
      </c>
      <c r="R1189" s="10" t="str">
        <f>IF(Tabela2[[#This Row],[Coluna9]]&gt;0,"Entrada","Saída")</f>
        <v>Saída</v>
      </c>
      <c r="S1189" s="10" t="str">
        <f>Tabela2[[#This Row],[Coluna8]]</f>
        <v>MARCOS AURÉLIO</v>
      </c>
      <c r="T1189" s="10" t="e">
        <f>Tabela2[[#This Row],[Coluna72]]</f>
        <v>#REF!</v>
      </c>
      <c r="U1189" s="10">
        <f>SUM(Tabela2[[#This Row],[Coluna9]],Tabela2[[#This Row],[Coluna10]])</f>
        <v>100</v>
      </c>
      <c r="V1189" s="2" t="str">
        <f>Tabela2[[#This Row],[Coluna4]]</f>
        <v>03/12/2025</v>
      </c>
      <c r="W1189" s="2" t="str">
        <f>Tabela2[[#This Row],[Coluna6]]</f>
        <v>03/12/2025</v>
      </c>
    </row>
    <row r="1190" spans="2:23" x14ac:dyDescent="0.2">
      <c r="B1190" t="s">
        <v>12</v>
      </c>
      <c r="C1190" t="s">
        <v>95</v>
      </c>
      <c r="D1190" t="s">
        <v>13</v>
      </c>
      <c r="E1190" s="8" t="s">
        <v>65</v>
      </c>
      <c r="F1190" t="s">
        <v>64</v>
      </c>
      <c r="G1190" s="8" t="s">
        <v>65</v>
      </c>
      <c r="H1190" t="s">
        <v>570</v>
      </c>
      <c r="I1190" t="e">
        <f>VLOOKUP(Tabela2[[#This Row],[Coluna7]],[1]!Tabela1[#All],2,0)</f>
        <v>#REF!</v>
      </c>
      <c r="L1190">
        <v>9.11</v>
      </c>
      <c r="Q1190" s="10" t="str">
        <f>Tabela2[[#This Row],[Coluna5]]</f>
        <v>12/2025</v>
      </c>
      <c r="R1190" s="10" t="str">
        <f>IF(Tabela2[[#This Row],[Coluna9]]&gt;0,"Entrada","Saída")</f>
        <v>Saída</v>
      </c>
      <c r="S1190" s="10">
        <f>Tabela2[[#This Row],[Coluna8]]</f>
        <v>0</v>
      </c>
      <c r="T1190" s="10" t="e">
        <f>Tabela2[[#This Row],[Coluna72]]</f>
        <v>#REF!</v>
      </c>
      <c r="U1190" s="10">
        <f>SUM(Tabela2[[#This Row],[Coluna9]],Tabela2[[#This Row],[Coluna10]])</f>
        <v>9.11</v>
      </c>
      <c r="V1190" s="2" t="str">
        <f>Tabela2[[#This Row],[Coluna4]]</f>
        <v>03/12/2025</v>
      </c>
      <c r="W1190" s="2" t="str">
        <f>Tabela2[[#This Row],[Coluna6]]</f>
        <v>03/12/2025</v>
      </c>
    </row>
    <row r="1191" spans="2:23" x14ac:dyDescent="0.2">
      <c r="B1191" t="s">
        <v>12</v>
      </c>
      <c r="C1191" t="s">
        <v>95</v>
      </c>
      <c r="D1191" t="s">
        <v>13</v>
      </c>
      <c r="E1191" s="8" t="s">
        <v>65</v>
      </c>
      <c r="F1191" t="s">
        <v>64</v>
      </c>
      <c r="G1191" s="8" t="s">
        <v>65</v>
      </c>
      <c r="H1191" t="s">
        <v>570</v>
      </c>
      <c r="I1191" t="e">
        <f>VLOOKUP(Tabela2[[#This Row],[Coluna7]],[1]!Tabela1[#All],2,0)</f>
        <v>#REF!</v>
      </c>
      <c r="L1191">
        <v>54.35</v>
      </c>
      <c r="Q1191" s="10" t="str">
        <f>Tabela2[[#This Row],[Coluna5]]</f>
        <v>12/2025</v>
      </c>
      <c r="R1191" s="10" t="str">
        <f>IF(Tabela2[[#This Row],[Coluna9]]&gt;0,"Entrada","Saída")</f>
        <v>Saída</v>
      </c>
      <c r="S1191" s="10">
        <f>Tabela2[[#This Row],[Coluna8]]</f>
        <v>0</v>
      </c>
      <c r="T1191" s="10" t="e">
        <f>Tabela2[[#This Row],[Coluna72]]</f>
        <v>#REF!</v>
      </c>
      <c r="U1191" s="10">
        <f>SUM(Tabela2[[#This Row],[Coluna9]],Tabela2[[#This Row],[Coluna10]])</f>
        <v>54.35</v>
      </c>
      <c r="V1191" s="2" t="str">
        <f>Tabela2[[#This Row],[Coluna4]]</f>
        <v>03/12/2025</v>
      </c>
      <c r="W1191" s="2" t="str">
        <f>Tabela2[[#This Row],[Coluna6]]</f>
        <v>03/12/2025</v>
      </c>
    </row>
    <row r="1192" spans="2:23" hidden="1" x14ac:dyDescent="0.2">
      <c r="B1192" t="s">
        <v>18</v>
      </c>
      <c r="C1192" t="s">
        <v>95</v>
      </c>
      <c r="D1192" t="s">
        <v>13</v>
      </c>
      <c r="E1192" s="8" t="s">
        <v>65</v>
      </c>
      <c r="F1192" t="s">
        <v>64</v>
      </c>
      <c r="G1192" s="8" t="s">
        <v>65</v>
      </c>
      <c r="H1192" t="s">
        <v>625</v>
      </c>
      <c r="I1192" t="e">
        <f>VLOOKUP(Tabela2[[#This Row],[Coluna7]],[1]!Tabela1[#All],2,0)</f>
        <v>#REF!</v>
      </c>
      <c r="J1192" t="s">
        <v>626</v>
      </c>
      <c r="L1192">
        <v>500</v>
      </c>
      <c r="Q1192" s="10" t="str">
        <f>Tabela2[[#This Row],[Coluna5]]</f>
        <v>12/2025</v>
      </c>
      <c r="R1192" s="10" t="str">
        <f>IF(Tabela2[[#This Row],[Coluna9]]&gt;0,"Entrada","Saída")</f>
        <v>Saída</v>
      </c>
      <c r="S1192" s="10" t="str">
        <f>Tabela2[[#This Row],[Coluna8]]</f>
        <v>CARTÃO EFI</v>
      </c>
      <c r="T1192" s="10" t="e">
        <f>Tabela2[[#This Row],[Coluna72]]</f>
        <v>#REF!</v>
      </c>
      <c r="U1192" s="10">
        <f>SUM(Tabela2[[#This Row],[Coluna9]],Tabela2[[#This Row],[Coluna10]])</f>
        <v>500</v>
      </c>
      <c r="V1192" s="2" t="str">
        <f>Tabela2[[#This Row],[Coluna4]]</f>
        <v>03/12/2025</v>
      </c>
      <c r="W1192" s="2" t="str">
        <f>Tabela2[[#This Row],[Coluna6]]</f>
        <v>03/12/2025</v>
      </c>
    </row>
    <row r="1193" spans="2:23" x14ac:dyDescent="0.2">
      <c r="B1193" t="s">
        <v>18</v>
      </c>
      <c r="C1193" t="s">
        <v>95</v>
      </c>
      <c r="D1193" t="s">
        <v>13</v>
      </c>
      <c r="E1193" s="8" t="s">
        <v>65</v>
      </c>
      <c r="F1193" t="s">
        <v>64</v>
      </c>
      <c r="G1193" s="8" t="s">
        <v>65</v>
      </c>
      <c r="H1193" t="s">
        <v>570</v>
      </c>
      <c r="I1193" t="e">
        <f>VLOOKUP(Tabela2[[#This Row],[Coluna7]],[1]!Tabela1[#All],2,0)</f>
        <v>#REF!</v>
      </c>
      <c r="J1193" t="s">
        <v>632</v>
      </c>
      <c r="L1193">
        <v>22</v>
      </c>
      <c r="Q1193" s="10" t="str">
        <f>Tabela2[[#This Row],[Coluna5]]</f>
        <v>12/2025</v>
      </c>
      <c r="R1193" s="10" t="str">
        <f>IF(Tabela2[[#This Row],[Coluna9]]&gt;0,"Entrada","Saída")</f>
        <v>Saída</v>
      </c>
      <c r="S1193" s="10" t="str">
        <f>Tabela2[[#This Row],[Coluna8]]</f>
        <v>REEMBOLSO PARA ALISSON</v>
      </c>
      <c r="T1193" s="10" t="e">
        <f>Tabela2[[#This Row],[Coluna72]]</f>
        <v>#REF!</v>
      </c>
      <c r="U1193" s="10">
        <f>SUM(Tabela2[[#This Row],[Coluna9]],Tabela2[[#This Row],[Coluna10]])</f>
        <v>22</v>
      </c>
      <c r="V1193" s="2" t="str">
        <f>Tabela2[[#This Row],[Coluna4]]</f>
        <v>03/12/2025</v>
      </c>
      <c r="W1193" s="2" t="str">
        <f>Tabela2[[#This Row],[Coluna6]]</f>
        <v>03/12/2025</v>
      </c>
    </row>
    <row r="1194" spans="2:23" x14ac:dyDescent="0.2">
      <c r="B1194" t="s">
        <v>71</v>
      </c>
      <c r="C1194" t="s">
        <v>95</v>
      </c>
      <c r="D1194" t="s">
        <v>13</v>
      </c>
      <c r="E1194" s="8" t="s">
        <v>66</v>
      </c>
      <c r="F1194" t="s">
        <v>64</v>
      </c>
      <c r="G1194" s="8" t="s">
        <v>66</v>
      </c>
      <c r="H1194" t="s">
        <v>435</v>
      </c>
      <c r="I1194" t="e">
        <f>VLOOKUP(Tabela2[[#This Row],[Coluna7]],[1]!Tabela1[#All],2,0)</f>
        <v>#REF!</v>
      </c>
      <c r="J1194" t="s">
        <v>634</v>
      </c>
      <c r="L1194">
        <v>1700</v>
      </c>
      <c r="Q1194" s="10" t="str">
        <f>Tabela2[[#This Row],[Coluna5]]</f>
        <v>12/2025</v>
      </c>
      <c r="R1194" s="10" t="str">
        <f>IF(Tabela2[[#This Row],[Coluna9]]&gt;0,"Entrada","Saída")</f>
        <v>Saída</v>
      </c>
      <c r="S1194" s="10" t="str">
        <f>Tabela2[[#This Row],[Coluna8]]</f>
        <v>COMPRA - AR CONDICIONADO</v>
      </c>
      <c r="T1194" s="10" t="e">
        <f>Tabela2[[#This Row],[Coluna72]]</f>
        <v>#REF!</v>
      </c>
      <c r="U1194" s="10">
        <f>SUM(Tabela2[[#This Row],[Coluna9]],Tabela2[[#This Row],[Coluna10]])</f>
        <v>1700</v>
      </c>
      <c r="V1194" s="2" t="str">
        <f>Tabela2[[#This Row],[Coluna4]]</f>
        <v>04/12/2025</v>
      </c>
      <c r="W1194" s="2" t="str">
        <f>Tabela2[[#This Row],[Coluna6]]</f>
        <v>04/12/2025</v>
      </c>
    </row>
    <row r="1195" spans="2:23" hidden="1" x14ac:dyDescent="0.2">
      <c r="B1195" t="s">
        <v>27</v>
      </c>
      <c r="C1195" t="s">
        <v>95</v>
      </c>
      <c r="D1195" t="s">
        <v>13</v>
      </c>
      <c r="E1195" s="8" t="s">
        <v>66</v>
      </c>
      <c r="F1195" t="s">
        <v>64</v>
      </c>
      <c r="G1195" s="8" t="s">
        <v>66</v>
      </c>
      <c r="H1195" t="s">
        <v>625</v>
      </c>
      <c r="I1195" t="e">
        <f>VLOOKUP(Tabela2[[#This Row],[Coluna7]],[1]!Tabela1[#All],2,0)</f>
        <v>#REF!</v>
      </c>
      <c r="J1195" t="s">
        <v>635</v>
      </c>
      <c r="L1195">
        <v>724.88</v>
      </c>
      <c r="Q1195" s="10" t="str">
        <f>Tabela2[[#This Row],[Coluna5]]</f>
        <v>12/2025</v>
      </c>
      <c r="R1195" s="10" t="str">
        <f>IF(Tabela2[[#This Row],[Coluna9]]&gt;0,"Entrada","Saída")</f>
        <v>Saída</v>
      </c>
      <c r="S1195" s="10" t="str">
        <f>Tabela2[[#This Row],[Coluna8]]</f>
        <v>FATURA EFI</v>
      </c>
      <c r="T1195" s="10" t="e">
        <f>Tabela2[[#This Row],[Coluna72]]</f>
        <v>#REF!</v>
      </c>
      <c r="U1195" s="10">
        <f>SUM(Tabela2[[#This Row],[Coluna9]],Tabela2[[#This Row],[Coluna10]])</f>
        <v>724.88</v>
      </c>
      <c r="V1195" s="2" t="str">
        <f>Tabela2[[#This Row],[Coluna4]]</f>
        <v>04/12/2025</v>
      </c>
      <c r="W1195" s="2" t="str">
        <f>Tabela2[[#This Row],[Coluna6]]</f>
        <v>04/12/2025</v>
      </c>
    </row>
    <row r="1196" spans="2:23" x14ac:dyDescent="0.2">
      <c r="B1196" t="s">
        <v>18</v>
      </c>
      <c r="C1196" t="s">
        <v>95</v>
      </c>
      <c r="D1196" t="s">
        <v>13</v>
      </c>
      <c r="E1196" s="8" t="s">
        <v>66</v>
      </c>
      <c r="F1196" t="s">
        <v>636</v>
      </c>
      <c r="G1196" s="8" t="s">
        <v>66</v>
      </c>
      <c r="H1196" t="s">
        <v>551</v>
      </c>
      <c r="I1196" t="e">
        <f>VLOOKUP(Tabela2[[#This Row],[Coluna7]],[1]!Tabela1[#All],2,0)</f>
        <v>#REF!</v>
      </c>
      <c r="J1196" t="s">
        <v>637</v>
      </c>
      <c r="L1196">
        <v>34.47</v>
      </c>
      <c r="Q1196" s="10" t="str">
        <f>Tabela2[[#This Row],[Coluna5]]</f>
        <v>11/4202</v>
      </c>
      <c r="R1196" s="10" t="str">
        <f>IF(Tabela2[[#This Row],[Coluna9]]&gt;0,"Entrada","Saída")</f>
        <v>Saída</v>
      </c>
      <c r="S1196" s="10" t="str">
        <f>Tabela2[[#This Row],[Coluna8]]</f>
        <v>INSS</v>
      </c>
      <c r="T1196" s="10" t="e">
        <f>Tabela2[[#This Row],[Coluna72]]</f>
        <v>#REF!</v>
      </c>
      <c r="U1196" s="10">
        <f>SUM(Tabela2[[#This Row],[Coluna9]],Tabela2[[#This Row],[Coluna10]])</f>
        <v>34.47</v>
      </c>
      <c r="V1196" s="2" t="str">
        <f>Tabela2[[#This Row],[Coluna4]]</f>
        <v>04/12/2025</v>
      </c>
      <c r="W1196" s="2" t="str">
        <f>Tabela2[[#This Row],[Coluna6]]</f>
        <v>04/12/2025</v>
      </c>
    </row>
    <row r="1197" spans="2:23" x14ac:dyDescent="0.2">
      <c r="B1197" t="s">
        <v>18</v>
      </c>
      <c r="C1197" t="s">
        <v>125</v>
      </c>
      <c r="D1197" t="s">
        <v>13</v>
      </c>
      <c r="E1197" s="8" t="s">
        <v>66</v>
      </c>
      <c r="F1197" t="s">
        <v>42</v>
      </c>
      <c r="G1197" s="8" t="s">
        <v>66</v>
      </c>
      <c r="H1197" t="s">
        <v>561</v>
      </c>
      <c r="I1197" t="e">
        <f>VLOOKUP(Tabela2[[#This Row],[Coluna7]],[1]!Tabela1[#All],2,0)</f>
        <v>#REF!</v>
      </c>
      <c r="L1197">
        <v>15.77</v>
      </c>
      <c r="M1197" t="s">
        <v>240</v>
      </c>
      <c r="N1197" t="s">
        <v>241</v>
      </c>
      <c r="Q1197" s="10" t="str">
        <f>Tabela2[[#This Row],[Coluna5]]</f>
        <v>11/2025</v>
      </c>
      <c r="R1197" s="10" t="str">
        <f>IF(Tabela2[[#This Row],[Coluna9]]&gt;0,"Entrada","Saída")</f>
        <v>Saída</v>
      </c>
      <c r="S1197" s="10">
        <f>Tabela2[[#This Row],[Coluna8]]</f>
        <v>0</v>
      </c>
      <c r="T1197" s="10" t="e">
        <f>Tabela2[[#This Row],[Coluna72]]</f>
        <v>#REF!</v>
      </c>
      <c r="U1197" s="10">
        <f>SUM(Tabela2[[#This Row],[Coluna9]],Tabela2[[#This Row],[Coluna10]])</f>
        <v>15.77</v>
      </c>
      <c r="V1197" s="2" t="str">
        <f>Tabela2[[#This Row],[Coluna4]]</f>
        <v>04/12/2025</v>
      </c>
      <c r="W1197" s="2" t="str">
        <f>Tabela2[[#This Row],[Coluna6]]</f>
        <v>04/12/2025</v>
      </c>
    </row>
    <row r="1198" spans="2:23" x14ac:dyDescent="0.2">
      <c r="B1198" t="s">
        <v>71</v>
      </c>
      <c r="C1198" t="s">
        <v>95</v>
      </c>
      <c r="D1198" t="s">
        <v>13</v>
      </c>
      <c r="E1198" s="8" t="s">
        <v>289</v>
      </c>
      <c r="F1198" t="s">
        <v>64</v>
      </c>
      <c r="G1198" s="8" t="s">
        <v>289</v>
      </c>
      <c r="H1198" t="s">
        <v>570</v>
      </c>
      <c r="I1198" t="e">
        <f>VLOOKUP(Tabela2[[#This Row],[Coluna7]],[1]!Tabela1[#All],2,0)</f>
        <v>#REF!</v>
      </c>
      <c r="J1198" t="s">
        <v>638</v>
      </c>
      <c r="L1198">
        <v>372</v>
      </c>
      <c r="Q1198" s="10" t="str">
        <f>Tabela2[[#This Row],[Coluna5]]</f>
        <v>12/2025</v>
      </c>
      <c r="R1198" s="10" t="str">
        <f>IF(Tabela2[[#This Row],[Coluna9]]&gt;0,"Entrada","Saída")</f>
        <v>Saída</v>
      </c>
      <c r="S1198" s="10" t="str">
        <f>Tabela2[[#This Row],[Coluna8]]</f>
        <v>GESSO</v>
      </c>
      <c r="T1198" s="10" t="e">
        <f>Tabela2[[#This Row],[Coluna72]]</f>
        <v>#REF!</v>
      </c>
      <c r="U1198" s="10">
        <f>SUM(Tabela2[[#This Row],[Coluna9]],Tabela2[[#This Row],[Coluna10]])</f>
        <v>372</v>
      </c>
      <c r="V1198" s="2" t="str">
        <f>Tabela2[[#This Row],[Coluna4]]</f>
        <v>05/12/2025</v>
      </c>
      <c r="W1198" s="2" t="str">
        <f>Tabela2[[#This Row],[Coluna6]]</f>
        <v>05/12/2025</v>
      </c>
    </row>
    <row r="1199" spans="2:23" x14ac:dyDescent="0.2">
      <c r="B1199" t="s">
        <v>18</v>
      </c>
      <c r="C1199" t="s">
        <v>95</v>
      </c>
      <c r="D1199" t="s">
        <v>13</v>
      </c>
      <c r="E1199" s="8" t="s">
        <v>289</v>
      </c>
      <c r="F1199" t="s">
        <v>42</v>
      </c>
      <c r="G1199" s="8" t="s">
        <v>289</v>
      </c>
      <c r="H1199" t="s">
        <v>580</v>
      </c>
      <c r="I1199" t="e">
        <f>VLOOKUP(Tabela2[[#This Row],[Coluna7]],[1]!Tabela1[#All],2,0)</f>
        <v>#REF!</v>
      </c>
      <c r="J1199" t="s">
        <v>639</v>
      </c>
      <c r="L1199">
        <v>700</v>
      </c>
      <c r="N1199" t="s">
        <v>583</v>
      </c>
      <c r="Q1199" s="10" t="str">
        <f>Tabela2[[#This Row],[Coluna5]]</f>
        <v>11/2025</v>
      </c>
      <c r="R1199" s="10" t="str">
        <f>IF(Tabela2[[#This Row],[Coluna9]]&gt;0,"Entrada","Saída")</f>
        <v>Saída</v>
      </c>
      <c r="S1199" s="10" t="str">
        <f>Tabela2[[#This Row],[Coluna8]]</f>
        <v>PARTICIPAÇÃO PARCIAL NOVEMBRO</v>
      </c>
      <c r="T1199" s="10" t="e">
        <f>Tabela2[[#This Row],[Coluna72]]</f>
        <v>#REF!</v>
      </c>
      <c r="U1199" s="10">
        <f>SUM(Tabela2[[#This Row],[Coluna9]],Tabela2[[#This Row],[Coluna10]])</f>
        <v>700</v>
      </c>
      <c r="V1199" s="2" t="str">
        <f>Tabela2[[#This Row],[Coluna4]]</f>
        <v>05/12/2025</v>
      </c>
      <c r="W1199" s="2" t="str">
        <f>Tabela2[[#This Row],[Coluna6]]</f>
        <v>05/12/2025</v>
      </c>
    </row>
    <row r="1200" spans="2:23" x14ac:dyDescent="0.2">
      <c r="B1200" t="s">
        <v>18</v>
      </c>
      <c r="C1200" t="s">
        <v>95</v>
      </c>
      <c r="D1200" t="s">
        <v>13</v>
      </c>
      <c r="E1200" s="8" t="s">
        <v>289</v>
      </c>
      <c r="F1200" t="s">
        <v>64</v>
      </c>
      <c r="G1200" s="8" t="s">
        <v>289</v>
      </c>
      <c r="H1200" t="s">
        <v>546</v>
      </c>
      <c r="I1200" t="e">
        <f>VLOOKUP(Tabela2[[#This Row],[Coluna7]],[1]!Tabela1[#All],2,0)</f>
        <v>#REF!</v>
      </c>
      <c r="J1200" t="s">
        <v>502</v>
      </c>
      <c r="L1200">
        <v>100</v>
      </c>
      <c r="N1200" t="s">
        <v>584</v>
      </c>
      <c r="Q1200" s="10" t="str">
        <f>Tabela2[[#This Row],[Coluna5]]</f>
        <v>12/2025</v>
      </c>
      <c r="R1200" s="10" t="str">
        <f>IF(Tabela2[[#This Row],[Coluna9]]&gt;0,"Entrada","Saída")</f>
        <v>Saída</v>
      </c>
      <c r="S1200" s="10" t="str">
        <f>Tabela2[[#This Row],[Coluna8]]</f>
        <v>GASOLINA</v>
      </c>
      <c r="T1200" s="10" t="e">
        <f>Tabela2[[#This Row],[Coluna72]]</f>
        <v>#REF!</v>
      </c>
      <c r="U1200" s="10">
        <f>SUM(Tabela2[[#This Row],[Coluna9]],Tabela2[[#This Row],[Coluna10]])</f>
        <v>100</v>
      </c>
      <c r="V1200" s="2" t="str">
        <f>Tabela2[[#This Row],[Coluna4]]</f>
        <v>05/12/2025</v>
      </c>
      <c r="W1200" s="2" t="str">
        <f>Tabela2[[#This Row],[Coluna6]]</f>
        <v>05/12/2025</v>
      </c>
    </row>
    <row r="1201" spans="2:23" x14ac:dyDescent="0.2">
      <c r="B1201" t="s">
        <v>18</v>
      </c>
      <c r="C1201" t="s">
        <v>95</v>
      </c>
      <c r="D1201" t="s">
        <v>13</v>
      </c>
      <c r="E1201" s="8" t="s">
        <v>289</v>
      </c>
      <c r="F1201" t="s">
        <v>64</v>
      </c>
      <c r="G1201" s="8" t="s">
        <v>289</v>
      </c>
      <c r="H1201" t="s">
        <v>546</v>
      </c>
      <c r="I1201" t="e">
        <f>VLOOKUP(Tabela2[[#This Row],[Coluna7]],[1]!Tabela1[#All],2,0)</f>
        <v>#REF!</v>
      </c>
      <c r="L1201">
        <v>50</v>
      </c>
      <c r="N1201" t="s">
        <v>547</v>
      </c>
      <c r="Q1201" s="10" t="str">
        <f>Tabela2[[#This Row],[Coluna5]]</f>
        <v>12/2025</v>
      </c>
      <c r="R1201" s="10" t="str">
        <f>IF(Tabela2[[#This Row],[Coluna9]]&gt;0,"Entrada","Saída")</f>
        <v>Saída</v>
      </c>
      <c r="S1201" s="10">
        <f>Tabela2[[#This Row],[Coluna8]]</f>
        <v>0</v>
      </c>
      <c r="T1201" s="10" t="e">
        <f>Tabela2[[#This Row],[Coluna72]]</f>
        <v>#REF!</v>
      </c>
      <c r="U1201" s="10">
        <f>SUM(Tabela2[[#This Row],[Coluna9]],Tabela2[[#This Row],[Coluna10]])</f>
        <v>50</v>
      </c>
      <c r="V1201" s="2" t="str">
        <f>Tabela2[[#This Row],[Coluna4]]</f>
        <v>05/12/2025</v>
      </c>
      <c r="W1201" s="2" t="str">
        <f>Tabela2[[#This Row],[Coluna6]]</f>
        <v>05/12/2025</v>
      </c>
    </row>
    <row r="1202" spans="2:23" x14ac:dyDescent="0.2">
      <c r="B1202" t="s">
        <v>18</v>
      </c>
      <c r="C1202" t="s">
        <v>95</v>
      </c>
      <c r="D1202" t="s">
        <v>13</v>
      </c>
      <c r="E1202" s="8" t="s">
        <v>67</v>
      </c>
      <c r="F1202" t="s">
        <v>64</v>
      </c>
      <c r="G1202" s="8" t="s">
        <v>67</v>
      </c>
      <c r="H1202" t="s">
        <v>546</v>
      </c>
      <c r="I1202" t="e">
        <f>VLOOKUP(Tabela2[[#This Row],[Coluna7]],[1]!Tabela1[#All],2,0)</f>
        <v>#REF!</v>
      </c>
      <c r="L1202">
        <v>500</v>
      </c>
      <c r="N1202" t="s">
        <v>547</v>
      </c>
      <c r="Q1202" s="10" t="str">
        <f>Tabela2[[#This Row],[Coluna5]]</f>
        <v>12/2025</v>
      </c>
      <c r="R1202" s="10" t="str">
        <f>IF(Tabela2[[#This Row],[Coluna9]]&gt;0,"Entrada","Saída")</f>
        <v>Saída</v>
      </c>
      <c r="S1202" s="10">
        <f>Tabela2[[#This Row],[Coluna8]]</f>
        <v>0</v>
      </c>
      <c r="T1202" s="10" t="e">
        <f>Tabela2[[#This Row],[Coluna72]]</f>
        <v>#REF!</v>
      </c>
      <c r="U1202" s="10">
        <f>SUM(Tabela2[[#This Row],[Coluna9]],Tabela2[[#This Row],[Coluna10]])</f>
        <v>500</v>
      </c>
      <c r="V1202" s="2" t="str">
        <f>Tabela2[[#This Row],[Coluna4]]</f>
        <v>06/12/2025</v>
      </c>
      <c r="W1202" s="2" t="str">
        <f>Tabela2[[#This Row],[Coluna6]]</f>
        <v>06/12/2025</v>
      </c>
    </row>
    <row r="1203" spans="2:23" x14ac:dyDescent="0.2">
      <c r="B1203" t="s">
        <v>18</v>
      </c>
      <c r="C1203" t="s">
        <v>95</v>
      </c>
      <c r="D1203" t="s">
        <v>13</v>
      </c>
      <c r="E1203" s="8" t="s">
        <v>67</v>
      </c>
      <c r="F1203" t="s">
        <v>64</v>
      </c>
      <c r="G1203" s="8" t="s">
        <v>67</v>
      </c>
      <c r="H1203" t="s">
        <v>546</v>
      </c>
      <c r="I1203" t="e">
        <f>VLOOKUP(Tabela2[[#This Row],[Coluna7]],[1]!Tabela1[#All],2,0)</f>
        <v>#REF!</v>
      </c>
      <c r="L1203">
        <v>200</v>
      </c>
      <c r="N1203" t="s">
        <v>584</v>
      </c>
      <c r="Q1203" s="10" t="str">
        <f>Tabela2[[#This Row],[Coluna5]]</f>
        <v>12/2025</v>
      </c>
      <c r="R1203" s="10" t="str">
        <f>IF(Tabela2[[#This Row],[Coluna9]]&gt;0,"Entrada","Saída")</f>
        <v>Saída</v>
      </c>
      <c r="S1203" s="10">
        <f>Tabela2[[#This Row],[Coluna8]]</f>
        <v>0</v>
      </c>
      <c r="T1203" s="10" t="e">
        <f>Tabela2[[#This Row],[Coluna72]]</f>
        <v>#REF!</v>
      </c>
      <c r="U1203" s="10">
        <f>SUM(Tabela2[[#This Row],[Coluna9]],Tabela2[[#This Row],[Coluna10]])</f>
        <v>200</v>
      </c>
      <c r="V1203" s="2" t="str">
        <f>Tabela2[[#This Row],[Coluna4]]</f>
        <v>06/12/2025</v>
      </c>
      <c r="W1203" s="2" t="str">
        <f>Tabela2[[#This Row],[Coluna6]]</f>
        <v>06/12/2025</v>
      </c>
    </row>
    <row r="1204" spans="2:23" x14ac:dyDescent="0.2">
      <c r="B1204" t="s">
        <v>18</v>
      </c>
      <c r="C1204" t="s">
        <v>95</v>
      </c>
      <c r="D1204" t="s">
        <v>13</v>
      </c>
      <c r="E1204" s="8" t="s">
        <v>296</v>
      </c>
      <c r="F1204" t="s">
        <v>64</v>
      </c>
      <c r="G1204" s="8" t="s">
        <v>296</v>
      </c>
      <c r="H1204" t="s">
        <v>546</v>
      </c>
      <c r="I1204" t="e">
        <f>VLOOKUP(Tabela2[[#This Row],[Coluna7]],[1]!Tabela1[#All],2,0)</f>
        <v>#REF!</v>
      </c>
      <c r="L1204">
        <v>600</v>
      </c>
      <c r="N1204" t="s">
        <v>584</v>
      </c>
      <c r="Q1204" s="10" t="str">
        <f>Tabela2[[#This Row],[Coluna5]]</f>
        <v>12/2025</v>
      </c>
      <c r="R1204" s="10" t="str">
        <f>IF(Tabela2[[#This Row],[Coluna9]]&gt;0,"Entrada","Saída")</f>
        <v>Saída</v>
      </c>
      <c r="S1204" s="10">
        <f>Tabela2[[#This Row],[Coluna8]]</f>
        <v>0</v>
      </c>
      <c r="T1204" s="10" t="e">
        <f>Tabela2[[#This Row],[Coluna72]]</f>
        <v>#REF!</v>
      </c>
      <c r="U1204" s="10">
        <f>SUM(Tabela2[[#This Row],[Coluna9]],Tabela2[[#This Row],[Coluna10]])</f>
        <v>600</v>
      </c>
      <c r="V1204" s="2" t="str">
        <f>Tabela2[[#This Row],[Coluna4]]</f>
        <v>07/12/2025</v>
      </c>
      <c r="W1204" s="2" t="str">
        <f>Tabela2[[#This Row],[Coluna6]]</f>
        <v>07/12/2025</v>
      </c>
    </row>
    <row r="1205" spans="2:23" x14ac:dyDescent="0.2">
      <c r="B1205" t="s">
        <v>18</v>
      </c>
      <c r="C1205" t="s">
        <v>95</v>
      </c>
      <c r="D1205" t="s">
        <v>13</v>
      </c>
      <c r="E1205" s="8" t="s">
        <v>68</v>
      </c>
      <c r="F1205" t="s">
        <v>42</v>
      </c>
      <c r="G1205" s="8" t="s">
        <v>68</v>
      </c>
      <c r="H1205" t="s">
        <v>580</v>
      </c>
      <c r="I1205" t="e">
        <f>VLOOKUP(Tabela2[[#This Row],[Coluna7]],[1]!Tabela1[#All],2,0)</f>
        <v>#REF!</v>
      </c>
      <c r="L1205">
        <v>400</v>
      </c>
      <c r="N1205" t="s">
        <v>499</v>
      </c>
      <c r="Q1205" s="10" t="str">
        <f>Tabela2[[#This Row],[Coluna5]]</f>
        <v>11/2025</v>
      </c>
      <c r="R1205" s="10" t="str">
        <f>IF(Tabela2[[#This Row],[Coluna9]]&gt;0,"Entrada","Saída")</f>
        <v>Saída</v>
      </c>
      <c r="S1205" s="10">
        <f>Tabela2[[#This Row],[Coluna8]]</f>
        <v>0</v>
      </c>
      <c r="T1205" s="10" t="e">
        <f>Tabela2[[#This Row],[Coluna72]]</f>
        <v>#REF!</v>
      </c>
      <c r="U1205" s="10">
        <f>SUM(Tabela2[[#This Row],[Coluna9]],Tabela2[[#This Row],[Coluna10]])</f>
        <v>400</v>
      </c>
      <c r="V1205" s="2" t="str">
        <f>Tabela2[[#This Row],[Coluna4]]</f>
        <v>08/12/2025</v>
      </c>
      <c r="W1205" s="2" t="str">
        <f>Tabela2[[#This Row],[Coluna6]]</f>
        <v>08/12/2025</v>
      </c>
    </row>
    <row r="1206" spans="2:23" x14ac:dyDescent="0.2">
      <c r="B1206" t="s">
        <v>18</v>
      </c>
      <c r="C1206" t="s">
        <v>95</v>
      </c>
      <c r="D1206" t="s">
        <v>13</v>
      </c>
      <c r="E1206" s="8" t="s">
        <v>68</v>
      </c>
      <c r="F1206" t="s">
        <v>64</v>
      </c>
      <c r="G1206" s="8" t="s">
        <v>68</v>
      </c>
      <c r="H1206" t="s">
        <v>546</v>
      </c>
      <c r="I1206" t="e">
        <f>VLOOKUP(Tabela2[[#This Row],[Coluna7]],[1]!Tabela1[#All],2,0)</f>
        <v>#REF!</v>
      </c>
      <c r="L1206">
        <v>50</v>
      </c>
      <c r="N1206" t="s">
        <v>547</v>
      </c>
      <c r="Q1206" s="10" t="str">
        <f>Tabela2[[#This Row],[Coluna5]]</f>
        <v>12/2025</v>
      </c>
      <c r="R1206" s="10" t="str">
        <f>IF(Tabela2[[#This Row],[Coluna9]]&gt;0,"Entrada","Saída")</f>
        <v>Saída</v>
      </c>
      <c r="S1206" s="10">
        <f>Tabela2[[#This Row],[Coluna8]]</f>
        <v>0</v>
      </c>
      <c r="T1206" s="10" t="e">
        <f>Tabela2[[#This Row],[Coluna72]]</f>
        <v>#REF!</v>
      </c>
      <c r="U1206" s="10">
        <f>SUM(Tabela2[[#This Row],[Coluna9]],Tabela2[[#This Row],[Coluna10]])</f>
        <v>50</v>
      </c>
      <c r="V1206" s="2" t="str">
        <f>Tabela2[[#This Row],[Coluna4]]</f>
        <v>08/12/2025</v>
      </c>
      <c r="W1206" s="2" t="str">
        <f>Tabela2[[#This Row],[Coluna6]]</f>
        <v>08/12/2025</v>
      </c>
    </row>
    <row r="1207" spans="2:23" x14ac:dyDescent="0.2">
      <c r="B1207" t="s">
        <v>18</v>
      </c>
      <c r="C1207" t="s">
        <v>95</v>
      </c>
      <c r="D1207" t="s">
        <v>13</v>
      </c>
      <c r="E1207" s="8" t="s">
        <v>68</v>
      </c>
      <c r="F1207" t="s">
        <v>64</v>
      </c>
      <c r="G1207" s="8" t="s">
        <v>68</v>
      </c>
      <c r="H1207" t="s">
        <v>546</v>
      </c>
      <c r="I1207" t="e">
        <f>VLOOKUP(Tabela2[[#This Row],[Coluna7]],[1]!Tabela1[#All],2,0)</f>
        <v>#REF!</v>
      </c>
      <c r="L1207">
        <v>100</v>
      </c>
      <c r="N1207" t="s">
        <v>584</v>
      </c>
      <c r="Q1207" s="10" t="str">
        <f>Tabela2[[#This Row],[Coluna5]]</f>
        <v>12/2025</v>
      </c>
      <c r="R1207" s="10" t="str">
        <f>IF(Tabela2[[#This Row],[Coluna9]]&gt;0,"Entrada","Saída")</f>
        <v>Saída</v>
      </c>
      <c r="S1207" s="10">
        <f>Tabela2[[#This Row],[Coluna8]]</f>
        <v>0</v>
      </c>
      <c r="T1207" s="10" t="e">
        <f>Tabela2[[#This Row],[Coluna72]]</f>
        <v>#REF!</v>
      </c>
      <c r="U1207" s="10">
        <f>SUM(Tabela2[[#This Row],[Coluna9]],Tabela2[[#This Row],[Coluna10]])</f>
        <v>100</v>
      </c>
      <c r="V1207" s="2" t="str">
        <f>Tabela2[[#This Row],[Coluna4]]</f>
        <v>08/12/2025</v>
      </c>
      <c r="W1207" s="2" t="str">
        <f>Tabela2[[#This Row],[Coluna6]]</f>
        <v>08/12/2025</v>
      </c>
    </row>
    <row r="1208" spans="2:23" x14ac:dyDescent="0.2">
      <c r="B1208" t="s">
        <v>12</v>
      </c>
      <c r="C1208" t="s">
        <v>95</v>
      </c>
      <c r="D1208" t="s">
        <v>13</v>
      </c>
      <c r="E1208" s="8" t="s">
        <v>69</v>
      </c>
      <c r="F1208" t="s">
        <v>42</v>
      </c>
      <c r="G1208" s="8" t="s">
        <v>69</v>
      </c>
      <c r="H1208" t="s">
        <v>580</v>
      </c>
      <c r="I1208" t="e">
        <f>VLOOKUP(Tabela2[[#This Row],[Coluna7]],[1]!Tabela1[#All],2,0)</f>
        <v>#REF!</v>
      </c>
      <c r="J1208" t="s">
        <v>641</v>
      </c>
      <c r="L1208">
        <v>3000</v>
      </c>
      <c r="N1208" t="s">
        <v>583</v>
      </c>
      <c r="Q1208" s="10" t="str">
        <f>Tabela2[[#This Row],[Coluna5]]</f>
        <v>11/2025</v>
      </c>
      <c r="R1208" s="10" t="str">
        <f>IF(Tabela2[[#This Row],[Coluna9]]&gt;0,"Entrada","Saída")</f>
        <v>Saída</v>
      </c>
      <c r="S1208" s="10" t="str">
        <f>Tabela2[[#This Row],[Coluna8]]</f>
        <v>NOVEMBRO</v>
      </c>
      <c r="T1208" s="10" t="e">
        <f>Tabela2[[#This Row],[Coluna72]]</f>
        <v>#REF!</v>
      </c>
      <c r="U1208" s="10">
        <f>SUM(Tabela2[[#This Row],[Coluna9]],Tabela2[[#This Row],[Coluna10]])</f>
        <v>3000</v>
      </c>
      <c r="V1208" s="2" t="str">
        <f>Tabela2[[#This Row],[Coluna4]]</f>
        <v>10/12/2025</v>
      </c>
      <c r="W1208" s="2" t="str">
        <f>Tabela2[[#This Row],[Coluna6]]</f>
        <v>10/12/2025</v>
      </c>
    </row>
    <row r="1209" spans="2:23" x14ac:dyDescent="0.2">
      <c r="B1209" t="s">
        <v>18</v>
      </c>
      <c r="C1209" t="s">
        <v>95</v>
      </c>
      <c r="D1209" t="s">
        <v>13</v>
      </c>
      <c r="E1209" s="8" t="s">
        <v>73</v>
      </c>
      <c r="F1209" t="s">
        <v>64</v>
      </c>
      <c r="G1209" s="8" t="s">
        <v>73</v>
      </c>
      <c r="H1209" t="s">
        <v>546</v>
      </c>
      <c r="I1209" t="e">
        <f>VLOOKUP(Tabela2[[#This Row],[Coluna7]],[1]!Tabela1[#All],2,0)</f>
        <v>#REF!</v>
      </c>
      <c r="L1209">
        <v>50</v>
      </c>
      <c r="N1209" t="s">
        <v>584</v>
      </c>
      <c r="Q1209" s="10" t="str">
        <f>Tabela2[[#This Row],[Coluna5]]</f>
        <v>12/2025</v>
      </c>
      <c r="R1209" s="10" t="str">
        <f>IF(Tabela2[[#This Row],[Coluna9]]&gt;0,"Entrada","Saída")</f>
        <v>Saída</v>
      </c>
      <c r="S1209" s="10">
        <f>Tabela2[[#This Row],[Coluna8]]</f>
        <v>0</v>
      </c>
      <c r="T1209" s="10" t="e">
        <f>Tabela2[[#This Row],[Coluna72]]</f>
        <v>#REF!</v>
      </c>
      <c r="U1209" s="10">
        <f>SUM(Tabela2[[#This Row],[Coluna9]],Tabela2[[#This Row],[Coluna10]])</f>
        <v>50</v>
      </c>
      <c r="V1209" s="2" t="str">
        <f>Tabela2[[#This Row],[Coluna4]]</f>
        <v>11/12/2025</v>
      </c>
      <c r="W1209" s="2" t="str">
        <f>Tabela2[[#This Row],[Coluna6]]</f>
        <v>11/12/2025</v>
      </c>
    </row>
    <row r="1210" spans="2:23" x14ac:dyDescent="0.2">
      <c r="B1210" t="s">
        <v>18</v>
      </c>
      <c r="C1210" t="s">
        <v>95</v>
      </c>
      <c r="D1210" t="s">
        <v>13</v>
      </c>
      <c r="E1210" s="8" t="s">
        <v>309</v>
      </c>
      <c r="F1210" t="s">
        <v>64</v>
      </c>
      <c r="G1210" s="8" t="s">
        <v>309</v>
      </c>
      <c r="H1210" t="s">
        <v>546</v>
      </c>
      <c r="I1210" t="e">
        <f>VLOOKUP(Tabela2[[#This Row],[Coluna7]],[1]!Tabela1[#All],2,0)</f>
        <v>#REF!</v>
      </c>
      <c r="J1210" t="s">
        <v>642</v>
      </c>
      <c r="L1210">
        <v>100</v>
      </c>
      <c r="N1210" t="s">
        <v>547</v>
      </c>
      <c r="Q1210" s="10" t="str">
        <f>Tabela2[[#This Row],[Coluna5]]</f>
        <v>12/2025</v>
      </c>
      <c r="R1210" s="10" t="str">
        <f>IF(Tabela2[[#This Row],[Coluna9]]&gt;0,"Entrada","Saída")</f>
        <v>Saída</v>
      </c>
      <c r="S1210" s="10" t="str">
        <f>Tabela2[[#This Row],[Coluna8]]</f>
        <v>PINTOR</v>
      </c>
      <c r="T1210" s="10" t="e">
        <f>Tabela2[[#This Row],[Coluna72]]</f>
        <v>#REF!</v>
      </c>
      <c r="U1210" s="10">
        <f>SUM(Tabela2[[#This Row],[Coluna9]],Tabela2[[#This Row],[Coluna10]])</f>
        <v>100</v>
      </c>
      <c r="V1210" s="2" t="str">
        <f>Tabela2[[#This Row],[Coluna4]]</f>
        <v>12/12/2025</v>
      </c>
      <c r="W1210" s="2" t="str">
        <f>Tabela2[[#This Row],[Coluna6]]</f>
        <v>12/12/2025</v>
      </c>
    </row>
    <row r="1211" spans="2:23" x14ac:dyDescent="0.2">
      <c r="B1211" t="s">
        <v>18</v>
      </c>
      <c r="C1211" t="s">
        <v>95</v>
      </c>
      <c r="D1211" t="s">
        <v>13</v>
      </c>
      <c r="E1211" s="8" t="s">
        <v>309</v>
      </c>
      <c r="F1211" t="s">
        <v>64</v>
      </c>
      <c r="G1211" s="8" t="s">
        <v>309</v>
      </c>
      <c r="H1211" t="s">
        <v>546</v>
      </c>
      <c r="I1211" t="e">
        <f>VLOOKUP(Tabela2[[#This Row],[Coluna7]],[1]!Tabela1[#All],2,0)</f>
        <v>#REF!</v>
      </c>
      <c r="J1211" t="s">
        <v>643</v>
      </c>
      <c r="L1211">
        <v>1450</v>
      </c>
      <c r="N1211" t="s">
        <v>584</v>
      </c>
      <c r="Q1211" s="10" t="str">
        <f>Tabela2[[#This Row],[Coluna5]]</f>
        <v>12/2025</v>
      </c>
      <c r="R1211" s="10" t="str">
        <f>IF(Tabela2[[#This Row],[Coluna9]]&gt;0,"Entrada","Saída")</f>
        <v>Saída</v>
      </c>
      <c r="S1211" s="10" t="str">
        <f>Tabela2[[#This Row],[Coluna8]]</f>
        <v>PEDREIRO</v>
      </c>
      <c r="T1211" s="10" t="e">
        <f>Tabela2[[#This Row],[Coluna72]]</f>
        <v>#REF!</v>
      </c>
      <c r="U1211" s="10">
        <f>SUM(Tabela2[[#This Row],[Coluna9]],Tabela2[[#This Row],[Coluna10]])</f>
        <v>1450</v>
      </c>
      <c r="V1211" s="2" t="str">
        <f>Tabela2[[#This Row],[Coluna4]]</f>
        <v>12/12/2025</v>
      </c>
      <c r="W1211" s="2" t="str">
        <f>Tabela2[[#This Row],[Coluna6]]</f>
        <v>12/12/2025</v>
      </c>
    </row>
    <row r="1212" spans="2:23" x14ac:dyDescent="0.2">
      <c r="B1212" t="s">
        <v>71</v>
      </c>
      <c r="C1212" t="s">
        <v>95</v>
      </c>
      <c r="D1212" t="s">
        <v>13</v>
      </c>
      <c r="E1212" s="8" t="s">
        <v>309</v>
      </c>
      <c r="F1212" t="s">
        <v>64</v>
      </c>
      <c r="G1212" s="8" t="s">
        <v>309</v>
      </c>
      <c r="H1212" t="s">
        <v>546</v>
      </c>
      <c r="I1212" t="e">
        <f>VLOOKUP(Tabela2[[#This Row],[Coluna7]],[1]!Tabela1[#All],2,0)</f>
        <v>#REF!</v>
      </c>
      <c r="J1212" t="s">
        <v>644</v>
      </c>
      <c r="L1212">
        <v>200</v>
      </c>
      <c r="Q1212" s="10" t="str">
        <f>Tabela2[[#This Row],[Coluna5]]</f>
        <v>12/2025</v>
      </c>
      <c r="R1212" s="10" t="str">
        <f>IF(Tabela2[[#This Row],[Coluna9]]&gt;0,"Entrada","Saída")</f>
        <v>Saída</v>
      </c>
      <c r="S1212" s="10" t="str">
        <f>Tabela2[[#This Row],[Coluna8]]</f>
        <v>RETIRADA DE ENTULHO</v>
      </c>
      <c r="T1212" s="10" t="e">
        <f>Tabela2[[#This Row],[Coluna72]]</f>
        <v>#REF!</v>
      </c>
      <c r="U1212" s="10">
        <f>SUM(Tabela2[[#This Row],[Coluna9]],Tabela2[[#This Row],[Coluna10]])</f>
        <v>200</v>
      </c>
      <c r="V1212" s="2" t="str">
        <f>Tabela2[[#This Row],[Coluna4]]</f>
        <v>12/12/2025</v>
      </c>
      <c r="W1212" s="2" t="str">
        <f>Tabela2[[#This Row],[Coluna6]]</f>
        <v>12/12/2025</v>
      </c>
    </row>
    <row r="1213" spans="2:23" x14ac:dyDescent="0.2">
      <c r="B1213" t="s">
        <v>18</v>
      </c>
      <c r="C1213" t="s">
        <v>95</v>
      </c>
      <c r="D1213" t="s">
        <v>13</v>
      </c>
      <c r="E1213" s="8" t="s">
        <v>74</v>
      </c>
      <c r="F1213" t="s">
        <v>42</v>
      </c>
      <c r="G1213" s="8" t="s">
        <v>74</v>
      </c>
      <c r="H1213" t="s">
        <v>580</v>
      </c>
      <c r="I1213" t="e">
        <f>VLOOKUP(Tabela2[[#This Row],[Coluna7]],[1]!Tabela1[#All],2,0)</f>
        <v>#REF!</v>
      </c>
      <c r="J1213" t="s">
        <v>641</v>
      </c>
      <c r="L1213">
        <v>2000</v>
      </c>
      <c r="N1213" t="s">
        <v>583</v>
      </c>
      <c r="Q1213" s="10" t="str">
        <f>Tabela2[[#This Row],[Coluna5]]</f>
        <v>11/2025</v>
      </c>
      <c r="R1213" s="10" t="str">
        <f>IF(Tabela2[[#This Row],[Coluna9]]&gt;0,"Entrada","Saída")</f>
        <v>Saída</v>
      </c>
      <c r="S1213" s="10" t="str">
        <f>Tabela2[[#This Row],[Coluna8]]</f>
        <v>NOVEMBRO</v>
      </c>
      <c r="T1213" s="10" t="e">
        <f>Tabela2[[#This Row],[Coluna72]]</f>
        <v>#REF!</v>
      </c>
      <c r="U1213" s="10">
        <f>SUM(Tabela2[[#This Row],[Coluna9]],Tabela2[[#This Row],[Coluna10]])</f>
        <v>2000</v>
      </c>
      <c r="V1213" s="2" t="str">
        <f>Tabela2[[#This Row],[Coluna4]]</f>
        <v>13/12/2025</v>
      </c>
      <c r="W1213" s="2" t="str">
        <f>Tabela2[[#This Row],[Coluna6]]</f>
        <v>13/12/2025</v>
      </c>
    </row>
    <row r="1214" spans="2:23" x14ac:dyDescent="0.2">
      <c r="B1214" t="s">
        <v>18</v>
      </c>
      <c r="C1214" t="s">
        <v>95</v>
      </c>
      <c r="D1214" t="s">
        <v>13</v>
      </c>
      <c r="E1214" s="8" t="s">
        <v>74</v>
      </c>
      <c r="F1214" t="s">
        <v>64</v>
      </c>
      <c r="G1214" s="8" t="s">
        <v>74</v>
      </c>
      <c r="H1214" t="s">
        <v>546</v>
      </c>
      <c r="I1214" t="e">
        <f>VLOOKUP(Tabela2[[#This Row],[Coluna7]],[1]!Tabela1[#All],2,0)</f>
        <v>#REF!</v>
      </c>
      <c r="L1214">
        <v>600</v>
      </c>
      <c r="N1214" t="s">
        <v>547</v>
      </c>
      <c r="Q1214" s="10" t="str">
        <f>Tabela2[[#This Row],[Coluna5]]</f>
        <v>12/2025</v>
      </c>
      <c r="R1214" s="10" t="str">
        <f>IF(Tabela2[[#This Row],[Coluna9]]&gt;0,"Entrada","Saída")</f>
        <v>Saída</v>
      </c>
      <c r="S1214" s="10">
        <f>Tabela2[[#This Row],[Coluna8]]</f>
        <v>0</v>
      </c>
      <c r="T1214" s="10" t="e">
        <f>Tabela2[[#This Row],[Coluna72]]</f>
        <v>#REF!</v>
      </c>
      <c r="U1214" s="10">
        <f>SUM(Tabela2[[#This Row],[Coluna9]],Tabela2[[#This Row],[Coluna10]])</f>
        <v>600</v>
      </c>
      <c r="V1214" s="2" t="str">
        <f>Tabela2[[#This Row],[Coluna4]]</f>
        <v>13/12/2025</v>
      </c>
      <c r="W1214" s="2" t="str">
        <f>Tabela2[[#This Row],[Coluna6]]</f>
        <v>13/12/2025</v>
      </c>
    </row>
    <row r="1215" spans="2:23" x14ac:dyDescent="0.2">
      <c r="B1215" t="s">
        <v>18</v>
      </c>
      <c r="C1215" t="s">
        <v>95</v>
      </c>
      <c r="D1215" t="s">
        <v>13</v>
      </c>
      <c r="E1215" s="8" t="s">
        <v>74</v>
      </c>
      <c r="F1215" t="s">
        <v>64</v>
      </c>
      <c r="G1215" s="8" t="s">
        <v>74</v>
      </c>
      <c r="H1215" t="s">
        <v>546</v>
      </c>
      <c r="I1215" t="e">
        <f>VLOOKUP(Tabela2[[#This Row],[Coluna7]],[1]!Tabela1[#All],2,0)</f>
        <v>#REF!</v>
      </c>
      <c r="L1215">
        <v>1140</v>
      </c>
      <c r="N1215" t="s">
        <v>584</v>
      </c>
      <c r="Q1215" s="10" t="str">
        <f>Tabela2[[#This Row],[Coluna5]]</f>
        <v>12/2025</v>
      </c>
      <c r="R1215" s="10" t="str">
        <f>IF(Tabela2[[#This Row],[Coluna9]]&gt;0,"Entrada","Saída")</f>
        <v>Saída</v>
      </c>
      <c r="S1215" s="10">
        <f>Tabela2[[#This Row],[Coluna8]]</f>
        <v>0</v>
      </c>
      <c r="T1215" s="10" t="e">
        <f>Tabela2[[#This Row],[Coluna72]]</f>
        <v>#REF!</v>
      </c>
      <c r="U1215" s="10">
        <f>SUM(Tabela2[[#This Row],[Coluna9]],Tabela2[[#This Row],[Coluna10]])</f>
        <v>1140</v>
      </c>
      <c r="V1215" s="2" t="str">
        <f>Tabela2[[#This Row],[Coluna4]]</f>
        <v>13/12/2025</v>
      </c>
      <c r="W1215" s="2" t="str">
        <f>Tabela2[[#This Row],[Coluna6]]</f>
        <v>13/12/2025</v>
      </c>
    </row>
    <row r="1216" spans="2:23" x14ac:dyDescent="0.2">
      <c r="B1216" t="s">
        <v>71</v>
      </c>
      <c r="C1216" t="s">
        <v>125</v>
      </c>
      <c r="D1216" t="s">
        <v>13</v>
      </c>
      <c r="E1216" s="8" t="s">
        <v>74</v>
      </c>
      <c r="F1216" t="s">
        <v>64</v>
      </c>
      <c r="G1216" s="8" t="s">
        <v>74</v>
      </c>
      <c r="H1216" t="s">
        <v>551</v>
      </c>
      <c r="I1216" t="e">
        <f>VLOOKUP(Tabela2[[#This Row],[Coluna7]],[1]!Tabela1[#All],2,0)</f>
        <v>#REF!</v>
      </c>
      <c r="J1216" t="s">
        <v>645</v>
      </c>
      <c r="L1216">
        <v>200</v>
      </c>
      <c r="N1216" t="s">
        <v>646</v>
      </c>
      <c r="Q1216" s="10" t="str">
        <f>Tabela2[[#This Row],[Coluna5]]</f>
        <v>12/2025</v>
      </c>
      <c r="R1216" s="10" t="str">
        <f>IF(Tabela2[[#This Row],[Coluna9]]&gt;0,"Entrada","Saída")</f>
        <v>Saída</v>
      </c>
      <c r="S1216" s="10" t="str">
        <f>Tabela2[[#This Row],[Coluna8]]</f>
        <v>PARCEIRA JÓ (DEZEMBRO)</v>
      </c>
      <c r="T1216" s="10" t="e">
        <f>Tabela2[[#This Row],[Coluna72]]</f>
        <v>#REF!</v>
      </c>
      <c r="U1216" s="10">
        <f>SUM(Tabela2[[#This Row],[Coluna9]],Tabela2[[#This Row],[Coluna10]])</f>
        <v>200</v>
      </c>
      <c r="V1216" s="2" t="str">
        <f>Tabela2[[#This Row],[Coluna4]]</f>
        <v>13/12/2025</v>
      </c>
      <c r="W1216" s="2" t="str">
        <f>Tabela2[[#This Row],[Coluna6]]</f>
        <v>13/12/2025</v>
      </c>
    </row>
    <row r="1217" spans="2:23" x14ac:dyDescent="0.2">
      <c r="B1217" t="s">
        <v>18</v>
      </c>
      <c r="C1217" t="s">
        <v>95</v>
      </c>
      <c r="D1217" t="s">
        <v>13</v>
      </c>
      <c r="E1217" s="8" t="s">
        <v>647</v>
      </c>
      <c r="F1217" t="s">
        <v>64</v>
      </c>
      <c r="G1217" s="8" t="s">
        <v>647</v>
      </c>
      <c r="H1217" t="s">
        <v>546</v>
      </c>
      <c r="I1217" t="e">
        <f>VLOOKUP(Tabela2[[#This Row],[Coluna7]],[1]!Tabela1[#All],2,0)</f>
        <v>#REF!</v>
      </c>
      <c r="L1217">
        <v>180</v>
      </c>
      <c r="N1217" t="s">
        <v>584</v>
      </c>
      <c r="Q1217" s="10" t="str">
        <f>Tabela2[[#This Row],[Coluna5]]</f>
        <v>12/2025</v>
      </c>
      <c r="R1217" s="10" t="str">
        <f>IF(Tabela2[[#This Row],[Coluna9]]&gt;0,"Entrada","Saída")</f>
        <v>Saída</v>
      </c>
      <c r="S1217" s="10">
        <f>Tabela2[[#This Row],[Coluna8]]</f>
        <v>0</v>
      </c>
      <c r="T1217" s="10" t="e">
        <f>Tabela2[[#This Row],[Coluna72]]</f>
        <v>#REF!</v>
      </c>
      <c r="U1217" s="10">
        <f>SUM(Tabela2[[#This Row],[Coluna9]],Tabela2[[#This Row],[Coluna10]])</f>
        <v>180</v>
      </c>
      <c r="V1217" s="2" t="str">
        <f>Tabela2[[#This Row],[Coluna4]]</f>
        <v>14/12/2025</v>
      </c>
      <c r="W1217" s="2" t="str">
        <f>Tabela2[[#This Row],[Coluna6]]</f>
        <v>14/12/2025</v>
      </c>
    </row>
    <row r="1218" spans="2:23" x14ac:dyDescent="0.2">
      <c r="B1218" t="s">
        <v>18</v>
      </c>
      <c r="C1218" t="s">
        <v>95</v>
      </c>
      <c r="D1218" t="s">
        <v>13</v>
      </c>
      <c r="E1218" s="8" t="s">
        <v>78</v>
      </c>
      <c r="F1218" t="s">
        <v>64</v>
      </c>
      <c r="G1218" s="8" t="s">
        <v>78</v>
      </c>
      <c r="H1218" t="s">
        <v>546</v>
      </c>
      <c r="I1218" t="e">
        <f>VLOOKUP(Tabela2[[#This Row],[Coluna7]],[1]!Tabela1[#All],2,0)</f>
        <v>#REF!</v>
      </c>
      <c r="L1218">
        <v>70</v>
      </c>
      <c r="N1218" t="s">
        <v>547</v>
      </c>
      <c r="Q1218" s="10" t="str">
        <f>Tabela2[[#This Row],[Coluna5]]</f>
        <v>12/2025</v>
      </c>
      <c r="R1218" s="10" t="str">
        <f>IF(Tabela2[[#This Row],[Coluna9]]&gt;0,"Entrada","Saída")</f>
        <v>Saída</v>
      </c>
      <c r="S1218" s="10">
        <f>Tabela2[[#This Row],[Coluna8]]</f>
        <v>0</v>
      </c>
      <c r="T1218" s="10" t="e">
        <f>Tabela2[[#This Row],[Coluna72]]</f>
        <v>#REF!</v>
      </c>
      <c r="U1218" s="10">
        <f>SUM(Tabela2[[#This Row],[Coluna9]],Tabela2[[#This Row],[Coluna10]])</f>
        <v>70</v>
      </c>
      <c r="V1218" s="2" t="str">
        <f>Tabela2[[#This Row],[Coluna4]]</f>
        <v>17/12/2025</v>
      </c>
      <c r="W1218" s="2" t="str">
        <f>Tabela2[[#This Row],[Coluna6]]</f>
        <v>17/12/2025</v>
      </c>
    </row>
    <row r="1219" spans="2:23" x14ac:dyDescent="0.2">
      <c r="B1219" t="s">
        <v>18</v>
      </c>
      <c r="C1219" t="s">
        <v>95</v>
      </c>
      <c r="D1219" t="s">
        <v>13</v>
      </c>
      <c r="E1219" s="8" t="s">
        <v>78</v>
      </c>
      <c r="F1219" t="s">
        <v>64</v>
      </c>
      <c r="G1219" s="8" t="s">
        <v>78</v>
      </c>
      <c r="H1219" t="s">
        <v>570</v>
      </c>
      <c r="I1219" t="e">
        <f>VLOOKUP(Tabela2[[#This Row],[Coluna7]],[1]!Tabela1[#All],2,0)</f>
        <v>#REF!</v>
      </c>
      <c r="J1219" t="s">
        <v>638</v>
      </c>
      <c r="L1219">
        <v>35</v>
      </c>
      <c r="Q1219" s="10" t="str">
        <f>Tabela2[[#This Row],[Coluna5]]</f>
        <v>12/2025</v>
      </c>
      <c r="R1219" s="10" t="str">
        <f>IF(Tabela2[[#This Row],[Coluna9]]&gt;0,"Entrada","Saída")</f>
        <v>Saída</v>
      </c>
      <c r="S1219" s="10" t="str">
        <f>Tabela2[[#This Row],[Coluna8]]</f>
        <v>GESSO</v>
      </c>
      <c r="T1219" s="10" t="e">
        <f>Tabela2[[#This Row],[Coluna72]]</f>
        <v>#REF!</v>
      </c>
      <c r="U1219" s="10">
        <f>SUM(Tabela2[[#This Row],[Coluna9]],Tabela2[[#This Row],[Coluna10]])</f>
        <v>35</v>
      </c>
      <c r="V1219" s="2" t="str">
        <f>Tabela2[[#This Row],[Coluna4]]</f>
        <v>17/12/2025</v>
      </c>
      <c r="W1219" s="2" t="str">
        <f>Tabela2[[#This Row],[Coluna6]]</f>
        <v>17/12/2025</v>
      </c>
    </row>
    <row r="1220" spans="2:23" hidden="1" x14ac:dyDescent="0.2">
      <c r="B1220" t="s">
        <v>18</v>
      </c>
      <c r="C1220" t="s">
        <v>95</v>
      </c>
      <c r="D1220" t="s">
        <v>13</v>
      </c>
      <c r="E1220" s="8" t="s">
        <v>78</v>
      </c>
      <c r="F1220" t="s">
        <v>64</v>
      </c>
      <c r="G1220" s="8" t="s">
        <v>78</v>
      </c>
      <c r="H1220" t="s">
        <v>625</v>
      </c>
      <c r="I1220" t="e">
        <f>VLOOKUP(Tabela2[[#This Row],[Coluna7]],[1]!Tabela1[#All],2,0)</f>
        <v>#REF!</v>
      </c>
      <c r="J1220" t="s">
        <v>266</v>
      </c>
      <c r="L1220">
        <v>300</v>
      </c>
      <c r="Q1220" s="10" t="str">
        <f>Tabela2[[#This Row],[Coluna5]]</f>
        <v>12/2025</v>
      </c>
      <c r="R1220" s="10" t="str">
        <f>IF(Tabela2[[#This Row],[Coluna9]]&gt;0,"Entrada","Saída")</f>
        <v>Saída</v>
      </c>
      <c r="S1220" s="10" t="str">
        <f>Tabela2[[#This Row],[Coluna8]]</f>
        <v>PAGAMENTO PARCIAL</v>
      </c>
      <c r="T1220" s="10" t="e">
        <f>Tabela2[[#This Row],[Coluna72]]</f>
        <v>#REF!</v>
      </c>
      <c r="U1220" s="10">
        <f>SUM(Tabela2[[#This Row],[Coluna9]],Tabela2[[#This Row],[Coluna10]])</f>
        <v>300</v>
      </c>
      <c r="V1220" s="2" t="str">
        <f>Tabela2[[#This Row],[Coluna4]]</f>
        <v>17/12/2025</v>
      </c>
      <c r="W1220" s="2" t="str">
        <f>Tabela2[[#This Row],[Coluna6]]</f>
        <v>17/12/2025</v>
      </c>
    </row>
    <row r="1221" spans="2:23" x14ac:dyDescent="0.2">
      <c r="B1221" t="s">
        <v>18</v>
      </c>
      <c r="C1221" t="s">
        <v>95</v>
      </c>
      <c r="D1221" t="s">
        <v>13</v>
      </c>
      <c r="E1221" s="8" t="s">
        <v>77</v>
      </c>
      <c r="F1221" t="s">
        <v>64</v>
      </c>
      <c r="G1221" s="8" t="s">
        <v>77</v>
      </c>
      <c r="H1221" t="s">
        <v>546</v>
      </c>
      <c r="I1221" t="e">
        <f>VLOOKUP(Tabela2[[#This Row],[Coluna7]],[1]!Tabela1[#All],2,0)</f>
        <v>#REF!</v>
      </c>
      <c r="L1221">
        <v>30</v>
      </c>
      <c r="N1221" t="s">
        <v>547</v>
      </c>
      <c r="Q1221" s="10" t="str">
        <f>Tabela2[[#This Row],[Coluna5]]</f>
        <v>12/2025</v>
      </c>
      <c r="R1221" s="10" t="str">
        <f>IF(Tabela2[[#This Row],[Coluna9]]&gt;0,"Entrada","Saída")</f>
        <v>Saída</v>
      </c>
      <c r="S1221" s="10">
        <f>Tabela2[[#This Row],[Coluna8]]</f>
        <v>0</v>
      </c>
      <c r="T1221" s="10" t="e">
        <f>Tabela2[[#This Row],[Coluna72]]</f>
        <v>#REF!</v>
      </c>
      <c r="U1221" s="10">
        <f>SUM(Tabela2[[#This Row],[Coluna9]],Tabela2[[#This Row],[Coluna10]])</f>
        <v>30</v>
      </c>
      <c r="V1221" s="2" t="str">
        <f>Tabela2[[#This Row],[Coluna4]]</f>
        <v>18/12/2025</v>
      </c>
      <c r="W1221" s="2" t="str">
        <f>Tabela2[[#This Row],[Coluna6]]</f>
        <v>18/12/2025</v>
      </c>
    </row>
    <row r="1222" spans="2:23" x14ac:dyDescent="0.2">
      <c r="B1222" t="s">
        <v>12</v>
      </c>
      <c r="C1222" t="s">
        <v>95</v>
      </c>
      <c r="D1222" t="s">
        <v>13</v>
      </c>
      <c r="E1222" s="8" t="s">
        <v>416</v>
      </c>
      <c r="F1222" t="s">
        <v>64</v>
      </c>
      <c r="G1222" s="8" t="s">
        <v>416</v>
      </c>
      <c r="H1222" t="s">
        <v>546</v>
      </c>
      <c r="I1222" t="e">
        <f>VLOOKUP(Tabela2[[#This Row],[Coluna7]],[1]!Tabela1[#All],2,0)</f>
        <v>#REF!</v>
      </c>
      <c r="J1222" t="s">
        <v>648</v>
      </c>
      <c r="L1222">
        <v>100</v>
      </c>
      <c r="N1222" t="s">
        <v>547</v>
      </c>
      <c r="Q1222" s="10" t="str">
        <f>Tabela2[[#This Row],[Coluna5]]</f>
        <v>12/2025</v>
      </c>
      <c r="R1222" s="10" t="str">
        <f>IF(Tabela2[[#This Row],[Coluna9]]&gt;0,"Entrada","Saída")</f>
        <v>Saída</v>
      </c>
      <c r="S1222" s="10" t="str">
        <f>Tabela2[[#This Row],[Coluna8]]</f>
        <v>(2 DE R$50,00)</v>
      </c>
      <c r="T1222" s="10" t="e">
        <f>Tabela2[[#This Row],[Coluna72]]</f>
        <v>#REF!</v>
      </c>
      <c r="U1222" s="10">
        <f>SUM(Tabela2[[#This Row],[Coluna9]],Tabela2[[#This Row],[Coluna10]])</f>
        <v>100</v>
      </c>
      <c r="V1222" s="2" t="str">
        <f>Tabela2[[#This Row],[Coluna4]]</f>
        <v>19/12/2025</v>
      </c>
      <c r="W1222" s="2" t="str">
        <f>Tabela2[[#This Row],[Coluna6]]</f>
        <v>19/12/2025</v>
      </c>
    </row>
    <row r="1223" spans="2:23" x14ac:dyDescent="0.2">
      <c r="B1223" t="s">
        <v>12</v>
      </c>
      <c r="C1223" t="s">
        <v>95</v>
      </c>
      <c r="D1223" t="s">
        <v>13</v>
      </c>
      <c r="E1223" s="8" t="s">
        <v>416</v>
      </c>
      <c r="F1223" t="s">
        <v>84</v>
      </c>
      <c r="G1223" s="8" t="s">
        <v>416</v>
      </c>
      <c r="H1223" t="s">
        <v>546</v>
      </c>
      <c r="I1223" t="e">
        <f>VLOOKUP(Tabela2[[#This Row],[Coluna7]],[1]!Tabela1[#All],2,0)</f>
        <v>#REF!</v>
      </c>
      <c r="L1223">
        <v>100</v>
      </c>
      <c r="N1223" t="s">
        <v>584</v>
      </c>
      <c r="Q1223" s="10" t="str">
        <f>Tabela2[[#This Row],[Coluna5]]</f>
        <v>01/2026</v>
      </c>
      <c r="R1223" s="10" t="str">
        <f>IF(Tabela2[[#This Row],[Coluna9]]&gt;0,"Entrada","Saída")</f>
        <v>Saída</v>
      </c>
      <c r="S1223" s="10">
        <f>Tabela2[[#This Row],[Coluna8]]</f>
        <v>0</v>
      </c>
      <c r="T1223" s="10" t="e">
        <f>Tabela2[[#This Row],[Coluna72]]</f>
        <v>#REF!</v>
      </c>
      <c r="U1223" s="10">
        <f>SUM(Tabela2[[#This Row],[Coluna9]],Tabela2[[#This Row],[Coluna10]])</f>
        <v>100</v>
      </c>
      <c r="V1223" s="2" t="str">
        <f>Tabela2[[#This Row],[Coluna4]]</f>
        <v>19/12/2025</v>
      </c>
      <c r="W1223" s="2" t="str">
        <f>Tabela2[[#This Row],[Coluna6]]</f>
        <v>19/12/2025</v>
      </c>
    </row>
    <row r="1224" spans="2:23" x14ac:dyDescent="0.2">
      <c r="B1224" t="s">
        <v>12</v>
      </c>
      <c r="C1224" t="s">
        <v>95</v>
      </c>
      <c r="D1224" t="s">
        <v>13</v>
      </c>
      <c r="E1224" s="8" t="s">
        <v>79</v>
      </c>
      <c r="F1224" t="s">
        <v>84</v>
      </c>
      <c r="G1224" s="8" t="s">
        <v>79</v>
      </c>
      <c r="H1224" t="s">
        <v>546</v>
      </c>
      <c r="I1224" t="e">
        <f>VLOOKUP(Tabela2[[#This Row],[Coluna7]],[1]!Tabela1[#All],2,0)</f>
        <v>#REF!</v>
      </c>
      <c r="L1224">
        <v>500</v>
      </c>
      <c r="N1224" t="s">
        <v>584</v>
      </c>
      <c r="Q1224" s="10" t="str">
        <f>Tabela2[[#This Row],[Coluna5]]</f>
        <v>01/2026</v>
      </c>
      <c r="R1224" s="10" t="str">
        <f>IF(Tabela2[[#This Row],[Coluna9]]&gt;0,"Entrada","Saída")</f>
        <v>Saída</v>
      </c>
      <c r="S1224" s="10">
        <f>Tabela2[[#This Row],[Coluna8]]</f>
        <v>0</v>
      </c>
      <c r="T1224" s="10" t="e">
        <f>Tabela2[[#This Row],[Coluna72]]</f>
        <v>#REF!</v>
      </c>
      <c r="U1224" s="10">
        <f>SUM(Tabela2[[#This Row],[Coluna9]],Tabela2[[#This Row],[Coluna10]])</f>
        <v>500</v>
      </c>
      <c r="V1224" s="2" t="str">
        <f>Tabela2[[#This Row],[Coluna4]]</f>
        <v>20/12/2025</v>
      </c>
      <c r="W1224" s="2" t="str">
        <f>Tabela2[[#This Row],[Coluna6]]</f>
        <v>20/12/2025</v>
      </c>
    </row>
    <row r="1225" spans="2:23" x14ac:dyDescent="0.2">
      <c r="B1225" t="s">
        <v>12</v>
      </c>
      <c r="C1225" t="s">
        <v>95</v>
      </c>
      <c r="D1225" t="s">
        <v>13</v>
      </c>
      <c r="E1225" s="8" t="s">
        <v>79</v>
      </c>
      <c r="F1225" t="s">
        <v>84</v>
      </c>
      <c r="G1225" s="8" t="s">
        <v>79</v>
      </c>
      <c r="H1225" t="s">
        <v>546</v>
      </c>
      <c r="I1225" t="e">
        <f>VLOOKUP(Tabela2[[#This Row],[Coluna7]],[1]!Tabela1[#All],2,0)</f>
        <v>#REF!</v>
      </c>
      <c r="L1225">
        <v>750</v>
      </c>
      <c r="N1225" t="s">
        <v>547</v>
      </c>
      <c r="Q1225" s="10" t="str">
        <f>Tabela2[[#This Row],[Coluna5]]</f>
        <v>01/2026</v>
      </c>
      <c r="R1225" s="10" t="str">
        <f>IF(Tabela2[[#This Row],[Coluna9]]&gt;0,"Entrada","Saída")</f>
        <v>Saída</v>
      </c>
      <c r="S1225" s="10">
        <f>Tabela2[[#This Row],[Coluna8]]</f>
        <v>0</v>
      </c>
      <c r="T1225" s="10" t="e">
        <f>Tabela2[[#This Row],[Coluna72]]</f>
        <v>#REF!</v>
      </c>
      <c r="U1225" s="10">
        <f>SUM(Tabela2[[#This Row],[Coluna9]],Tabela2[[#This Row],[Coluna10]])</f>
        <v>750</v>
      </c>
      <c r="V1225" s="2" t="str">
        <f>Tabela2[[#This Row],[Coluna4]]</f>
        <v>20/12/2025</v>
      </c>
      <c r="W1225" s="2" t="str">
        <f>Tabela2[[#This Row],[Coluna6]]</f>
        <v>20/12/2025</v>
      </c>
    </row>
    <row r="1226" spans="2:23" x14ac:dyDescent="0.2">
      <c r="B1226" t="s">
        <v>12</v>
      </c>
      <c r="C1226" t="s">
        <v>95</v>
      </c>
      <c r="D1226" t="s">
        <v>13</v>
      </c>
      <c r="E1226" s="8" t="s">
        <v>79</v>
      </c>
      <c r="F1226" t="s">
        <v>84</v>
      </c>
      <c r="G1226" s="8" t="s">
        <v>79</v>
      </c>
      <c r="H1226" t="s">
        <v>443</v>
      </c>
      <c r="I1226" t="e">
        <f>VLOOKUP(Tabela2[[#This Row],[Coluna7]],[1]!Tabela1[#All],2,0)</f>
        <v>#REF!</v>
      </c>
      <c r="L1226">
        <v>36.47</v>
      </c>
      <c r="Q1226" s="10" t="str">
        <f>Tabela2[[#This Row],[Coluna5]]</f>
        <v>01/2026</v>
      </c>
      <c r="R1226" s="10" t="str">
        <f>IF(Tabela2[[#This Row],[Coluna9]]&gt;0,"Entrada","Saída")</f>
        <v>Saída</v>
      </c>
      <c r="S1226" s="10">
        <f>Tabela2[[#This Row],[Coluna8]]</f>
        <v>0</v>
      </c>
      <c r="T1226" s="10" t="e">
        <f>Tabela2[[#This Row],[Coluna72]]</f>
        <v>#REF!</v>
      </c>
      <c r="U1226" s="10">
        <f>SUM(Tabela2[[#This Row],[Coluna9]],Tabela2[[#This Row],[Coluna10]])</f>
        <v>36.47</v>
      </c>
      <c r="V1226" s="2" t="str">
        <f>Tabela2[[#This Row],[Coluna4]]</f>
        <v>20/12/2025</v>
      </c>
      <c r="W1226" s="2" t="str">
        <f>Tabela2[[#This Row],[Coluna6]]</f>
        <v>20/12/2025</v>
      </c>
    </row>
    <row r="1227" spans="2:23" hidden="1" x14ac:dyDescent="0.2">
      <c r="B1227" t="s">
        <v>18</v>
      </c>
      <c r="C1227" t="s">
        <v>95</v>
      </c>
      <c r="D1227" t="s">
        <v>13</v>
      </c>
      <c r="E1227" s="8" t="s">
        <v>325</v>
      </c>
      <c r="F1227" t="s">
        <v>64</v>
      </c>
      <c r="G1227" s="8" t="s">
        <v>325</v>
      </c>
      <c r="H1227" t="s">
        <v>625</v>
      </c>
      <c r="I1227" t="e">
        <f>VLOOKUP(Tabela2[[#This Row],[Coluna7]],[1]!Tabela1[#All],2,0)</f>
        <v>#REF!</v>
      </c>
      <c r="J1227" t="s">
        <v>627</v>
      </c>
      <c r="L1227">
        <v>200</v>
      </c>
      <c r="Q1227" s="10" t="str">
        <f>Tabela2[[#This Row],[Coluna5]]</f>
        <v>12/2025</v>
      </c>
      <c r="R1227" s="10" t="str">
        <f>IF(Tabela2[[#This Row],[Coluna9]]&gt;0,"Entrada","Saída")</f>
        <v>Saída</v>
      </c>
      <c r="S1227" s="10" t="str">
        <f>Tabela2[[#This Row],[Coluna8]]</f>
        <v>CARTÃO EFÍ</v>
      </c>
      <c r="T1227" s="10" t="e">
        <f>Tabela2[[#This Row],[Coluna72]]</f>
        <v>#REF!</v>
      </c>
      <c r="U1227" s="10">
        <f>SUM(Tabela2[[#This Row],[Coluna9]],Tabela2[[#This Row],[Coluna10]])</f>
        <v>200</v>
      </c>
      <c r="V1227" s="2" t="str">
        <f>Tabela2[[#This Row],[Coluna4]]</f>
        <v>22/12/2025</v>
      </c>
      <c r="W1227" s="2" t="str">
        <f>Tabela2[[#This Row],[Coluna6]]</f>
        <v>22/12/2025</v>
      </c>
    </row>
    <row r="1228" spans="2:23" x14ac:dyDescent="0.2">
      <c r="B1228" t="s">
        <v>12</v>
      </c>
      <c r="C1228" t="s">
        <v>95</v>
      </c>
      <c r="D1228" t="s">
        <v>13</v>
      </c>
      <c r="E1228" s="8" t="s">
        <v>325</v>
      </c>
      <c r="F1228" t="s">
        <v>64</v>
      </c>
      <c r="G1228" s="8" t="s">
        <v>325</v>
      </c>
      <c r="H1228" t="s">
        <v>546</v>
      </c>
      <c r="I1228" t="e">
        <f>VLOOKUP(Tabela2[[#This Row],[Coluna7]],[1]!Tabela1[#All],2,0)</f>
        <v>#REF!</v>
      </c>
      <c r="L1228">
        <v>182</v>
      </c>
      <c r="N1228" t="s">
        <v>547</v>
      </c>
      <c r="Q1228" s="10" t="str">
        <f>Tabela2[[#This Row],[Coluna5]]</f>
        <v>12/2025</v>
      </c>
      <c r="R1228" s="10" t="str">
        <f>IF(Tabela2[[#This Row],[Coluna9]]&gt;0,"Entrada","Saída")</f>
        <v>Saída</v>
      </c>
      <c r="S1228" s="10">
        <f>Tabela2[[#This Row],[Coluna8]]</f>
        <v>0</v>
      </c>
      <c r="T1228" s="10" t="e">
        <f>Tabela2[[#This Row],[Coluna72]]</f>
        <v>#REF!</v>
      </c>
      <c r="U1228" s="10">
        <f>SUM(Tabela2[[#This Row],[Coluna9]],Tabela2[[#This Row],[Coluna10]])</f>
        <v>182</v>
      </c>
      <c r="V1228" s="2" t="str">
        <f>Tabela2[[#This Row],[Coluna4]]</f>
        <v>22/12/2025</v>
      </c>
      <c r="W1228" s="2" t="str">
        <f>Tabela2[[#This Row],[Coluna6]]</f>
        <v>22/12/2025</v>
      </c>
    </row>
    <row r="1229" spans="2:23" x14ac:dyDescent="0.2">
      <c r="B1229" t="s">
        <v>12</v>
      </c>
      <c r="C1229" t="s">
        <v>95</v>
      </c>
      <c r="D1229" t="s">
        <v>13</v>
      </c>
      <c r="E1229" s="8" t="s">
        <v>325</v>
      </c>
      <c r="F1229" t="s">
        <v>64</v>
      </c>
      <c r="G1229" s="8" t="s">
        <v>325</v>
      </c>
      <c r="H1229" t="s">
        <v>546</v>
      </c>
      <c r="I1229" t="e">
        <f>VLOOKUP(Tabela2[[#This Row],[Coluna7]],[1]!Tabela1[#All],2,0)</f>
        <v>#REF!</v>
      </c>
      <c r="L1229">
        <v>100</v>
      </c>
      <c r="N1229" t="s">
        <v>547</v>
      </c>
      <c r="Q1229" s="10" t="str">
        <f>Tabela2[[#This Row],[Coluna5]]</f>
        <v>12/2025</v>
      </c>
      <c r="R1229" s="10" t="str">
        <f>IF(Tabela2[[#This Row],[Coluna9]]&gt;0,"Entrada","Saída")</f>
        <v>Saída</v>
      </c>
      <c r="S1229" s="10">
        <f>Tabela2[[#This Row],[Coluna8]]</f>
        <v>0</v>
      </c>
      <c r="T1229" s="10" t="e">
        <f>Tabela2[[#This Row],[Coluna72]]</f>
        <v>#REF!</v>
      </c>
      <c r="U1229" s="10">
        <f>SUM(Tabela2[[#This Row],[Coluna9]],Tabela2[[#This Row],[Coluna10]])</f>
        <v>100</v>
      </c>
      <c r="V1229" s="2" t="str">
        <f>Tabela2[[#This Row],[Coluna4]]</f>
        <v>22/12/2025</v>
      </c>
      <c r="W1229" s="2" t="str">
        <f>Tabela2[[#This Row],[Coluna6]]</f>
        <v>22/12/2025</v>
      </c>
    </row>
    <row r="1230" spans="2:23" x14ac:dyDescent="0.2">
      <c r="B1230" t="s">
        <v>12</v>
      </c>
      <c r="C1230" t="s">
        <v>95</v>
      </c>
      <c r="D1230" t="s">
        <v>13</v>
      </c>
      <c r="E1230" s="8" t="s">
        <v>325</v>
      </c>
      <c r="F1230" t="s">
        <v>64</v>
      </c>
      <c r="G1230" s="8" t="s">
        <v>325</v>
      </c>
      <c r="H1230" t="s">
        <v>546</v>
      </c>
      <c r="I1230" t="e">
        <f>VLOOKUP(Tabela2[[#This Row],[Coluna7]],[1]!Tabela1[#All],2,0)</f>
        <v>#REF!</v>
      </c>
      <c r="L1230">
        <v>80</v>
      </c>
      <c r="N1230" t="s">
        <v>584</v>
      </c>
      <c r="Q1230" s="10" t="str">
        <f>Tabela2[[#This Row],[Coluna5]]</f>
        <v>12/2025</v>
      </c>
      <c r="R1230" s="10" t="str">
        <f>IF(Tabela2[[#This Row],[Coluna9]]&gt;0,"Entrada","Saída")</f>
        <v>Saída</v>
      </c>
      <c r="S1230" s="10">
        <f>Tabela2[[#This Row],[Coluna8]]</f>
        <v>0</v>
      </c>
      <c r="T1230" s="10" t="e">
        <f>Tabela2[[#This Row],[Coluna72]]</f>
        <v>#REF!</v>
      </c>
      <c r="U1230" s="10">
        <f>SUM(Tabela2[[#This Row],[Coluna9]],Tabela2[[#This Row],[Coluna10]])</f>
        <v>80</v>
      </c>
      <c r="V1230" s="2" t="str">
        <f>Tabela2[[#This Row],[Coluna4]]</f>
        <v>22/12/2025</v>
      </c>
      <c r="W1230" s="2" t="str">
        <f>Tabela2[[#This Row],[Coluna6]]</f>
        <v>22/12/2025</v>
      </c>
    </row>
    <row r="1231" spans="2:23" x14ac:dyDescent="0.2">
      <c r="B1231" t="s">
        <v>12</v>
      </c>
      <c r="C1231" t="s">
        <v>95</v>
      </c>
      <c r="D1231" t="s">
        <v>13</v>
      </c>
      <c r="E1231" s="8" t="s">
        <v>512</v>
      </c>
      <c r="F1231" t="s">
        <v>64</v>
      </c>
      <c r="G1231" s="8" t="s">
        <v>512</v>
      </c>
      <c r="H1231" t="s">
        <v>546</v>
      </c>
      <c r="I1231" t="e">
        <f>VLOOKUP(Tabela2[[#This Row],[Coluna7]],[1]!Tabela1[#All],2,0)</f>
        <v>#REF!</v>
      </c>
      <c r="L1231">
        <v>650</v>
      </c>
      <c r="N1231" t="s">
        <v>547</v>
      </c>
      <c r="Q1231" s="10" t="str">
        <f>Tabela2[[#This Row],[Coluna5]]</f>
        <v>12/2025</v>
      </c>
      <c r="R1231" s="10" t="str">
        <f>IF(Tabela2[[#This Row],[Coluna9]]&gt;0,"Entrada","Saída")</f>
        <v>Saída</v>
      </c>
      <c r="S1231" s="10">
        <f>Tabela2[[#This Row],[Coluna8]]</f>
        <v>0</v>
      </c>
      <c r="T1231" s="10" t="e">
        <f>Tabela2[[#This Row],[Coluna72]]</f>
        <v>#REF!</v>
      </c>
      <c r="U1231" s="10">
        <f>SUM(Tabela2[[#This Row],[Coluna9]],Tabela2[[#This Row],[Coluna10]])</f>
        <v>650</v>
      </c>
      <c r="V1231" s="2" t="str">
        <f>Tabela2[[#This Row],[Coluna4]]</f>
        <v>24/12/2025</v>
      </c>
      <c r="W1231" s="2" t="str">
        <f>Tabela2[[#This Row],[Coluna6]]</f>
        <v>24/12/2025</v>
      </c>
    </row>
    <row r="1232" spans="2:23" x14ac:dyDescent="0.2">
      <c r="B1232" t="s">
        <v>12</v>
      </c>
      <c r="C1232" t="s">
        <v>95</v>
      </c>
      <c r="D1232" t="s">
        <v>13</v>
      </c>
      <c r="E1232" s="8" t="s">
        <v>512</v>
      </c>
      <c r="F1232" t="s">
        <v>64</v>
      </c>
      <c r="G1232" s="8" t="s">
        <v>512</v>
      </c>
      <c r="H1232" t="s">
        <v>546</v>
      </c>
      <c r="I1232" t="e">
        <f>VLOOKUP(Tabela2[[#This Row],[Coluna7]],[1]!Tabela1[#All],2,0)</f>
        <v>#REF!</v>
      </c>
      <c r="J1232" t="s">
        <v>649</v>
      </c>
      <c r="L1232">
        <v>300</v>
      </c>
      <c r="N1232" t="s">
        <v>381</v>
      </c>
      <c r="Q1232" s="10" t="str">
        <f>Tabela2[[#This Row],[Coluna5]]</f>
        <v>12/2025</v>
      </c>
      <c r="R1232" s="10" t="str">
        <f>IF(Tabela2[[#This Row],[Coluna9]]&gt;0,"Entrada","Saída")</f>
        <v>Saída</v>
      </c>
      <c r="S1232" s="10" t="str">
        <f>Tabela2[[#This Row],[Coluna8]]</f>
        <v>HORA EXTRA</v>
      </c>
      <c r="T1232" s="10" t="e">
        <f>Tabela2[[#This Row],[Coluna72]]</f>
        <v>#REF!</v>
      </c>
      <c r="U1232" s="10">
        <f>SUM(Tabela2[[#This Row],[Coluna9]],Tabela2[[#This Row],[Coluna10]])</f>
        <v>300</v>
      </c>
      <c r="V1232" s="2" t="str">
        <f>Tabela2[[#This Row],[Coluna4]]</f>
        <v>24/12/2025</v>
      </c>
      <c r="W1232" s="2" t="str">
        <f>Tabela2[[#This Row],[Coluna6]]</f>
        <v>24/12/2025</v>
      </c>
    </row>
    <row r="1233" spans="2:23" x14ac:dyDescent="0.2">
      <c r="B1233" t="s">
        <v>12</v>
      </c>
      <c r="C1233" t="s">
        <v>95</v>
      </c>
      <c r="D1233" t="s">
        <v>13</v>
      </c>
      <c r="E1233" s="8" t="s">
        <v>512</v>
      </c>
      <c r="F1233" t="s">
        <v>64</v>
      </c>
      <c r="G1233" s="8" t="s">
        <v>512</v>
      </c>
      <c r="H1233" t="s">
        <v>546</v>
      </c>
      <c r="I1233" t="e">
        <f>VLOOKUP(Tabela2[[#This Row],[Coluna7]],[1]!Tabela1[#All],2,0)</f>
        <v>#REF!</v>
      </c>
      <c r="L1233">
        <v>800</v>
      </c>
      <c r="N1233" t="s">
        <v>584</v>
      </c>
      <c r="Q1233" s="10" t="str">
        <f>Tabela2[[#This Row],[Coluna5]]</f>
        <v>12/2025</v>
      </c>
      <c r="R1233" s="10" t="str">
        <f>IF(Tabela2[[#This Row],[Coluna9]]&gt;0,"Entrada","Saída")</f>
        <v>Saída</v>
      </c>
      <c r="S1233" s="10">
        <f>Tabela2[[#This Row],[Coluna8]]</f>
        <v>0</v>
      </c>
      <c r="T1233" s="10" t="e">
        <f>Tabela2[[#This Row],[Coluna72]]</f>
        <v>#REF!</v>
      </c>
      <c r="U1233" s="10">
        <f>SUM(Tabela2[[#This Row],[Coluna9]],Tabela2[[#This Row],[Coluna10]])</f>
        <v>800</v>
      </c>
      <c r="V1233" s="2" t="str">
        <f>Tabela2[[#This Row],[Coluna4]]</f>
        <v>24/12/2025</v>
      </c>
      <c r="W1233" s="2" t="str">
        <f>Tabela2[[#This Row],[Coluna6]]</f>
        <v>24/12/2025</v>
      </c>
    </row>
    <row r="1234" spans="2:23" x14ac:dyDescent="0.2">
      <c r="B1234" t="s">
        <v>12</v>
      </c>
      <c r="C1234" t="s">
        <v>95</v>
      </c>
      <c r="D1234" t="s">
        <v>13</v>
      </c>
      <c r="E1234" s="8" t="s">
        <v>75</v>
      </c>
      <c r="F1234" t="s">
        <v>64</v>
      </c>
      <c r="G1234" s="8" t="s">
        <v>75</v>
      </c>
      <c r="H1234" t="s">
        <v>546</v>
      </c>
      <c r="I1234" t="e">
        <f>VLOOKUP(Tabela2[[#This Row],[Coluna7]],[1]!Tabela1[#All],2,0)</f>
        <v>#REF!</v>
      </c>
      <c r="L1234">
        <v>150</v>
      </c>
      <c r="N1234" t="s">
        <v>547</v>
      </c>
      <c r="Q1234" s="10" t="str">
        <f>Tabela2[[#This Row],[Coluna5]]</f>
        <v>12/2025</v>
      </c>
      <c r="R1234" s="10" t="str">
        <f>IF(Tabela2[[#This Row],[Coluna9]]&gt;0,"Entrada","Saída")</f>
        <v>Saída</v>
      </c>
      <c r="S1234" s="10">
        <f>Tabela2[[#This Row],[Coluna8]]</f>
        <v>0</v>
      </c>
      <c r="T1234" s="10" t="e">
        <f>Tabela2[[#This Row],[Coluna72]]</f>
        <v>#REF!</v>
      </c>
      <c r="U1234" s="10">
        <f>SUM(Tabela2[[#This Row],[Coluna9]],Tabela2[[#This Row],[Coluna10]])</f>
        <v>150</v>
      </c>
      <c r="V1234" s="2" t="str">
        <f>Tabela2[[#This Row],[Coluna4]]</f>
        <v>27/12/2025</v>
      </c>
      <c r="W1234" s="2" t="str">
        <f>Tabela2[[#This Row],[Coluna6]]</f>
        <v>27/12/2025</v>
      </c>
    </row>
    <row r="1235" spans="2:23" x14ac:dyDescent="0.2">
      <c r="B1235" t="s">
        <v>12</v>
      </c>
      <c r="C1235" t="s">
        <v>95</v>
      </c>
      <c r="D1235" t="s">
        <v>13</v>
      </c>
      <c r="E1235" s="8" t="s">
        <v>650</v>
      </c>
      <c r="F1235" t="s">
        <v>64</v>
      </c>
      <c r="G1235" s="8" t="s">
        <v>650</v>
      </c>
      <c r="H1235" t="s">
        <v>651</v>
      </c>
      <c r="I1235" t="e">
        <f>VLOOKUP(Tabela2[[#This Row],[Coluna7]],[1]!Tabela1[#All],2,0)</f>
        <v>#REF!</v>
      </c>
      <c r="J1235" t="s">
        <v>652</v>
      </c>
      <c r="L1235">
        <v>74.099999999999994</v>
      </c>
      <c r="Q1235" s="10" t="str">
        <f>Tabela2[[#This Row],[Coluna5]]</f>
        <v>12/2025</v>
      </c>
      <c r="R1235" s="10" t="str">
        <f>IF(Tabela2[[#This Row],[Coluna9]]&gt;0,"Entrada","Saída")</f>
        <v>Saída</v>
      </c>
      <c r="S1235" s="10" t="str">
        <f>Tabela2[[#This Row],[Coluna8]]</f>
        <v>GASOLINA - STRADA</v>
      </c>
      <c r="T1235" s="10" t="e">
        <f>Tabela2[[#This Row],[Coluna72]]</f>
        <v>#REF!</v>
      </c>
      <c r="U1235" s="10">
        <f>SUM(Tabela2[[#This Row],[Coluna9]],Tabela2[[#This Row],[Coluna10]])</f>
        <v>74.099999999999994</v>
      </c>
      <c r="V1235" s="2" t="str">
        <f>Tabela2[[#This Row],[Coluna4]]</f>
        <v>28/12/2025</v>
      </c>
      <c r="W1235" s="2" t="str">
        <f>Tabela2[[#This Row],[Coluna6]]</f>
        <v>28/12/2025</v>
      </c>
    </row>
    <row r="1236" spans="2:23" x14ac:dyDescent="0.2">
      <c r="B1236" t="s">
        <v>12</v>
      </c>
      <c r="C1236" t="s">
        <v>95</v>
      </c>
      <c r="D1236" t="s">
        <v>13</v>
      </c>
      <c r="E1236" s="8" t="s">
        <v>650</v>
      </c>
      <c r="F1236" t="s">
        <v>64</v>
      </c>
      <c r="G1236" s="8" t="s">
        <v>650</v>
      </c>
      <c r="H1236" t="s">
        <v>546</v>
      </c>
      <c r="I1236" t="e">
        <f>VLOOKUP(Tabela2[[#This Row],[Coluna7]],[1]!Tabela1[#All],2,0)</f>
        <v>#REF!</v>
      </c>
      <c r="L1236">
        <v>100</v>
      </c>
      <c r="N1236" t="s">
        <v>584</v>
      </c>
      <c r="Q1236" s="10" t="str">
        <f>Tabela2[[#This Row],[Coluna5]]</f>
        <v>12/2025</v>
      </c>
      <c r="R1236" s="10" t="str">
        <f>IF(Tabela2[[#This Row],[Coluna9]]&gt;0,"Entrada","Saída")</f>
        <v>Saída</v>
      </c>
      <c r="S1236" s="10">
        <f>Tabela2[[#This Row],[Coluna8]]</f>
        <v>0</v>
      </c>
      <c r="T1236" s="10" t="e">
        <f>Tabela2[[#This Row],[Coluna72]]</f>
        <v>#REF!</v>
      </c>
      <c r="U1236" s="10">
        <f>SUM(Tabela2[[#This Row],[Coluna9]],Tabela2[[#This Row],[Coluna10]])</f>
        <v>100</v>
      </c>
      <c r="V1236" s="2" t="str">
        <f>Tabela2[[#This Row],[Coluna4]]</f>
        <v>28/12/2025</v>
      </c>
      <c r="W1236" s="2" t="str">
        <f>Tabela2[[#This Row],[Coluna6]]</f>
        <v>28/12/2025</v>
      </c>
    </row>
    <row r="1237" spans="2:23" x14ac:dyDescent="0.2">
      <c r="B1237" t="s">
        <v>12</v>
      </c>
      <c r="C1237" t="s">
        <v>95</v>
      </c>
      <c r="D1237" t="s">
        <v>13</v>
      </c>
      <c r="E1237" s="8" t="s">
        <v>331</v>
      </c>
      <c r="F1237" t="s">
        <v>64</v>
      </c>
      <c r="G1237" s="8" t="s">
        <v>331</v>
      </c>
      <c r="H1237" t="s">
        <v>535</v>
      </c>
      <c r="I1237" t="e">
        <f>VLOOKUP(Tabela2[[#This Row],[Coluna7]],[1]!Tabela1[#All],2,0)</f>
        <v>#REF!</v>
      </c>
      <c r="J1237" t="s">
        <v>653</v>
      </c>
      <c r="L1237">
        <v>32</v>
      </c>
      <c r="Q1237" s="10" t="str">
        <f>Tabela2[[#This Row],[Coluna5]]</f>
        <v>12/2025</v>
      </c>
      <c r="R1237" s="10" t="str">
        <f>IF(Tabela2[[#This Row],[Coluna9]]&gt;0,"Entrada","Saída")</f>
        <v>Saída</v>
      </c>
      <c r="S1237" s="10" t="str">
        <f>Tabela2[[#This Row],[Coluna8]]</f>
        <v>ANIVERSÁRIO JOÃO VICTOR</v>
      </c>
      <c r="T1237" s="10" t="e">
        <f>Tabela2[[#This Row],[Coluna72]]</f>
        <v>#REF!</v>
      </c>
      <c r="U1237" s="10">
        <f>SUM(Tabela2[[#This Row],[Coluna9]],Tabela2[[#This Row],[Coluna10]])</f>
        <v>32</v>
      </c>
      <c r="V1237" s="2" t="str">
        <f>Tabela2[[#This Row],[Coluna4]]</f>
        <v>29/12/2025</v>
      </c>
      <c r="W1237" s="2" t="str">
        <f>Tabela2[[#This Row],[Coluna6]]</f>
        <v>29/12/2025</v>
      </c>
    </row>
    <row r="1238" spans="2:23" x14ac:dyDescent="0.2">
      <c r="B1238" t="s">
        <v>12</v>
      </c>
      <c r="C1238" t="s">
        <v>95</v>
      </c>
      <c r="D1238" t="s">
        <v>13</v>
      </c>
      <c r="E1238" s="8" t="s">
        <v>331</v>
      </c>
      <c r="F1238" t="s">
        <v>84</v>
      </c>
      <c r="G1238" s="8" t="s">
        <v>331</v>
      </c>
      <c r="H1238" t="s">
        <v>535</v>
      </c>
      <c r="I1238" t="e">
        <f>VLOOKUP(Tabela2[[#This Row],[Coluna7]],[1]!Tabela1[#All],2,0)</f>
        <v>#REF!</v>
      </c>
      <c r="J1238" t="s">
        <v>654</v>
      </c>
      <c r="L1238">
        <v>32.28</v>
      </c>
      <c r="Q1238" s="10" t="str">
        <f>Tabela2[[#This Row],[Coluna5]]</f>
        <v>01/2026</v>
      </c>
      <c r="R1238" s="10" t="str">
        <f>IF(Tabela2[[#This Row],[Coluna9]]&gt;0,"Entrada","Saída")</f>
        <v>Saída</v>
      </c>
      <c r="S1238" s="10" t="str">
        <f>Tabela2[[#This Row],[Coluna8]]</f>
        <v>ANIVERSÁRIO DE JOÃO VICTOR</v>
      </c>
      <c r="T1238" s="10" t="e">
        <f>Tabela2[[#This Row],[Coluna72]]</f>
        <v>#REF!</v>
      </c>
      <c r="U1238" s="10">
        <f>SUM(Tabela2[[#This Row],[Coluna9]],Tabela2[[#This Row],[Coluna10]])</f>
        <v>32.28</v>
      </c>
      <c r="V1238" s="2" t="str">
        <f>Tabela2[[#This Row],[Coluna4]]</f>
        <v>29/12/2025</v>
      </c>
      <c r="W1238" s="2" t="str">
        <f>Tabela2[[#This Row],[Coluna6]]</f>
        <v>29/12/2025</v>
      </c>
    </row>
    <row r="1239" spans="2:23" x14ac:dyDescent="0.2">
      <c r="B1239" t="s">
        <v>12</v>
      </c>
      <c r="C1239" t="s">
        <v>95</v>
      </c>
      <c r="D1239" t="s">
        <v>13</v>
      </c>
      <c r="E1239" s="8" t="s">
        <v>331</v>
      </c>
      <c r="F1239" t="s">
        <v>84</v>
      </c>
      <c r="G1239" s="8" t="s">
        <v>331</v>
      </c>
      <c r="H1239" t="s">
        <v>538</v>
      </c>
      <c r="I1239" t="e">
        <f>VLOOKUP(Tabela2[[#This Row],[Coluna7]],[1]!Tabela1[#All],2,0)</f>
        <v>#REF!</v>
      </c>
      <c r="J1239" t="s">
        <v>655</v>
      </c>
      <c r="L1239">
        <v>94</v>
      </c>
      <c r="Q1239" s="10" t="str">
        <f>Tabela2[[#This Row],[Coluna5]]</f>
        <v>01/2026</v>
      </c>
      <c r="R1239" s="10" t="str">
        <f>IF(Tabela2[[#This Row],[Coluna9]]&gt;0,"Entrada","Saída")</f>
        <v>Saída</v>
      </c>
      <c r="S1239" s="10" t="str">
        <f>Tabela2[[#This Row],[Coluna8]]</f>
        <v>LIMPEZA DO TAPETE (PIX CARINA)</v>
      </c>
      <c r="T1239" s="10" t="e">
        <f>Tabela2[[#This Row],[Coluna72]]</f>
        <v>#REF!</v>
      </c>
      <c r="U1239" s="10">
        <f>SUM(Tabela2[[#This Row],[Coluna9]],Tabela2[[#This Row],[Coluna10]])</f>
        <v>94</v>
      </c>
      <c r="V1239" s="2" t="str">
        <f>Tabela2[[#This Row],[Coluna4]]</f>
        <v>29/12/2025</v>
      </c>
      <c r="W1239" s="2" t="str">
        <f>Tabela2[[#This Row],[Coluna6]]</f>
        <v>29/12/2025</v>
      </c>
    </row>
    <row r="1240" spans="2:23" x14ac:dyDescent="0.2">
      <c r="B1240" t="s">
        <v>12</v>
      </c>
      <c r="C1240" t="s">
        <v>95</v>
      </c>
      <c r="D1240" t="s">
        <v>13</v>
      </c>
      <c r="E1240" s="8" t="s">
        <v>331</v>
      </c>
      <c r="F1240" t="s">
        <v>84</v>
      </c>
      <c r="G1240" s="8" t="s">
        <v>331</v>
      </c>
      <c r="H1240" t="s">
        <v>580</v>
      </c>
      <c r="I1240" t="e">
        <f>VLOOKUP(Tabela2[[#This Row],[Coluna7]],[1]!Tabela1[#All],2,0)</f>
        <v>#REF!</v>
      </c>
      <c r="J1240" t="s">
        <v>656</v>
      </c>
      <c r="L1240">
        <v>1000</v>
      </c>
      <c r="N1240" t="s">
        <v>583</v>
      </c>
      <c r="Q1240" s="10" t="str">
        <f>Tabela2[[#This Row],[Coluna5]]</f>
        <v>01/2026</v>
      </c>
      <c r="R1240" s="10" t="str">
        <f>IF(Tabela2[[#This Row],[Coluna9]]&gt;0,"Entrada","Saída")</f>
        <v>Saída</v>
      </c>
      <c r="S1240" s="10" t="str">
        <f>Tabela2[[#This Row],[Coluna8]]</f>
        <v>ADIANTAMENTO</v>
      </c>
      <c r="T1240" s="10" t="e">
        <f>Tabela2[[#This Row],[Coluna72]]</f>
        <v>#REF!</v>
      </c>
      <c r="U1240" s="10">
        <f>SUM(Tabela2[[#This Row],[Coluna9]],Tabela2[[#This Row],[Coluna10]])</f>
        <v>1000</v>
      </c>
      <c r="V1240" s="2" t="str">
        <f>Tabela2[[#This Row],[Coluna4]]</f>
        <v>29/12/2025</v>
      </c>
      <c r="W1240" s="2" t="str">
        <f>Tabela2[[#This Row],[Coluna6]]</f>
        <v>29/12/2025</v>
      </c>
    </row>
    <row r="1241" spans="2:23" x14ac:dyDescent="0.2">
      <c r="B1241" t="s">
        <v>18</v>
      </c>
      <c r="C1241" t="s">
        <v>95</v>
      </c>
      <c r="D1241" t="s">
        <v>13</v>
      </c>
      <c r="E1241" s="8" t="s">
        <v>331</v>
      </c>
      <c r="F1241" t="s">
        <v>42</v>
      </c>
      <c r="G1241" s="8" t="s">
        <v>331</v>
      </c>
      <c r="H1241" t="s">
        <v>580</v>
      </c>
      <c r="I1241" t="e">
        <f>VLOOKUP(Tabela2[[#This Row],[Coluna7]],[1]!Tabela1[#All],2,0)</f>
        <v>#REF!</v>
      </c>
      <c r="L1241">
        <v>1482.55</v>
      </c>
      <c r="N1241" t="s">
        <v>657</v>
      </c>
      <c r="Q1241" s="10" t="str">
        <f>Tabela2[[#This Row],[Coluna5]]</f>
        <v>11/2025</v>
      </c>
      <c r="R1241" s="10" t="str">
        <f>IF(Tabela2[[#This Row],[Coluna9]]&gt;0,"Entrada","Saída")</f>
        <v>Saída</v>
      </c>
      <c r="S1241" s="10">
        <f>Tabela2[[#This Row],[Coluna8]]</f>
        <v>0</v>
      </c>
      <c r="T1241" s="10" t="e">
        <f>Tabela2[[#This Row],[Coluna72]]</f>
        <v>#REF!</v>
      </c>
      <c r="U1241" s="10">
        <f>SUM(Tabela2[[#This Row],[Coluna9]],Tabela2[[#This Row],[Coluna10]])</f>
        <v>1482.55</v>
      </c>
      <c r="V1241" s="2" t="str">
        <f>Tabela2[[#This Row],[Coluna4]]</f>
        <v>29/12/2025</v>
      </c>
      <c r="W1241" s="2" t="str">
        <f>Tabela2[[#This Row],[Coluna6]]</f>
        <v>29/12/2025</v>
      </c>
    </row>
    <row r="1242" spans="2:23" x14ac:dyDescent="0.2">
      <c r="B1242" t="s">
        <v>12</v>
      </c>
      <c r="C1242" t="s">
        <v>95</v>
      </c>
      <c r="D1242" t="s">
        <v>13</v>
      </c>
      <c r="E1242" s="8" t="s">
        <v>334</v>
      </c>
      <c r="F1242" t="s">
        <v>84</v>
      </c>
      <c r="G1242" s="8" t="s">
        <v>334</v>
      </c>
      <c r="H1242" t="s">
        <v>561</v>
      </c>
      <c r="I1242" t="e">
        <f>VLOOKUP(Tabela2[[#This Row],[Coluna7]],[1]!Tabela1[#All],2,0)</f>
        <v>#REF!</v>
      </c>
      <c r="J1242" t="s">
        <v>454</v>
      </c>
      <c r="L1242">
        <v>29.77</v>
      </c>
      <c r="Q1242" s="10" t="str">
        <f>Tabela2[[#This Row],[Coluna5]]</f>
        <v>01/2026</v>
      </c>
      <c r="R1242" s="10" t="str">
        <f>IF(Tabela2[[#This Row],[Coluna9]]&gt;0,"Entrada","Saída")</f>
        <v>Saída</v>
      </c>
      <c r="S1242" s="10" t="str">
        <f>Tabela2[[#This Row],[Coluna8]]</f>
        <v>ALMOÇO</v>
      </c>
      <c r="T1242" s="10" t="e">
        <f>Tabela2[[#This Row],[Coluna72]]</f>
        <v>#REF!</v>
      </c>
      <c r="U1242" s="10">
        <f>SUM(Tabela2[[#This Row],[Coluna9]],Tabela2[[#This Row],[Coluna10]])</f>
        <v>29.77</v>
      </c>
      <c r="V1242" s="2" t="str">
        <f>Tabela2[[#This Row],[Coluna4]]</f>
        <v>30/12/2025</v>
      </c>
      <c r="W1242" s="2" t="str">
        <f>Tabela2[[#This Row],[Coluna6]]</f>
        <v>30/12/2025</v>
      </c>
    </row>
    <row r="1243" spans="2:23" x14ac:dyDescent="0.2">
      <c r="B1243" t="s">
        <v>12</v>
      </c>
      <c r="C1243" t="s">
        <v>95</v>
      </c>
      <c r="D1243" t="s">
        <v>13</v>
      </c>
      <c r="E1243" s="8" t="s">
        <v>334</v>
      </c>
      <c r="F1243" t="s">
        <v>84</v>
      </c>
      <c r="G1243" s="8" t="s">
        <v>334</v>
      </c>
      <c r="H1243" t="s">
        <v>546</v>
      </c>
      <c r="I1243" t="e">
        <f>VLOOKUP(Tabela2[[#This Row],[Coluna7]],[1]!Tabela1[#All],2,0)</f>
        <v>#REF!</v>
      </c>
      <c r="L1243">
        <v>192</v>
      </c>
      <c r="N1243" t="s">
        <v>584</v>
      </c>
      <c r="Q1243" s="10" t="str">
        <f>Tabela2[[#This Row],[Coluna5]]</f>
        <v>01/2026</v>
      </c>
      <c r="R1243" s="10" t="str">
        <f>IF(Tabela2[[#This Row],[Coluna9]]&gt;0,"Entrada","Saída")</f>
        <v>Saída</v>
      </c>
      <c r="S1243" s="10">
        <f>Tabela2[[#This Row],[Coluna8]]</f>
        <v>0</v>
      </c>
      <c r="T1243" s="10" t="e">
        <f>Tabela2[[#This Row],[Coluna72]]</f>
        <v>#REF!</v>
      </c>
      <c r="U1243" s="10">
        <f>SUM(Tabela2[[#This Row],[Coluna9]],Tabela2[[#This Row],[Coluna10]])</f>
        <v>192</v>
      </c>
      <c r="V1243" s="2" t="str">
        <f>Tabela2[[#This Row],[Coluna4]]</f>
        <v>30/12/2025</v>
      </c>
      <c r="W1243" s="2" t="str">
        <f>Tabela2[[#This Row],[Coluna6]]</f>
        <v>30/12/2025</v>
      </c>
    </row>
    <row r="1244" spans="2:23" x14ac:dyDescent="0.2">
      <c r="B1244" t="s">
        <v>18</v>
      </c>
      <c r="C1244" t="s">
        <v>95</v>
      </c>
      <c r="D1244" t="s">
        <v>13</v>
      </c>
      <c r="E1244" s="8" t="s">
        <v>421</v>
      </c>
      <c r="F1244" t="s">
        <v>64</v>
      </c>
      <c r="G1244" s="8" t="s">
        <v>421</v>
      </c>
      <c r="H1244" t="s">
        <v>546</v>
      </c>
      <c r="I1244" t="e">
        <f>VLOOKUP(Tabela2[[#This Row],[Coluna7]],[1]!Tabela1[#All],2,0)</f>
        <v>#REF!</v>
      </c>
      <c r="L1244">
        <v>300</v>
      </c>
      <c r="N1244" t="s">
        <v>547</v>
      </c>
      <c r="Q1244" s="10" t="str">
        <f>Tabela2[[#This Row],[Coluna5]]</f>
        <v>12/2025</v>
      </c>
      <c r="R1244" s="10" t="str">
        <f>IF(Tabela2[[#This Row],[Coluna9]]&gt;0,"Entrada","Saída")</f>
        <v>Saída</v>
      </c>
      <c r="S1244" s="10">
        <f>Tabela2[[#This Row],[Coluna8]]</f>
        <v>0</v>
      </c>
      <c r="T1244" s="10" t="e">
        <f>Tabela2[[#This Row],[Coluna72]]</f>
        <v>#REF!</v>
      </c>
      <c r="U1244" s="10">
        <f>SUM(Tabela2[[#This Row],[Coluna9]],Tabela2[[#This Row],[Coluna10]])</f>
        <v>300</v>
      </c>
      <c r="V1244" s="2" t="str">
        <f>Tabela2[[#This Row],[Coluna4]]</f>
        <v>31/12/2025</v>
      </c>
      <c r="W1244" s="2" t="str">
        <f>Tabela2[[#This Row],[Coluna6]]</f>
        <v>31/12/2025</v>
      </c>
    </row>
    <row r="1245" spans="2:23" x14ac:dyDescent="0.2">
      <c r="B1245" t="s">
        <v>18</v>
      </c>
      <c r="C1245" t="s">
        <v>95</v>
      </c>
      <c r="D1245" t="s">
        <v>13</v>
      </c>
      <c r="E1245" s="8" t="s">
        <v>421</v>
      </c>
      <c r="F1245" t="s">
        <v>64</v>
      </c>
      <c r="G1245" s="8" t="s">
        <v>421</v>
      </c>
      <c r="H1245" t="s">
        <v>546</v>
      </c>
      <c r="I1245" t="e">
        <f>VLOOKUP(Tabela2[[#This Row],[Coluna7]],[1]!Tabela1[#All],2,0)</f>
        <v>#REF!</v>
      </c>
      <c r="L1245">
        <v>1500</v>
      </c>
      <c r="N1245" t="s">
        <v>584</v>
      </c>
      <c r="Q1245" s="10" t="str">
        <f>Tabela2[[#This Row],[Coluna5]]</f>
        <v>12/2025</v>
      </c>
      <c r="R1245" s="10" t="str">
        <f>IF(Tabela2[[#This Row],[Coluna9]]&gt;0,"Entrada","Saída")</f>
        <v>Saída</v>
      </c>
      <c r="S1245" s="10">
        <f>Tabela2[[#This Row],[Coluna8]]</f>
        <v>0</v>
      </c>
      <c r="T1245" s="10" t="e">
        <f>Tabela2[[#This Row],[Coluna72]]</f>
        <v>#REF!</v>
      </c>
      <c r="U1245" s="10">
        <f>SUM(Tabela2[[#This Row],[Coluna9]],Tabela2[[#This Row],[Coluna10]])</f>
        <v>1500</v>
      </c>
      <c r="V1245" s="2" t="str">
        <f>Tabela2[[#This Row],[Coluna4]]</f>
        <v>31/12/2025</v>
      </c>
      <c r="W1245" s="2" t="str">
        <f>Tabela2[[#This Row],[Coluna6]]</f>
        <v>31/12/2025</v>
      </c>
    </row>
    <row r="1246" spans="2:23" x14ac:dyDescent="0.2">
      <c r="B1246" t="s">
        <v>18</v>
      </c>
      <c r="C1246" t="s">
        <v>95</v>
      </c>
      <c r="D1246" t="s">
        <v>13</v>
      </c>
      <c r="E1246" s="8" t="s">
        <v>14</v>
      </c>
      <c r="F1246" t="s">
        <v>15</v>
      </c>
      <c r="G1246" s="8" t="s">
        <v>14</v>
      </c>
      <c r="H1246" t="s">
        <v>693</v>
      </c>
      <c r="I1246" t="e">
        <f>VLOOKUP(Tabela2[[#This Row],[Coluna7]],[1]!Tabela1[#All],2,0)</f>
        <v>#REF!</v>
      </c>
      <c r="L1246">
        <v>3.45</v>
      </c>
      <c r="Q1246" s="10" t="str">
        <f>Tabela2[[#This Row],[Coluna5]]</f>
        <v>10/2025</v>
      </c>
      <c r="R1246" s="10" t="str">
        <f>IF(Tabela2[[#This Row],[Coluna9]]&gt;0,"Entrada","Saída")</f>
        <v>Saída</v>
      </c>
      <c r="S1246" s="10">
        <f>Tabela2[[#This Row],[Coluna8]]</f>
        <v>0</v>
      </c>
      <c r="T1246" s="10" t="e">
        <f>Tabela2[[#This Row],[Coluna72]]</f>
        <v>#REF!</v>
      </c>
      <c r="U1246" s="10">
        <f>SUM(Tabela2[[#This Row],[Coluna9]],Tabela2[[#This Row],[Coluna10]])</f>
        <v>3.45</v>
      </c>
      <c r="V1246" s="2" t="str">
        <f>Tabela2[[#This Row],[Coluna4]]</f>
        <v>01/10/2025</v>
      </c>
      <c r="W1246" s="2" t="str">
        <f>Tabela2[[#This Row],[Coluna6]]</f>
        <v>01/10/2025</v>
      </c>
    </row>
    <row r="1247" spans="2:23" x14ac:dyDescent="0.2">
      <c r="B1247" t="s">
        <v>18</v>
      </c>
      <c r="C1247" t="s">
        <v>95</v>
      </c>
      <c r="D1247" t="s">
        <v>13</v>
      </c>
      <c r="E1247" s="8" t="s">
        <v>14</v>
      </c>
      <c r="F1247" t="s">
        <v>15</v>
      </c>
      <c r="G1247" s="8" t="s">
        <v>14</v>
      </c>
      <c r="H1247" t="s">
        <v>693</v>
      </c>
      <c r="I1247" t="e">
        <f>VLOOKUP(Tabela2[[#This Row],[Coluna7]],[1]!Tabela1[#All],2,0)</f>
        <v>#REF!</v>
      </c>
      <c r="L1247">
        <v>3.45</v>
      </c>
      <c r="Q1247" s="10" t="str">
        <f>Tabela2[[#This Row],[Coluna5]]</f>
        <v>10/2025</v>
      </c>
      <c r="R1247" s="10" t="str">
        <f>IF(Tabela2[[#This Row],[Coluna9]]&gt;0,"Entrada","Saída")</f>
        <v>Saída</v>
      </c>
      <c r="S1247" s="10">
        <f>Tabela2[[#This Row],[Coluna8]]</f>
        <v>0</v>
      </c>
      <c r="T1247" s="10" t="e">
        <f>Tabela2[[#This Row],[Coluna72]]</f>
        <v>#REF!</v>
      </c>
      <c r="U1247" s="10">
        <f>SUM(Tabela2[[#This Row],[Coluna9]],Tabela2[[#This Row],[Coluna10]])</f>
        <v>3.45</v>
      </c>
      <c r="V1247" s="2" t="str">
        <f>Tabela2[[#This Row],[Coluna4]]</f>
        <v>01/10/2025</v>
      </c>
      <c r="W1247" s="2" t="str">
        <f>Tabela2[[#This Row],[Coluna6]]</f>
        <v>01/10/2025</v>
      </c>
    </row>
    <row r="1248" spans="2:23" x14ac:dyDescent="0.2">
      <c r="B1248" t="s">
        <v>18</v>
      </c>
      <c r="C1248" t="s">
        <v>95</v>
      </c>
      <c r="D1248" t="s">
        <v>13</v>
      </c>
      <c r="E1248" s="8" t="s">
        <v>114</v>
      </c>
      <c r="F1248" t="s">
        <v>15</v>
      </c>
      <c r="G1248" s="8" t="s">
        <v>114</v>
      </c>
      <c r="H1248" t="s">
        <v>693</v>
      </c>
      <c r="I1248" t="e">
        <f>VLOOKUP(Tabela2[[#This Row],[Coluna7]],[1]!Tabela1[#All],2,0)</f>
        <v>#REF!</v>
      </c>
      <c r="L1248">
        <v>3.45</v>
      </c>
      <c r="Q1248" s="10" t="str">
        <f>Tabela2[[#This Row],[Coluna5]]</f>
        <v>10/2025</v>
      </c>
      <c r="R1248" s="10" t="str">
        <f>IF(Tabela2[[#This Row],[Coluna9]]&gt;0,"Entrada","Saída")</f>
        <v>Saída</v>
      </c>
      <c r="S1248" s="10">
        <f>Tabela2[[#This Row],[Coluna8]]</f>
        <v>0</v>
      </c>
      <c r="T1248" s="10" t="e">
        <f>Tabela2[[#This Row],[Coluna72]]</f>
        <v>#REF!</v>
      </c>
      <c r="U1248" s="10">
        <f>SUM(Tabela2[[#This Row],[Coluna9]],Tabela2[[#This Row],[Coluna10]])</f>
        <v>3.45</v>
      </c>
      <c r="V1248" s="2" t="str">
        <f>Tabela2[[#This Row],[Coluna4]]</f>
        <v>02/10/2025</v>
      </c>
      <c r="W1248" s="2" t="str">
        <f>Tabela2[[#This Row],[Coluna6]]</f>
        <v>02/10/2025</v>
      </c>
    </row>
    <row r="1249" spans="2:23" x14ac:dyDescent="0.2">
      <c r="B1249" t="s">
        <v>18</v>
      </c>
      <c r="C1249" t="s">
        <v>95</v>
      </c>
      <c r="D1249" t="s">
        <v>13</v>
      </c>
      <c r="E1249" s="8" t="s">
        <v>21</v>
      </c>
      <c r="F1249" t="s">
        <v>15</v>
      </c>
      <c r="G1249" s="8" t="s">
        <v>21</v>
      </c>
      <c r="H1249" t="s">
        <v>693</v>
      </c>
      <c r="I1249" t="e">
        <f>VLOOKUP(Tabela2[[#This Row],[Coluna7]],[1]!Tabela1[#All],2,0)</f>
        <v>#REF!</v>
      </c>
      <c r="L1249">
        <v>3.45</v>
      </c>
      <c r="Q1249" s="10" t="str">
        <f>Tabela2[[#This Row],[Coluna5]]</f>
        <v>10/2025</v>
      </c>
      <c r="R1249" s="10" t="str">
        <f>IF(Tabela2[[#This Row],[Coluna9]]&gt;0,"Entrada","Saída")</f>
        <v>Saída</v>
      </c>
      <c r="S1249" s="10">
        <f>Tabela2[[#This Row],[Coluna8]]</f>
        <v>0</v>
      </c>
      <c r="T1249" s="10" t="e">
        <f>Tabela2[[#This Row],[Coluna72]]</f>
        <v>#REF!</v>
      </c>
      <c r="U1249" s="10">
        <f>SUM(Tabela2[[#This Row],[Coluna9]],Tabela2[[#This Row],[Coluna10]])</f>
        <v>3.45</v>
      </c>
      <c r="V1249" s="2" t="str">
        <f>Tabela2[[#This Row],[Coluna4]]</f>
        <v>06/10/2025</v>
      </c>
      <c r="W1249" s="2" t="str">
        <f>Tabela2[[#This Row],[Coluna6]]</f>
        <v>06/10/2025</v>
      </c>
    </row>
    <row r="1250" spans="2:23" x14ac:dyDescent="0.2">
      <c r="B1250" t="s">
        <v>18</v>
      </c>
      <c r="C1250" t="s">
        <v>95</v>
      </c>
      <c r="D1250" t="s">
        <v>13</v>
      </c>
      <c r="E1250" s="8" t="s">
        <v>21</v>
      </c>
      <c r="F1250" t="s">
        <v>15</v>
      </c>
      <c r="G1250" s="8" t="s">
        <v>21</v>
      </c>
      <c r="H1250" t="s">
        <v>693</v>
      </c>
      <c r="I1250" t="e">
        <f>VLOOKUP(Tabela2[[#This Row],[Coluna7]],[1]!Tabela1[#All],2,0)</f>
        <v>#REF!</v>
      </c>
      <c r="L1250">
        <v>3.45</v>
      </c>
      <c r="Q1250" s="10" t="str">
        <f>Tabela2[[#This Row],[Coluna5]]</f>
        <v>10/2025</v>
      </c>
      <c r="R1250" s="10" t="str">
        <f>IF(Tabela2[[#This Row],[Coluna9]]&gt;0,"Entrada","Saída")</f>
        <v>Saída</v>
      </c>
      <c r="S1250" s="10">
        <f>Tabela2[[#This Row],[Coluna8]]</f>
        <v>0</v>
      </c>
      <c r="T1250" s="10" t="e">
        <f>Tabela2[[#This Row],[Coluna72]]</f>
        <v>#REF!</v>
      </c>
      <c r="U1250" s="10">
        <f>SUM(Tabela2[[#This Row],[Coluna9]],Tabela2[[#This Row],[Coluna10]])</f>
        <v>3.45</v>
      </c>
      <c r="V1250" s="2" t="str">
        <f>Tabela2[[#This Row],[Coluna4]]</f>
        <v>06/10/2025</v>
      </c>
      <c r="W1250" s="2" t="str">
        <f>Tabela2[[#This Row],[Coluna6]]</f>
        <v>06/10/2025</v>
      </c>
    </row>
    <row r="1251" spans="2:23" x14ac:dyDescent="0.2">
      <c r="B1251" t="s">
        <v>18</v>
      </c>
      <c r="C1251" t="s">
        <v>95</v>
      </c>
      <c r="D1251" t="s">
        <v>13</v>
      </c>
      <c r="E1251" s="8" t="s">
        <v>21</v>
      </c>
      <c r="F1251" t="s">
        <v>15</v>
      </c>
      <c r="G1251" s="8" t="s">
        <v>21</v>
      </c>
      <c r="H1251" t="s">
        <v>693</v>
      </c>
      <c r="I1251" t="e">
        <f>VLOOKUP(Tabela2[[#This Row],[Coluna7]],[1]!Tabela1[#All],2,0)</f>
        <v>#REF!</v>
      </c>
      <c r="L1251">
        <v>3.45</v>
      </c>
      <c r="Q1251" s="10" t="str">
        <f>Tabela2[[#This Row],[Coluna5]]</f>
        <v>10/2025</v>
      </c>
      <c r="R1251" s="10" t="str">
        <f>IF(Tabela2[[#This Row],[Coluna9]]&gt;0,"Entrada","Saída")</f>
        <v>Saída</v>
      </c>
      <c r="S1251" s="10">
        <f>Tabela2[[#This Row],[Coluna8]]</f>
        <v>0</v>
      </c>
      <c r="T1251" s="10" t="e">
        <f>Tabela2[[#This Row],[Coluna72]]</f>
        <v>#REF!</v>
      </c>
      <c r="U1251" s="10">
        <f>SUM(Tabela2[[#This Row],[Coluna9]],Tabela2[[#This Row],[Coluna10]])</f>
        <v>3.45</v>
      </c>
      <c r="V1251" s="2" t="str">
        <f>Tabela2[[#This Row],[Coluna4]]</f>
        <v>06/10/2025</v>
      </c>
      <c r="W1251" s="2" t="str">
        <f>Tabela2[[#This Row],[Coluna6]]</f>
        <v>06/10/2025</v>
      </c>
    </row>
    <row r="1252" spans="2:23" x14ac:dyDescent="0.2">
      <c r="B1252" t="s">
        <v>18</v>
      </c>
      <c r="C1252" t="s">
        <v>95</v>
      </c>
      <c r="D1252" t="s">
        <v>13</v>
      </c>
      <c r="E1252" s="8" t="s">
        <v>21</v>
      </c>
      <c r="F1252" t="s">
        <v>15</v>
      </c>
      <c r="G1252" s="8" t="s">
        <v>21</v>
      </c>
      <c r="H1252" t="s">
        <v>693</v>
      </c>
      <c r="I1252" t="e">
        <f>VLOOKUP(Tabela2[[#This Row],[Coluna7]],[1]!Tabela1[#All],2,0)</f>
        <v>#REF!</v>
      </c>
      <c r="L1252">
        <v>3.45</v>
      </c>
      <c r="Q1252" s="10" t="str">
        <f>Tabela2[[#This Row],[Coluna5]]</f>
        <v>10/2025</v>
      </c>
      <c r="R1252" s="10" t="str">
        <f>IF(Tabela2[[#This Row],[Coluna9]]&gt;0,"Entrada","Saída")</f>
        <v>Saída</v>
      </c>
      <c r="S1252" s="10">
        <f>Tabela2[[#This Row],[Coluna8]]</f>
        <v>0</v>
      </c>
      <c r="T1252" s="10" t="e">
        <f>Tabela2[[#This Row],[Coluna72]]</f>
        <v>#REF!</v>
      </c>
      <c r="U1252" s="10">
        <f>SUM(Tabela2[[#This Row],[Coluna9]],Tabela2[[#This Row],[Coluna10]])</f>
        <v>3.45</v>
      </c>
      <c r="V1252" s="2" t="str">
        <f>Tabela2[[#This Row],[Coluna4]]</f>
        <v>06/10/2025</v>
      </c>
      <c r="W1252" s="2" t="str">
        <f>Tabela2[[#This Row],[Coluna6]]</f>
        <v>06/10/2025</v>
      </c>
    </row>
    <row r="1253" spans="2:23" x14ac:dyDescent="0.2">
      <c r="B1253" t="s">
        <v>18</v>
      </c>
      <c r="C1253" t="s">
        <v>95</v>
      </c>
      <c r="D1253" t="s">
        <v>13</v>
      </c>
      <c r="E1253" s="8" t="s">
        <v>21</v>
      </c>
      <c r="F1253" t="s">
        <v>15</v>
      </c>
      <c r="G1253" s="8" t="s">
        <v>21</v>
      </c>
      <c r="H1253" t="s">
        <v>693</v>
      </c>
      <c r="I1253" t="e">
        <f>VLOOKUP(Tabela2[[#This Row],[Coluna7]],[1]!Tabela1[#All],2,0)</f>
        <v>#REF!</v>
      </c>
      <c r="L1253">
        <v>3.45</v>
      </c>
      <c r="Q1253" s="10" t="str">
        <f>Tabela2[[#This Row],[Coluna5]]</f>
        <v>10/2025</v>
      </c>
      <c r="R1253" s="10" t="str">
        <f>IF(Tabela2[[#This Row],[Coluna9]]&gt;0,"Entrada","Saída")</f>
        <v>Saída</v>
      </c>
      <c r="S1253" s="10">
        <f>Tabela2[[#This Row],[Coluna8]]</f>
        <v>0</v>
      </c>
      <c r="T1253" s="10" t="e">
        <f>Tabela2[[#This Row],[Coluna72]]</f>
        <v>#REF!</v>
      </c>
      <c r="U1253" s="10">
        <f>SUM(Tabela2[[#This Row],[Coluna9]],Tabela2[[#This Row],[Coluna10]])</f>
        <v>3.45</v>
      </c>
      <c r="V1253" s="2" t="str">
        <f>Tabela2[[#This Row],[Coluna4]]</f>
        <v>06/10/2025</v>
      </c>
      <c r="W1253" s="2" t="str">
        <f>Tabela2[[#This Row],[Coluna6]]</f>
        <v>06/10/2025</v>
      </c>
    </row>
    <row r="1254" spans="2:23" x14ac:dyDescent="0.2">
      <c r="B1254" t="s">
        <v>18</v>
      </c>
      <c r="C1254" t="s">
        <v>95</v>
      </c>
      <c r="D1254" t="s">
        <v>13</v>
      </c>
      <c r="E1254" s="8" t="s">
        <v>142</v>
      </c>
      <c r="F1254" t="s">
        <v>15</v>
      </c>
      <c r="G1254" s="8" t="s">
        <v>142</v>
      </c>
      <c r="H1254" t="s">
        <v>693</v>
      </c>
      <c r="I1254" t="e">
        <f>VLOOKUP(Tabela2[[#This Row],[Coluna7]],[1]!Tabela1[#All],2,0)</f>
        <v>#REF!</v>
      </c>
      <c r="L1254">
        <v>3.45</v>
      </c>
      <c r="Q1254" s="10" t="str">
        <f>Tabela2[[#This Row],[Coluna5]]</f>
        <v>10/2025</v>
      </c>
      <c r="R1254" s="10" t="str">
        <f>IF(Tabela2[[#This Row],[Coluna9]]&gt;0,"Entrada","Saída")</f>
        <v>Saída</v>
      </c>
      <c r="S1254" s="10">
        <f>Tabela2[[#This Row],[Coluna8]]</f>
        <v>0</v>
      </c>
      <c r="T1254" s="10" t="e">
        <f>Tabela2[[#This Row],[Coluna72]]</f>
        <v>#REF!</v>
      </c>
      <c r="U1254" s="10">
        <f>SUM(Tabela2[[#This Row],[Coluna9]],Tabela2[[#This Row],[Coluna10]])</f>
        <v>3.45</v>
      </c>
      <c r="V1254" s="2" t="str">
        <f>Tabela2[[#This Row],[Coluna4]]</f>
        <v>07/10/2025</v>
      </c>
      <c r="W1254" s="2" t="str">
        <f>Tabela2[[#This Row],[Coluna6]]</f>
        <v>07/10/2025</v>
      </c>
    </row>
    <row r="1255" spans="2:23" x14ac:dyDescent="0.2">
      <c r="B1255" t="s">
        <v>18</v>
      </c>
      <c r="C1255" t="s">
        <v>95</v>
      </c>
      <c r="D1255" t="s">
        <v>13</v>
      </c>
      <c r="E1255" s="8" t="s">
        <v>142</v>
      </c>
      <c r="F1255" t="s">
        <v>15</v>
      </c>
      <c r="G1255" s="8" t="s">
        <v>142</v>
      </c>
      <c r="H1255" t="s">
        <v>693</v>
      </c>
      <c r="I1255" t="e">
        <f>VLOOKUP(Tabela2[[#This Row],[Coluna7]],[1]!Tabela1[#All],2,0)</f>
        <v>#REF!</v>
      </c>
      <c r="L1255">
        <v>3.45</v>
      </c>
      <c r="Q1255" s="10" t="str">
        <f>Tabela2[[#This Row],[Coluna5]]</f>
        <v>10/2025</v>
      </c>
      <c r="R1255" s="10" t="str">
        <f>IF(Tabela2[[#This Row],[Coluna9]]&gt;0,"Entrada","Saída")</f>
        <v>Saída</v>
      </c>
      <c r="S1255" s="10">
        <f>Tabela2[[#This Row],[Coluna8]]</f>
        <v>0</v>
      </c>
      <c r="T1255" s="10" t="e">
        <f>Tabela2[[#This Row],[Coluna72]]</f>
        <v>#REF!</v>
      </c>
      <c r="U1255" s="10">
        <f>SUM(Tabela2[[#This Row],[Coluna9]],Tabela2[[#This Row],[Coluna10]])</f>
        <v>3.45</v>
      </c>
      <c r="V1255" s="2" t="str">
        <f>Tabela2[[#This Row],[Coluna4]]</f>
        <v>07/10/2025</v>
      </c>
      <c r="W1255" s="2" t="str">
        <f>Tabela2[[#This Row],[Coluna6]]</f>
        <v>07/10/2025</v>
      </c>
    </row>
    <row r="1256" spans="2:23" x14ac:dyDescent="0.2">
      <c r="B1256" t="s">
        <v>18</v>
      </c>
      <c r="C1256" t="s">
        <v>95</v>
      </c>
      <c r="D1256" t="s">
        <v>13</v>
      </c>
      <c r="E1256" s="8" t="s">
        <v>142</v>
      </c>
      <c r="F1256" t="s">
        <v>15</v>
      </c>
      <c r="G1256" s="8" t="s">
        <v>142</v>
      </c>
      <c r="H1256" t="s">
        <v>693</v>
      </c>
      <c r="I1256" t="e">
        <f>VLOOKUP(Tabela2[[#This Row],[Coluna7]],[1]!Tabela1[#All],2,0)</f>
        <v>#REF!</v>
      </c>
      <c r="L1256">
        <v>3.45</v>
      </c>
      <c r="Q1256" s="10" t="str">
        <f>Tabela2[[#This Row],[Coluna5]]</f>
        <v>10/2025</v>
      </c>
      <c r="R1256" s="10" t="str">
        <f>IF(Tabela2[[#This Row],[Coluna9]]&gt;0,"Entrada","Saída")</f>
        <v>Saída</v>
      </c>
      <c r="S1256" s="10">
        <f>Tabela2[[#This Row],[Coluna8]]</f>
        <v>0</v>
      </c>
      <c r="T1256" s="10" t="e">
        <f>Tabela2[[#This Row],[Coluna72]]</f>
        <v>#REF!</v>
      </c>
      <c r="U1256" s="10">
        <f>SUM(Tabela2[[#This Row],[Coluna9]],Tabela2[[#This Row],[Coluna10]])</f>
        <v>3.45</v>
      </c>
      <c r="V1256" s="2" t="str">
        <f>Tabela2[[#This Row],[Coluna4]]</f>
        <v>07/10/2025</v>
      </c>
      <c r="W1256" s="2" t="str">
        <f>Tabela2[[#This Row],[Coluna6]]</f>
        <v>07/10/2025</v>
      </c>
    </row>
    <row r="1257" spans="2:23" x14ac:dyDescent="0.2">
      <c r="B1257" t="s">
        <v>18</v>
      </c>
      <c r="C1257" t="s">
        <v>95</v>
      </c>
      <c r="D1257" t="s">
        <v>13</v>
      </c>
      <c r="E1257" s="8" t="s">
        <v>24</v>
      </c>
      <c r="F1257" t="s">
        <v>15</v>
      </c>
      <c r="G1257" s="8" t="s">
        <v>24</v>
      </c>
      <c r="H1257" t="s">
        <v>693</v>
      </c>
      <c r="I1257" t="e">
        <f>VLOOKUP(Tabela2[[#This Row],[Coluna7]],[1]!Tabela1[#All],2,0)</f>
        <v>#REF!</v>
      </c>
      <c r="L1257">
        <v>3.45</v>
      </c>
      <c r="Q1257" s="10" t="str">
        <f>Tabela2[[#This Row],[Coluna5]]</f>
        <v>10/2025</v>
      </c>
      <c r="R1257" s="10" t="str">
        <f>IF(Tabela2[[#This Row],[Coluna9]]&gt;0,"Entrada","Saída")</f>
        <v>Saída</v>
      </c>
      <c r="S1257" s="10">
        <f>Tabela2[[#This Row],[Coluna8]]</f>
        <v>0</v>
      </c>
      <c r="T1257" s="10" t="e">
        <f>Tabela2[[#This Row],[Coluna72]]</f>
        <v>#REF!</v>
      </c>
      <c r="U1257" s="10">
        <f>SUM(Tabela2[[#This Row],[Coluna9]],Tabela2[[#This Row],[Coluna10]])</f>
        <v>3.45</v>
      </c>
      <c r="V1257" s="2" t="str">
        <f>Tabela2[[#This Row],[Coluna4]]</f>
        <v>08/10/2025</v>
      </c>
      <c r="W1257" s="2" t="str">
        <f>Tabela2[[#This Row],[Coluna6]]</f>
        <v>08/10/2025</v>
      </c>
    </row>
    <row r="1258" spans="2:23" x14ac:dyDescent="0.2">
      <c r="B1258" t="s">
        <v>18</v>
      </c>
      <c r="C1258" t="s">
        <v>95</v>
      </c>
      <c r="D1258" t="s">
        <v>13</v>
      </c>
      <c r="E1258" s="8" t="s">
        <v>24</v>
      </c>
      <c r="F1258" t="s">
        <v>15</v>
      </c>
      <c r="G1258" s="8" t="s">
        <v>24</v>
      </c>
      <c r="H1258" t="s">
        <v>693</v>
      </c>
      <c r="I1258" t="e">
        <f>VLOOKUP(Tabela2[[#This Row],[Coluna7]],[1]!Tabela1[#All],2,0)</f>
        <v>#REF!</v>
      </c>
      <c r="L1258">
        <v>3.45</v>
      </c>
      <c r="Q1258" s="10" t="str">
        <f>Tabela2[[#This Row],[Coluna5]]</f>
        <v>10/2025</v>
      </c>
      <c r="R1258" s="10" t="str">
        <f>IF(Tabela2[[#This Row],[Coluna9]]&gt;0,"Entrada","Saída")</f>
        <v>Saída</v>
      </c>
      <c r="S1258" s="10">
        <f>Tabela2[[#This Row],[Coluna8]]</f>
        <v>0</v>
      </c>
      <c r="T1258" s="10" t="e">
        <f>Tabela2[[#This Row],[Coluna72]]</f>
        <v>#REF!</v>
      </c>
      <c r="U1258" s="10">
        <f>SUM(Tabela2[[#This Row],[Coluna9]],Tabela2[[#This Row],[Coluna10]])</f>
        <v>3.45</v>
      </c>
      <c r="V1258" s="2" t="str">
        <f>Tabela2[[#This Row],[Coluna4]]</f>
        <v>08/10/2025</v>
      </c>
      <c r="W1258" s="2" t="str">
        <f>Tabela2[[#This Row],[Coluna6]]</f>
        <v>08/10/2025</v>
      </c>
    </row>
    <row r="1259" spans="2:23" x14ac:dyDescent="0.2">
      <c r="B1259" t="s">
        <v>18</v>
      </c>
      <c r="C1259" t="s">
        <v>95</v>
      </c>
      <c r="D1259" t="s">
        <v>13</v>
      </c>
      <c r="E1259" s="8" t="s">
        <v>24</v>
      </c>
      <c r="F1259" t="s">
        <v>15</v>
      </c>
      <c r="G1259" s="8" t="s">
        <v>24</v>
      </c>
      <c r="H1259" t="s">
        <v>693</v>
      </c>
      <c r="I1259" t="e">
        <f>VLOOKUP(Tabela2[[#This Row],[Coluna7]],[1]!Tabela1[#All],2,0)</f>
        <v>#REF!</v>
      </c>
      <c r="L1259">
        <v>3.45</v>
      </c>
      <c r="Q1259" s="10" t="str">
        <f>Tabela2[[#This Row],[Coluna5]]</f>
        <v>10/2025</v>
      </c>
      <c r="R1259" s="10" t="str">
        <f>IF(Tabela2[[#This Row],[Coluna9]]&gt;0,"Entrada","Saída")</f>
        <v>Saída</v>
      </c>
      <c r="S1259" s="10">
        <f>Tabela2[[#This Row],[Coluna8]]</f>
        <v>0</v>
      </c>
      <c r="T1259" s="10" t="e">
        <f>Tabela2[[#This Row],[Coluna72]]</f>
        <v>#REF!</v>
      </c>
      <c r="U1259" s="10">
        <f>SUM(Tabela2[[#This Row],[Coluna9]],Tabela2[[#This Row],[Coluna10]])</f>
        <v>3.45</v>
      </c>
      <c r="V1259" s="2" t="str">
        <f>Tabela2[[#This Row],[Coluna4]]</f>
        <v>08/10/2025</v>
      </c>
      <c r="W1259" s="2" t="str">
        <f>Tabela2[[#This Row],[Coluna6]]</f>
        <v>08/10/2025</v>
      </c>
    </row>
    <row r="1260" spans="2:23" x14ac:dyDescent="0.2">
      <c r="B1260" t="s">
        <v>18</v>
      </c>
      <c r="C1260" t="s">
        <v>95</v>
      </c>
      <c r="D1260" t="s">
        <v>13</v>
      </c>
      <c r="E1260" s="8" t="s">
        <v>167</v>
      </c>
      <c r="F1260" t="s">
        <v>15</v>
      </c>
      <c r="G1260" s="8" t="s">
        <v>167</v>
      </c>
      <c r="H1260" t="s">
        <v>693</v>
      </c>
      <c r="I1260" t="e">
        <f>VLOOKUP(Tabela2[[#This Row],[Coluna7]],[1]!Tabela1[#All],2,0)</f>
        <v>#REF!</v>
      </c>
      <c r="L1260">
        <v>3.45</v>
      </c>
      <c r="Q1260" s="10" t="str">
        <f>Tabela2[[#This Row],[Coluna5]]</f>
        <v>10/2025</v>
      </c>
      <c r="R1260" s="10" t="str">
        <f>IF(Tabela2[[#This Row],[Coluna9]]&gt;0,"Entrada","Saída")</f>
        <v>Saída</v>
      </c>
      <c r="S1260" s="10">
        <f>Tabela2[[#This Row],[Coluna8]]</f>
        <v>0</v>
      </c>
      <c r="T1260" s="10" t="e">
        <f>Tabela2[[#This Row],[Coluna72]]</f>
        <v>#REF!</v>
      </c>
      <c r="U1260" s="10">
        <f>SUM(Tabela2[[#This Row],[Coluna9]],Tabela2[[#This Row],[Coluna10]])</f>
        <v>3.45</v>
      </c>
      <c r="V1260" s="2" t="str">
        <f>Tabela2[[#This Row],[Coluna4]]</f>
        <v>14/10/2025</v>
      </c>
      <c r="W1260" s="2" t="str">
        <f>Tabela2[[#This Row],[Coluna6]]</f>
        <v>14/10/2025</v>
      </c>
    </row>
    <row r="1261" spans="2:23" x14ac:dyDescent="0.2">
      <c r="B1261" t="s">
        <v>27</v>
      </c>
      <c r="C1261" t="s">
        <v>95</v>
      </c>
      <c r="D1261" t="s">
        <v>13</v>
      </c>
      <c r="E1261" s="8" t="s">
        <v>28</v>
      </c>
      <c r="F1261" t="s">
        <v>15</v>
      </c>
      <c r="G1261" s="8" t="s">
        <v>28</v>
      </c>
      <c r="H1261" t="s">
        <v>693</v>
      </c>
      <c r="I1261" t="e">
        <f>VLOOKUP(Tabela2[[#This Row],[Coluna7]],[1]!Tabela1[#All],2,0)</f>
        <v>#REF!</v>
      </c>
      <c r="J1261" t="s">
        <v>694</v>
      </c>
      <c r="L1261">
        <v>168.5</v>
      </c>
      <c r="Q1261" s="10" t="str">
        <f>Tabela2[[#This Row],[Coluna5]]</f>
        <v>10/2025</v>
      </c>
      <c r="R1261" s="10" t="str">
        <f>IF(Tabela2[[#This Row],[Coluna9]]&gt;0,"Entrada","Saída")</f>
        <v>Saída</v>
      </c>
      <c r="S1261" s="10" t="str">
        <f>Tabela2[[#This Row],[Coluna8]]</f>
        <v>CESTA PJ</v>
      </c>
      <c r="T1261" s="10" t="e">
        <f>Tabela2[[#This Row],[Coluna72]]</f>
        <v>#REF!</v>
      </c>
      <c r="U1261" s="10">
        <f>SUM(Tabela2[[#This Row],[Coluna9]],Tabela2[[#This Row],[Coluna10]])</f>
        <v>168.5</v>
      </c>
      <c r="V1261" s="2" t="str">
        <f>Tabela2[[#This Row],[Coluna4]]</f>
        <v>15/10/2025</v>
      </c>
      <c r="W1261" s="2" t="str">
        <f>Tabela2[[#This Row],[Coluna6]]</f>
        <v>15/10/2025</v>
      </c>
    </row>
    <row r="1262" spans="2:23" x14ac:dyDescent="0.2">
      <c r="B1262" t="s">
        <v>18</v>
      </c>
      <c r="C1262" t="s">
        <v>95</v>
      </c>
      <c r="D1262" t="s">
        <v>13</v>
      </c>
      <c r="E1262" s="8" t="s">
        <v>191</v>
      </c>
      <c r="F1262" t="s">
        <v>15</v>
      </c>
      <c r="G1262" s="8" t="s">
        <v>191</v>
      </c>
      <c r="H1262" t="s">
        <v>693</v>
      </c>
      <c r="I1262" t="e">
        <f>VLOOKUP(Tabela2[[#This Row],[Coluna7]],[1]!Tabela1[#All],2,0)</f>
        <v>#REF!</v>
      </c>
      <c r="J1262" t="s">
        <v>695</v>
      </c>
      <c r="L1262">
        <v>3.45</v>
      </c>
      <c r="Q1262" s="10" t="str">
        <f>Tabela2[[#This Row],[Coluna5]]</f>
        <v>10/2025</v>
      </c>
      <c r="R1262" s="10" t="str">
        <f>IF(Tabela2[[#This Row],[Coluna9]]&gt;0,"Entrada","Saída")</f>
        <v>Saída</v>
      </c>
      <c r="S1262" s="10" t="str">
        <f>Tabela2[[#This Row],[Coluna8]]</f>
        <v>EFÍ</v>
      </c>
      <c r="T1262" s="10" t="e">
        <f>Tabela2[[#This Row],[Coluna72]]</f>
        <v>#REF!</v>
      </c>
      <c r="U1262" s="10">
        <f>SUM(Tabela2[[#This Row],[Coluna9]],Tabela2[[#This Row],[Coluna10]])</f>
        <v>3.45</v>
      </c>
      <c r="V1262" s="2" t="str">
        <f>Tabela2[[#This Row],[Coluna4]]</f>
        <v>21/10/2025</v>
      </c>
      <c r="W1262" s="2" t="str">
        <f>Tabela2[[#This Row],[Coluna6]]</f>
        <v>21/10/2025</v>
      </c>
    </row>
    <row r="1263" spans="2:23" x14ac:dyDescent="0.2">
      <c r="B1263" t="s">
        <v>18</v>
      </c>
      <c r="C1263" t="s">
        <v>95</v>
      </c>
      <c r="D1263" t="s">
        <v>13</v>
      </c>
      <c r="E1263" s="8" t="s">
        <v>190</v>
      </c>
      <c r="F1263" t="s">
        <v>15</v>
      </c>
      <c r="G1263" s="8" t="s">
        <v>190</v>
      </c>
      <c r="H1263" t="s">
        <v>693</v>
      </c>
      <c r="I1263" t="e">
        <f>VLOOKUP(Tabela2[[#This Row],[Coluna7]],[1]!Tabela1[#All],2,0)</f>
        <v>#REF!</v>
      </c>
      <c r="J1263" t="s">
        <v>695</v>
      </c>
      <c r="L1263">
        <v>3.45</v>
      </c>
      <c r="Q1263" s="10" t="str">
        <f>Tabela2[[#This Row],[Coluna5]]</f>
        <v>10/2025</v>
      </c>
      <c r="R1263" s="10" t="str">
        <f>IF(Tabela2[[#This Row],[Coluna9]]&gt;0,"Entrada","Saída")</f>
        <v>Saída</v>
      </c>
      <c r="S1263" s="10" t="str">
        <f>Tabela2[[#This Row],[Coluna8]]</f>
        <v>EFÍ</v>
      </c>
      <c r="T1263" s="10" t="e">
        <f>Tabela2[[#This Row],[Coluna72]]</f>
        <v>#REF!</v>
      </c>
      <c r="U1263" s="10">
        <f>SUM(Tabela2[[#This Row],[Coluna9]],Tabela2[[#This Row],[Coluna10]])</f>
        <v>3.45</v>
      </c>
      <c r="V1263" s="2" t="str">
        <f>Tabela2[[#This Row],[Coluna4]]</f>
        <v>22/10/2025</v>
      </c>
      <c r="W1263" s="2" t="str">
        <f>Tabela2[[#This Row],[Coluna6]]</f>
        <v>22/10/2025</v>
      </c>
    </row>
    <row r="1264" spans="2:23" x14ac:dyDescent="0.2">
      <c r="B1264" t="s">
        <v>18</v>
      </c>
      <c r="C1264" t="s">
        <v>95</v>
      </c>
      <c r="D1264" t="s">
        <v>13</v>
      </c>
      <c r="E1264" s="8" t="s">
        <v>190</v>
      </c>
      <c r="F1264" t="s">
        <v>15</v>
      </c>
      <c r="G1264" s="8" t="s">
        <v>190</v>
      </c>
      <c r="H1264" t="s">
        <v>693</v>
      </c>
      <c r="I1264" t="e">
        <f>VLOOKUP(Tabela2[[#This Row],[Coluna7]],[1]!Tabela1[#All],2,0)</f>
        <v>#REF!</v>
      </c>
      <c r="J1264" t="s">
        <v>696</v>
      </c>
      <c r="L1264">
        <v>3.45</v>
      </c>
      <c r="Q1264" s="10" t="str">
        <f>Tabela2[[#This Row],[Coluna5]]</f>
        <v>10/2025</v>
      </c>
      <c r="R1264" s="10" t="str">
        <f>IF(Tabela2[[#This Row],[Coluna9]]&gt;0,"Entrada","Saída")</f>
        <v>Saída</v>
      </c>
      <c r="S1264" s="10" t="str">
        <f>Tabela2[[#This Row],[Coluna8]]</f>
        <v>EFI</v>
      </c>
      <c r="T1264" s="10" t="e">
        <f>Tabela2[[#This Row],[Coluna72]]</f>
        <v>#REF!</v>
      </c>
      <c r="U1264" s="10">
        <f>SUM(Tabela2[[#This Row],[Coluna9]],Tabela2[[#This Row],[Coluna10]])</f>
        <v>3.45</v>
      </c>
      <c r="V1264" s="2" t="str">
        <f>Tabela2[[#This Row],[Coluna4]]</f>
        <v>22/10/2025</v>
      </c>
      <c r="W1264" s="2" t="str">
        <f>Tabela2[[#This Row],[Coluna6]]</f>
        <v>22/10/2025</v>
      </c>
    </row>
    <row r="1265" spans="2:23" x14ac:dyDescent="0.2">
      <c r="B1265" t="s">
        <v>18</v>
      </c>
      <c r="C1265" t="s">
        <v>95</v>
      </c>
      <c r="D1265" t="s">
        <v>13</v>
      </c>
      <c r="E1265" s="8" t="s">
        <v>190</v>
      </c>
      <c r="F1265" t="s">
        <v>15</v>
      </c>
      <c r="G1265" s="8" t="s">
        <v>190</v>
      </c>
      <c r="H1265" t="s">
        <v>693</v>
      </c>
      <c r="I1265" t="e">
        <f>VLOOKUP(Tabela2[[#This Row],[Coluna7]],[1]!Tabela1[#All],2,0)</f>
        <v>#REF!</v>
      </c>
      <c r="J1265" t="s">
        <v>696</v>
      </c>
      <c r="L1265">
        <v>3.45</v>
      </c>
      <c r="Q1265" s="10" t="str">
        <f>Tabela2[[#This Row],[Coluna5]]</f>
        <v>10/2025</v>
      </c>
      <c r="R1265" s="10" t="str">
        <f>IF(Tabela2[[#This Row],[Coluna9]]&gt;0,"Entrada","Saída")</f>
        <v>Saída</v>
      </c>
      <c r="S1265" s="10" t="str">
        <f>Tabela2[[#This Row],[Coluna8]]</f>
        <v>EFI</v>
      </c>
      <c r="T1265" s="10" t="e">
        <f>Tabela2[[#This Row],[Coluna72]]</f>
        <v>#REF!</v>
      </c>
      <c r="U1265" s="10">
        <f>SUM(Tabela2[[#This Row],[Coluna9]],Tabela2[[#This Row],[Coluna10]])</f>
        <v>3.45</v>
      </c>
      <c r="V1265" s="2" t="str">
        <f>Tabela2[[#This Row],[Coluna4]]</f>
        <v>22/10/2025</v>
      </c>
      <c r="W1265" s="2" t="str">
        <f>Tabela2[[#This Row],[Coluna6]]</f>
        <v>22/10/2025</v>
      </c>
    </row>
    <row r="1266" spans="2:23" x14ac:dyDescent="0.2">
      <c r="B1266" t="s">
        <v>12</v>
      </c>
      <c r="C1266" t="s">
        <v>95</v>
      </c>
      <c r="D1266" t="s">
        <v>13</v>
      </c>
      <c r="E1266" s="8" t="s">
        <v>38</v>
      </c>
      <c r="F1266" t="s">
        <v>15</v>
      </c>
      <c r="G1266" s="8" t="s">
        <v>38</v>
      </c>
      <c r="H1266" t="s">
        <v>693</v>
      </c>
      <c r="I1266" t="e">
        <f>VLOOKUP(Tabela2[[#This Row],[Coluna7]],[1]!Tabela1[#All],2,0)</f>
        <v>#REF!</v>
      </c>
      <c r="J1266" t="s">
        <v>694</v>
      </c>
      <c r="L1266">
        <v>75</v>
      </c>
      <c r="Q1266" s="10" t="str">
        <f>Tabela2[[#This Row],[Coluna5]]</f>
        <v>10/2025</v>
      </c>
      <c r="R1266" s="10" t="str">
        <f>IF(Tabela2[[#This Row],[Coluna9]]&gt;0,"Entrada","Saída")</f>
        <v>Saída</v>
      </c>
      <c r="S1266" s="10" t="str">
        <f>Tabela2[[#This Row],[Coluna8]]</f>
        <v>CESTA PJ</v>
      </c>
      <c r="T1266" s="10" t="e">
        <f>Tabela2[[#This Row],[Coluna72]]</f>
        <v>#REF!</v>
      </c>
      <c r="U1266" s="10">
        <f>SUM(Tabela2[[#This Row],[Coluna9]],Tabela2[[#This Row],[Coluna10]])</f>
        <v>75</v>
      </c>
      <c r="V1266" s="2" t="str">
        <f>Tabela2[[#This Row],[Coluna4]]</f>
        <v>27/10/2025</v>
      </c>
      <c r="W1266" s="2" t="str">
        <f>Tabela2[[#This Row],[Coluna6]]</f>
        <v>27/10/2025</v>
      </c>
    </row>
    <row r="1267" spans="2:23" x14ac:dyDescent="0.2">
      <c r="B1267" t="s">
        <v>18</v>
      </c>
      <c r="C1267" t="s">
        <v>95</v>
      </c>
      <c r="D1267" t="s">
        <v>13</v>
      </c>
      <c r="E1267" s="8" t="s">
        <v>38</v>
      </c>
      <c r="F1267" t="s">
        <v>15</v>
      </c>
      <c r="G1267" s="8" t="s">
        <v>38</v>
      </c>
      <c r="H1267" t="s">
        <v>693</v>
      </c>
      <c r="I1267" t="e">
        <f>VLOOKUP(Tabela2[[#This Row],[Coluna7]],[1]!Tabela1[#All],2,0)</f>
        <v>#REF!</v>
      </c>
      <c r="J1267" t="s">
        <v>695</v>
      </c>
      <c r="L1267">
        <v>3.45</v>
      </c>
      <c r="Q1267" s="10" t="str">
        <f>Tabela2[[#This Row],[Coluna5]]</f>
        <v>10/2025</v>
      </c>
      <c r="R1267" s="10" t="str">
        <f>IF(Tabela2[[#This Row],[Coluna9]]&gt;0,"Entrada","Saída")</f>
        <v>Saída</v>
      </c>
      <c r="S1267" s="10" t="str">
        <f>Tabela2[[#This Row],[Coluna8]]</f>
        <v>EFÍ</v>
      </c>
      <c r="T1267" s="10" t="e">
        <f>Tabela2[[#This Row],[Coluna72]]</f>
        <v>#REF!</v>
      </c>
      <c r="U1267" s="10">
        <f>SUM(Tabela2[[#This Row],[Coluna9]],Tabela2[[#This Row],[Coluna10]])</f>
        <v>3.45</v>
      </c>
      <c r="V1267" s="2" t="str">
        <f>Tabela2[[#This Row],[Coluna4]]</f>
        <v>27/10/2025</v>
      </c>
      <c r="W1267" s="2" t="str">
        <f>Tabela2[[#This Row],[Coluna6]]</f>
        <v>27/10/2025</v>
      </c>
    </row>
    <row r="1268" spans="2:23" x14ac:dyDescent="0.2">
      <c r="B1268" t="s">
        <v>18</v>
      </c>
      <c r="C1268" t="s">
        <v>95</v>
      </c>
      <c r="D1268" t="s">
        <v>13</v>
      </c>
      <c r="E1268" s="8" t="s">
        <v>38</v>
      </c>
      <c r="F1268" t="s">
        <v>42</v>
      </c>
      <c r="G1268" s="8" t="s">
        <v>38</v>
      </c>
      <c r="H1268" t="s">
        <v>693</v>
      </c>
      <c r="I1268" t="e">
        <f>VLOOKUP(Tabela2[[#This Row],[Coluna7]],[1]!Tabela1[#All],2,0)</f>
        <v>#REF!</v>
      </c>
      <c r="L1268">
        <v>3.45</v>
      </c>
      <c r="Q1268" s="10" t="str">
        <f>Tabela2[[#This Row],[Coluna5]]</f>
        <v>11/2025</v>
      </c>
      <c r="R1268" s="10" t="str">
        <f>IF(Tabela2[[#This Row],[Coluna9]]&gt;0,"Entrada","Saída")</f>
        <v>Saída</v>
      </c>
      <c r="S1268" s="10">
        <f>Tabela2[[#This Row],[Coluna8]]</f>
        <v>0</v>
      </c>
      <c r="T1268" s="10" t="e">
        <f>Tabela2[[#This Row],[Coluna72]]</f>
        <v>#REF!</v>
      </c>
      <c r="U1268" s="10">
        <f>SUM(Tabela2[[#This Row],[Coluna9]],Tabela2[[#This Row],[Coluna10]])</f>
        <v>3.45</v>
      </c>
      <c r="V1268" s="2" t="str">
        <f>Tabela2[[#This Row],[Coluna4]]</f>
        <v>27/10/2025</v>
      </c>
      <c r="W1268" s="2" t="str">
        <f>Tabela2[[#This Row],[Coluna6]]</f>
        <v>27/10/2025</v>
      </c>
    </row>
    <row r="1269" spans="2:23" x14ac:dyDescent="0.2">
      <c r="B1269" t="s">
        <v>18</v>
      </c>
      <c r="C1269" t="s">
        <v>95</v>
      </c>
      <c r="D1269" t="s">
        <v>13</v>
      </c>
      <c r="E1269" s="8" t="s">
        <v>127</v>
      </c>
      <c r="F1269" t="s">
        <v>42</v>
      </c>
      <c r="G1269" s="8" t="s">
        <v>127</v>
      </c>
      <c r="H1269" t="s">
        <v>693</v>
      </c>
      <c r="I1269" t="e">
        <f>VLOOKUP(Tabela2[[#This Row],[Coluna7]],[1]!Tabela1[#All],2,0)</f>
        <v>#REF!</v>
      </c>
      <c r="J1269" t="s">
        <v>695</v>
      </c>
      <c r="L1269">
        <v>3.45</v>
      </c>
      <c r="Q1269" s="10" t="str">
        <f>Tabela2[[#This Row],[Coluna5]]</f>
        <v>11/2025</v>
      </c>
      <c r="R1269" s="10" t="str">
        <f>IF(Tabela2[[#This Row],[Coluna9]]&gt;0,"Entrada","Saída")</f>
        <v>Saída</v>
      </c>
      <c r="S1269" s="10" t="str">
        <f>Tabela2[[#This Row],[Coluna8]]</f>
        <v>EFÍ</v>
      </c>
      <c r="T1269" s="10" t="e">
        <f>Tabela2[[#This Row],[Coluna72]]</f>
        <v>#REF!</v>
      </c>
      <c r="U1269" s="10">
        <f>SUM(Tabela2[[#This Row],[Coluna9]],Tabela2[[#This Row],[Coluna10]])</f>
        <v>3.45</v>
      </c>
      <c r="V1269" s="2" t="str">
        <f>Tabela2[[#This Row],[Coluna4]]</f>
        <v>29/10/2025</v>
      </c>
      <c r="W1269" s="2" t="str">
        <f>Tabela2[[#This Row],[Coluna6]]</f>
        <v>29/10/2025</v>
      </c>
    </row>
    <row r="1270" spans="2:23" x14ac:dyDescent="0.2">
      <c r="B1270" t="s">
        <v>215</v>
      </c>
      <c r="C1270" t="s">
        <v>95</v>
      </c>
      <c r="D1270" t="s">
        <v>13</v>
      </c>
      <c r="E1270" s="8" t="s">
        <v>216</v>
      </c>
      <c r="F1270" t="s">
        <v>42</v>
      </c>
      <c r="G1270" s="8" t="s">
        <v>216</v>
      </c>
      <c r="H1270" t="s">
        <v>693</v>
      </c>
      <c r="I1270" t="e">
        <f>VLOOKUP(Tabela2[[#This Row],[Coluna7]],[1]!Tabela1[#All],2,0)</f>
        <v>#REF!</v>
      </c>
      <c r="J1270" t="s">
        <v>697</v>
      </c>
      <c r="L1270">
        <v>0.99</v>
      </c>
      <c r="Q1270" s="10" t="str">
        <f>Tabela2[[#This Row],[Coluna5]]</f>
        <v>11/2025</v>
      </c>
      <c r="R1270" s="10" t="str">
        <f>IF(Tabela2[[#This Row],[Coluna9]]&gt;0,"Entrada","Saída")</f>
        <v>Saída</v>
      </c>
      <c r="S1270" s="10" t="str">
        <f>Tabela2[[#This Row],[Coluna8]]</f>
        <v>TAXA PIX TESTE</v>
      </c>
      <c r="T1270" s="10" t="e">
        <f>Tabela2[[#This Row],[Coluna72]]</f>
        <v>#REF!</v>
      </c>
      <c r="U1270" s="10">
        <f>SUM(Tabela2[[#This Row],[Coluna9]],Tabela2[[#This Row],[Coluna10]])</f>
        <v>0.99</v>
      </c>
      <c r="V1270" s="2" t="str">
        <f>Tabela2[[#This Row],[Coluna4]]</f>
        <v>02/11/2025</v>
      </c>
      <c r="W1270" s="2" t="str">
        <f>Tabela2[[#This Row],[Coluna6]]</f>
        <v>02/11/2025</v>
      </c>
    </row>
    <row r="1271" spans="2:23" x14ac:dyDescent="0.2">
      <c r="B1271" t="s">
        <v>18</v>
      </c>
      <c r="C1271" t="s">
        <v>95</v>
      </c>
      <c r="D1271" t="s">
        <v>13</v>
      </c>
      <c r="E1271" s="8" t="s">
        <v>52</v>
      </c>
      <c r="F1271" t="s">
        <v>42</v>
      </c>
      <c r="G1271" s="8" t="s">
        <v>52</v>
      </c>
      <c r="H1271" t="s">
        <v>693</v>
      </c>
      <c r="I1271" t="e">
        <f>VLOOKUP(Tabela2[[#This Row],[Coluna7]],[1]!Tabela1[#All],2,0)</f>
        <v>#REF!</v>
      </c>
      <c r="J1271" t="s">
        <v>695</v>
      </c>
      <c r="L1271">
        <v>3.45</v>
      </c>
      <c r="Q1271" s="10" t="str">
        <f>Tabela2[[#This Row],[Coluna5]]</f>
        <v>11/2025</v>
      </c>
      <c r="R1271" s="10" t="str">
        <f>IF(Tabela2[[#This Row],[Coluna9]]&gt;0,"Entrada","Saída")</f>
        <v>Saída</v>
      </c>
      <c r="S1271" s="10" t="str">
        <f>Tabela2[[#This Row],[Coluna8]]</f>
        <v>EFÍ</v>
      </c>
      <c r="T1271" s="10" t="e">
        <f>Tabela2[[#This Row],[Coluna72]]</f>
        <v>#REF!</v>
      </c>
      <c r="U1271" s="10">
        <f>SUM(Tabela2[[#This Row],[Coluna9]],Tabela2[[#This Row],[Coluna10]])</f>
        <v>3.45</v>
      </c>
      <c r="V1271" s="2" t="str">
        <f>Tabela2[[#This Row],[Coluna4]]</f>
        <v>03/11/2025</v>
      </c>
      <c r="W1271" s="2" t="str">
        <f>Tabela2[[#This Row],[Coluna6]]</f>
        <v>03/11/2025</v>
      </c>
    </row>
    <row r="1272" spans="2:23" x14ac:dyDescent="0.2">
      <c r="B1272" t="s">
        <v>18</v>
      </c>
      <c r="C1272" t="s">
        <v>95</v>
      </c>
      <c r="D1272" t="s">
        <v>13</v>
      </c>
      <c r="E1272" s="8" t="s">
        <v>52</v>
      </c>
      <c r="F1272" t="s">
        <v>42</v>
      </c>
      <c r="G1272" s="8" t="s">
        <v>52</v>
      </c>
      <c r="H1272" t="s">
        <v>693</v>
      </c>
      <c r="I1272" t="e">
        <f>VLOOKUP(Tabela2[[#This Row],[Coluna7]],[1]!Tabela1[#All],2,0)</f>
        <v>#REF!</v>
      </c>
      <c r="J1272" t="s">
        <v>695</v>
      </c>
      <c r="L1272">
        <v>3.45</v>
      </c>
      <c r="Q1272" s="10" t="str">
        <f>Tabela2[[#This Row],[Coluna5]]</f>
        <v>11/2025</v>
      </c>
      <c r="R1272" s="10" t="str">
        <f>IF(Tabela2[[#This Row],[Coluna9]]&gt;0,"Entrada","Saída")</f>
        <v>Saída</v>
      </c>
      <c r="S1272" s="10" t="str">
        <f>Tabela2[[#This Row],[Coluna8]]</f>
        <v>EFÍ</v>
      </c>
      <c r="T1272" s="10" t="e">
        <f>Tabela2[[#This Row],[Coluna72]]</f>
        <v>#REF!</v>
      </c>
      <c r="U1272" s="10">
        <f>SUM(Tabela2[[#This Row],[Coluna9]],Tabela2[[#This Row],[Coluna10]])</f>
        <v>3.45</v>
      </c>
      <c r="V1272" s="2" t="str">
        <f>Tabela2[[#This Row],[Coluna4]]</f>
        <v>03/11/2025</v>
      </c>
      <c r="W1272" s="2" t="str">
        <f>Tabela2[[#This Row],[Coluna6]]</f>
        <v>03/11/2025</v>
      </c>
    </row>
    <row r="1273" spans="2:23" x14ac:dyDescent="0.2">
      <c r="B1273" t="s">
        <v>18</v>
      </c>
      <c r="C1273" t="s">
        <v>95</v>
      </c>
      <c r="D1273" t="s">
        <v>13</v>
      </c>
      <c r="E1273" s="8" t="s">
        <v>52</v>
      </c>
      <c r="F1273" t="s">
        <v>42</v>
      </c>
      <c r="G1273" s="8" t="s">
        <v>52</v>
      </c>
      <c r="H1273" t="s">
        <v>693</v>
      </c>
      <c r="I1273" t="e">
        <f>VLOOKUP(Tabela2[[#This Row],[Coluna7]],[1]!Tabela1[#All],2,0)</f>
        <v>#REF!</v>
      </c>
      <c r="J1273" t="s">
        <v>696</v>
      </c>
      <c r="L1273">
        <v>3.45</v>
      </c>
      <c r="Q1273" s="10" t="str">
        <f>Tabela2[[#This Row],[Coluna5]]</f>
        <v>11/2025</v>
      </c>
      <c r="R1273" s="10" t="str">
        <f>IF(Tabela2[[#This Row],[Coluna9]]&gt;0,"Entrada","Saída")</f>
        <v>Saída</v>
      </c>
      <c r="S1273" s="10" t="str">
        <f>Tabela2[[#This Row],[Coluna8]]</f>
        <v>EFI</v>
      </c>
      <c r="T1273" s="10" t="e">
        <f>Tabela2[[#This Row],[Coluna72]]</f>
        <v>#REF!</v>
      </c>
      <c r="U1273" s="10">
        <f>SUM(Tabela2[[#This Row],[Coluna9]],Tabela2[[#This Row],[Coluna10]])</f>
        <v>3.45</v>
      </c>
      <c r="V1273" s="2" t="str">
        <f>Tabela2[[#This Row],[Coluna4]]</f>
        <v>03/11/2025</v>
      </c>
      <c r="W1273" s="2" t="str">
        <f>Tabela2[[#This Row],[Coluna6]]</f>
        <v>03/11/2025</v>
      </c>
    </row>
    <row r="1274" spans="2:23" x14ac:dyDescent="0.2">
      <c r="B1274" t="s">
        <v>18</v>
      </c>
      <c r="C1274" t="s">
        <v>95</v>
      </c>
      <c r="D1274" t="s">
        <v>13</v>
      </c>
      <c r="E1274" s="8" t="s">
        <v>52</v>
      </c>
      <c r="F1274" t="s">
        <v>42</v>
      </c>
      <c r="G1274" s="8" t="s">
        <v>52</v>
      </c>
      <c r="H1274" t="s">
        <v>693</v>
      </c>
      <c r="I1274" t="e">
        <f>VLOOKUP(Tabela2[[#This Row],[Coluna7]],[1]!Tabela1[#All],2,0)</f>
        <v>#REF!</v>
      </c>
      <c r="J1274" t="s">
        <v>696</v>
      </c>
      <c r="L1274">
        <v>3.45</v>
      </c>
      <c r="Q1274" s="10" t="str">
        <f>Tabela2[[#This Row],[Coluna5]]</f>
        <v>11/2025</v>
      </c>
      <c r="R1274" s="10" t="str">
        <f>IF(Tabela2[[#This Row],[Coluna9]]&gt;0,"Entrada","Saída")</f>
        <v>Saída</v>
      </c>
      <c r="S1274" s="10" t="str">
        <f>Tabela2[[#This Row],[Coluna8]]</f>
        <v>EFI</v>
      </c>
      <c r="T1274" s="10" t="e">
        <f>Tabela2[[#This Row],[Coluna72]]</f>
        <v>#REF!</v>
      </c>
      <c r="U1274" s="10">
        <f>SUM(Tabela2[[#This Row],[Coluna9]],Tabela2[[#This Row],[Coluna10]])</f>
        <v>3.45</v>
      </c>
      <c r="V1274" s="2" t="str">
        <f>Tabela2[[#This Row],[Coluna4]]</f>
        <v>03/11/2025</v>
      </c>
      <c r="W1274" s="2" t="str">
        <f>Tabela2[[#This Row],[Coluna6]]</f>
        <v>03/11/2025</v>
      </c>
    </row>
    <row r="1275" spans="2:23" x14ac:dyDescent="0.2">
      <c r="B1275" t="s">
        <v>18</v>
      </c>
      <c r="C1275" t="s">
        <v>95</v>
      </c>
      <c r="D1275" t="s">
        <v>13</v>
      </c>
      <c r="E1275" s="8" t="s">
        <v>52</v>
      </c>
      <c r="F1275" t="s">
        <v>42</v>
      </c>
      <c r="G1275" s="8" t="s">
        <v>52</v>
      </c>
      <c r="H1275" t="s">
        <v>693</v>
      </c>
      <c r="I1275" t="e">
        <f>VLOOKUP(Tabela2[[#This Row],[Coluna7]],[1]!Tabela1[#All],2,0)</f>
        <v>#REF!</v>
      </c>
      <c r="J1275" t="s">
        <v>696</v>
      </c>
      <c r="L1275">
        <v>3.45</v>
      </c>
      <c r="Q1275" s="10" t="str">
        <f>Tabela2[[#This Row],[Coluna5]]</f>
        <v>11/2025</v>
      </c>
      <c r="R1275" s="10" t="str">
        <f>IF(Tabela2[[#This Row],[Coluna9]]&gt;0,"Entrada","Saída")</f>
        <v>Saída</v>
      </c>
      <c r="S1275" s="10" t="str">
        <f>Tabela2[[#This Row],[Coluna8]]</f>
        <v>EFI</v>
      </c>
      <c r="T1275" s="10" t="e">
        <f>Tabela2[[#This Row],[Coluna72]]</f>
        <v>#REF!</v>
      </c>
      <c r="U1275" s="10">
        <f>SUM(Tabela2[[#This Row],[Coluna9]],Tabela2[[#This Row],[Coluna10]])</f>
        <v>3.45</v>
      </c>
      <c r="V1275" s="2" t="str">
        <f>Tabela2[[#This Row],[Coluna4]]</f>
        <v>03/11/2025</v>
      </c>
      <c r="W1275" s="2" t="str">
        <f>Tabela2[[#This Row],[Coluna6]]</f>
        <v>03/11/2025</v>
      </c>
    </row>
    <row r="1276" spans="2:23" x14ac:dyDescent="0.2">
      <c r="B1276" t="s">
        <v>215</v>
      </c>
      <c r="C1276" t="s">
        <v>222</v>
      </c>
      <c r="D1276" t="s">
        <v>13</v>
      </c>
      <c r="E1276" s="8" t="s">
        <v>43</v>
      </c>
      <c r="F1276" t="s">
        <v>42</v>
      </c>
      <c r="G1276" s="8" t="s">
        <v>43</v>
      </c>
      <c r="H1276" t="s">
        <v>693</v>
      </c>
      <c r="I1276" t="e">
        <f>VLOOKUP(Tabela2[[#This Row],[Coluna7]],[1]!Tabela1[#All],2,0)</f>
        <v>#REF!</v>
      </c>
      <c r="J1276" t="s">
        <v>698</v>
      </c>
      <c r="L1276">
        <v>0.99</v>
      </c>
      <c r="M1276" t="s">
        <v>224</v>
      </c>
      <c r="N1276" t="s">
        <v>225</v>
      </c>
      <c r="Q1276" s="10" t="str">
        <f>Tabela2[[#This Row],[Coluna5]]</f>
        <v>11/2025</v>
      </c>
      <c r="R1276" s="10" t="str">
        <f>IF(Tabela2[[#This Row],[Coluna9]]&gt;0,"Entrada","Saída")</f>
        <v>Saída</v>
      </c>
      <c r="S1276" s="10" t="str">
        <f>Tabela2[[#This Row],[Coluna8]]</f>
        <v>(TAXA DO ASAAS) 1/15 HONORARIOS INICIAIS</v>
      </c>
      <c r="T1276" s="10" t="e">
        <f>Tabela2[[#This Row],[Coluna72]]</f>
        <v>#REF!</v>
      </c>
      <c r="U1276" s="10">
        <f>SUM(Tabela2[[#This Row],[Coluna9]],Tabela2[[#This Row],[Coluna10]])</f>
        <v>0.99</v>
      </c>
      <c r="V1276" s="2" t="str">
        <f>Tabela2[[#This Row],[Coluna4]]</f>
        <v>05/11/2025</v>
      </c>
      <c r="W1276" s="2" t="str">
        <f>Tabela2[[#This Row],[Coluna6]]</f>
        <v>05/11/2025</v>
      </c>
    </row>
    <row r="1277" spans="2:23" x14ac:dyDescent="0.2">
      <c r="B1277" t="s">
        <v>18</v>
      </c>
      <c r="C1277" t="s">
        <v>95</v>
      </c>
      <c r="D1277" t="s">
        <v>13</v>
      </c>
      <c r="E1277" s="8" t="s">
        <v>44</v>
      </c>
      <c r="F1277" t="s">
        <v>42</v>
      </c>
      <c r="G1277" s="8" t="s">
        <v>44</v>
      </c>
      <c r="H1277" t="s">
        <v>693</v>
      </c>
      <c r="I1277" t="e">
        <f>VLOOKUP(Tabela2[[#This Row],[Coluna7]],[1]!Tabela1[#All],2,0)</f>
        <v>#REF!</v>
      </c>
      <c r="J1277" t="s">
        <v>696</v>
      </c>
      <c r="L1277">
        <v>3.45</v>
      </c>
      <c r="Q1277" s="10" t="str">
        <f>Tabela2[[#This Row],[Coluna5]]</f>
        <v>11/2025</v>
      </c>
      <c r="R1277" s="10" t="str">
        <f>IF(Tabela2[[#This Row],[Coluna9]]&gt;0,"Entrada","Saída")</f>
        <v>Saída</v>
      </c>
      <c r="S1277" s="10" t="str">
        <f>Tabela2[[#This Row],[Coluna8]]</f>
        <v>EFI</v>
      </c>
      <c r="T1277" s="10" t="e">
        <f>Tabela2[[#This Row],[Coluna72]]</f>
        <v>#REF!</v>
      </c>
      <c r="U1277" s="10">
        <f>SUM(Tabela2[[#This Row],[Coluna9]],Tabela2[[#This Row],[Coluna10]])</f>
        <v>3.45</v>
      </c>
      <c r="V1277" s="2" t="str">
        <f>Tabela2[[#This Row],[Coluna4]]</f>
        <v>06/11/2025</v>
      </c>
      <c r="W1277" s="2" t="str">
        <f>Tabela2[[#This Row],[Coluna6]]</f>
        <v>06/11/2025</v>
      </c>
    </row>
    <row r="1278" spans="2:23" x14ac:dyDescent="0.2">
      <c r="B1278" t="s">
        <v>18</v>
      </c>
      <c r="C1278" t="s">
        <v>95</v>
      </c>
      <c r="D1278" t="s">
        <v>13</v>
      </c>
      <c r="E1278" s="8" t="s">
        <v>44</v>
      </c>
      <c r="F1278" t="s">
        <v>42</v>
      </c>
      <c r="G1278" s="8" t="s">
        <v>44</v>
      </c>
      <c r="H1278" t="s">
        <v>693</v>
      </c>
      <c r="I1278" t="e">
        <f>VLOOKUP(Tabela2[[#This Row],[Coluna7]],[1]!Tabela1[#All],2,0)</f>
        <v>#REF!</v>
      </c>
      <c r="J1278" t="s">
        <v>696</v>
      </c>
      <c r="L1278">
        <v>3.45</v>
      </c>
      <c r="Q1278" s="10" t="str">
        <f>Tabela2[[#This Row],[Coluna5]]</f>
        <v>11/2025</v>
      </c>
      <c r="R1278" s="10" t="str">
        <f>IF(Tabela2[[#This Row],[Coluna9]]&gt;0,"Entrada","Saída")</f>
        <v>Saída</v>
      </c>
      <c r="S1278" s="10" t="str">
        <f>Tabela2[[#This Row],[Coluna8]]</f>
        <v>EFI</v>
      </c>
      <c r="T1278" s="10" t="e">
        <f>Tabela2[[#This Row],[Coluna72]]</f>
        <v>#REF!</v>
      </c>
      <c r="U1278" s="10">
        <f>SUM(Tabela2[[#This Row],[Coluna9]],Tabela2[[#This Row],[Coluna10]])</f>
        <v>3.45</v>
      </c>
      <c r="V1278" s="2" t="str">
        <f>Tabela2[[#This Row],[Coluna4]]</f>
        <v>06/11/2025</v>
      </c>
      <c r="W1278" s="2" t="str">
        <f>Tabela2[[#This Row],[Coluna6]]</f>
        <v>06/11/2025</v>
      </c>
    </row>
    <row r="1279" spans="2:23" x14ac:dyDescent="0.2">
      <c r="B1279" t="s">
        <v>18</v>
      </c>
      <c r="C1279" t="s">
        <v>95</v>
      </c>
      <c r="D1279" t="s">
        <v>13</v>
      </c>
      <c r="E1279" s="8" t="s">
        <v>44</v>
      </c>
      <c r="F1279" t="s">
        <v>42</v>
      </c>
      <c r="G1279" s="8" t="s">
        <v>44</v>
      </c>
      <c r="H1279" t="s">
        <v>693</v>
      </c>
      <c r="I1279" t="e">
        <f>VLOOKUP(Tabela2[[#This Row],[Coluna7]],[1]!Tabela1[#All],2,0)</f>
        <v>#REF!</v>
      </c>
      <c r="J1279" t="s">
        <v>696</v>
      </c>
      <c r="L1279">
        <v>3.45</v>
      </c>
      <c r="Q1279" s="10" t="str">
        <f>Tabela2[[#This Row],[Coluna5]]</f>
        <v>11/2025</v>
      </c>
      <c r="R1279" s="10" t="str">
        <f>IF(Tabela2[[#This Row],[Coluna9]]&gt;0,"Entrada","Saída")</f>
        <v>Saída</v>
      </c>
      <c r="S1279" s="10" t="str">
        <f>Tabela2[[#This Row],[Coluna8]]</f>
        <v>EFI</v>
      </c>
      <c r="T1279" s="10" t="e">
        <f>Tabela2[[#This Row],[Coluna72]]</f>
        <v>#REF!</v>
      </c>
      <c r="U1279" s="10">
        <f>SUM(Tabela2[[#This Row],[Coluna9]],Tabela2[[#This Row],[Coluna10]])</f>
        <v>3.45</v>
      </c>
      <c r="V1279" s="2" t="str">
        <f>Tabela2[[#This Row],[Coluna4]]</f>
        <v>06/11/2025</v>
      </c>
      <c r="W1279" s="2" t="str">
        <f>Tabela2[[#This Row],[Coluna6]]</f>
        <v>06/11/2025</v>
      </c>
    </row>
    <row r="1280" spans="2:23" x14ac:dyDescent="0.2">
      <c r="B1280" t="s">
        <v>18</v>
      </c>
      <c r="C1280" t="s">
        <v>95</v>
      </c>
      <c r="D1280" t="s">
        <v>13</v>
      </c>
      <c r="E1280" s="8" t="s">
        <v>231</v>
      </c>
      <c r="F1280" t="s">
        <v>42</v>
      </c>
      <c r="G1280" s="8" t="s">
        <v>231</v>
      </c>
      <c r="H1280" t="s">
        <v>693</v>
      </c>
      <c r="I1280" t="e">
        <f>VLOOKUP(Tabela2[[#This Row],[Coluna7]],[1]!Tabela1[#All],2,0)</f>
        <v>#REF!</v>
      </c>
      <c r="J1280" t="s">
        <v>696</v>
      </c>
      <c r="L1280">
        <v>3.45</v>
      </c>
      <c r="Q1280" s="10" t="str">
        <f>Tabela2[[#This Row],[Coluna5]]</f>
        <v>11/2025</v>
      </c>
      <c r="R1280" s="10" t="str">
        <f>IF(Tabela2[[#This Row],[Coluna9]]&gt;0,"Entrada","Saída")</f>
        <v>Saída</v>
      </c>
      <c r="S1280" s="10" t="str">
        <f>Tabela2[[#This Row],[Coluna8]]</f>
        <v>EFI</v>
      </c>
      <c r="T1280" s="10" t="e">
        <f>Tabela2[[#This Row],[Coluna72]]</f>
        <v>#REF!</v>
      </c>
      <c r="U1280" s="10">
        <f>SUM(Tabela2[[#This Row],[Coluna9]],Tabela2[[#This Row],[Coluna10]])</f>
        <v>3.45</v>
      </c>
      <c r="V1280" s="2" t="str">
        <f>Tabela2[[#This Row],[Coluna4]]</f>
        <v>07/11/2025</v>
      </c>
      <c r="W1280" s="2" t="str">
        <f>Tabela2[[#This Row],[Coluna6]]</f>
        <v>07/11/2025</v>
      </c>
    </row>
    <row r="1281" spans="2:23" x14ac:dyDescent="0.2">
      <c r="B1281" t="s">
        <v>18</v>
      </c>
      <c r="C1281" t="s">
        <v>95</v>
      </c>
      <c r="D1281" t="s">
        <v>13</v>
      </c>
      <c r="E1281" s="8" t="s">
        <v>231</v>
      </c>
      <c r="F1281" t="s">
        <v>42</v>
      </c>
      <c r="G1281" s="8" t="s">
        <v>231</v>
      </c>
      <c r="H1281" t="s">
        <v>693</v>
      </c>
      <c r="I1281" t="e">
        <f>VLOOKUP(Tabela2[[#This Row],[Coluna7]],[1]!Tabela1[#All],2,0)</f>
        <v>#REF!</v>
      </c>
      <c r="J1281" t="s">
        <v>696</v>
      </c>
      <c r="L1281">
        <v>3.45</v>
      </c>
      <c r="Q1281" s="10" t="str">
        <f>Tabela2[[#This Row],[Coluna5]]</f>
        <v>11/2025</v>
      </c>
      <c r="R1281" s="10" t="str">
        <f>IF(Tabela2[[#This Row],[Coluna9]]&gt;0,"Entrada","Saída")</f>
        <v>Saída</v>
      </c>
      <c r="S1281" s="10" t="str">
        <f>Tabela2[[#This Row],[Coluna8]]</f>
        <v>EFI</v>
      </c>
      <c r="T1281" s="10" t="e">
        <f>Tabela2[[#This Row],[Coluna72]]</f>
        <v>#REF!</v>
      </c>
      <c r="U1281" s="10">
        <f>SUM(Tabela2[[#This Row],[Coluna9]],Tabela2[[#This Row],[Coluna10]])</f>
        <v>3.45</v>
      </c>
      <c r="V1281" s="2" t="str">
        <f>Tabela2[[#This Row],[Coluna4]]</f>
        <v>07/11/2025</v>
      </c>
      <c r="W1281" s="2" t="str">
        <f>Tabela2[[#This Row],[Coluna6]]</f>
        <v>07/11/2025</v>
      </c>
    </row>
    <row r="1282" spans="2:23" x14ac:dyDescent="0.2">
      <c r="B1282" t="s">
        <v>18</v>
      </c>
      <c r="C1282" t="s">
        <v>95</v>
      </c>
      <c r="D1282" t="s">
        <v>13</v>
      </c>
      <c r="E1282" s="8" t="s">
        <v>47</v>
      </c>
      <c r="F1282" t="s">
        <v>42</v>
      </c>
      <c r="G1282" s="8" t="s">
        <v>47</v>
      </c>
      <c r="H1282" t="s">
        <v>693</v>
      </c>
      <c r="I1282" t="e">
        <f>VLOOKUP(Tabela2[[#This Row],[Coluna7]],[1]!Tabela1[#All],2,0)</f>
        <v>#REF!</v>
      </c>
      <c r="J1282" t="s">
        <v>695</v>
      </c>
      <c r="L1282">
        <v>3.45</v>
      </c>
      <c r="Q1282" s="10" t="str">
        <f>Tabela2[[#This Row],[Coluna5]]</f>
        <v>11/2025</v>
      </c>
      <c r="R1282" s="10" t="str">
        <f>IF(Tabela2[[#This Row],[Coluna9]]&gt;0,"Entrada","Saída")</f>
        <v>Saída</v>
      </c>
      <c r="S1282" s="10" t="str">
        <f>Tabela2[[#This Row],[Coluna8]]</f>
        <v>EFÍ</v>
      </c>
      <c r="T1282" s="10" t="e">
        <f>Tabela2[[#This Row],[Coluna72]]</f>
        <v>#REF!</v>
      </c>
      <c r="U1282" s="10">
        <f>SUM(Tabela2[[#This Row],[Coluna9]],Tabela2[[#This Row],[Coluna10]])</f>
        <v>3.45</v>
      </c>
      <c r="V1282" s="2" t="str">
        <f>Tabela2[[#This Row],[Coluna4]]</f>
        <v>10/11/2025</v>
      </c>
      <c r="W1282" s="2" t="str">
        <f>Tabela2[[#This Row],[Coluna6]]</f>
        <v>10/11/2025</v>
      </c>
    </row>
    <row r="1283" spans="2:23" x14ac:dyDescent="0.2">
      <c r="B1283" t="s">
        <v>18</v>
      </c>
      <c r="C1283" t="s">
        <v>95</v>
      </c>
      <c r="D1283" t="s">
        <v>13</v>
      </c>
      <c r="E1283" s="8" t="s">
        <v>46</v>
      </c>
      <c r="F1283" t="s">
        <v>42</v>
      </c>
      <c r="G1283" s="8" t="s">
        <v>46</v>
      </c>
      <c r="H1283" t="s">
        <v>693</v>
      </c>
      <c r="I1283" t="e">
        <f>VLOOKUP(Tabela2[[#This Row],[Coluna7]],[1]!Tabela1[#All],2,0)</f>
        <v>#REF!</v>
      </c>
      <c r="J1283" t="s">
        <v>696</v>
      </c>
      <c r="L1283">
        <v>3.45</v>
      </c>
      <c r="Q1283" s="10" t="str">
        <f>Tabela2[[#This Row],[Coluna5]]</f>
        <v>11/2025</v>
      </c>
      <c r="R1283" s="10" t="str">
        <f>IF(Tabela2[[#This Row],[Coluna9]]&gt;0,"Entrada","Saída")</f>
        <v>Saída</v>
      </c>
      <c r="S1283" s="10" t="str">
        <f>Tabela2[[#This Row],[Coluna8]]</f>
        <v>EFI</v>
      </c>
      <c r="T1283" s="10" t="e">
        <f>Tabela2[[#This Row],[Coluna72]]</f>
        <v>#REF!</v>
      </c>
      <c r="U1283" s="10">
        <f>SUM(Tabela2[[#This Row],[Coluna9]],Tabela2[[#This Row],[Coluna10]])</f>
        <v>3.45</v>
      </c>
      <c r="V1283" s="2" t="str">
        <f>Tabela2[[#This Row],[Coluna4]]</f>
        <v>11/11/2025</v>
      </c>
      <c r="W1283" s="2" t="str">
        <f>Tabela2[[#This Row],[Coluna6]]</f>
        <v>11/11/2025</v>
      </c>
    </row>
    <row r="1284" spans="2:23" x14ac:dyDescent="0.2">
      <c r="B1284" t="s">
        <v>27</v>
      </c>
      <c r="C1284" t="s">
        <v>95</v>
      </c>
      <c r="D1284" t="s">
        <v>13</v>
      </c>
      <c r="E1284" s="8" t="s">
        <v>54</v>
      </c>
      <c r="F1284" t="s">
        <v>42</v>
      </c>
      <c r="G1284" s="8" t="s">
        <v>54</v>
      </c>
      <c r="H1284" t="s">
        <v>693</v>
      </c>
      <c r="I1284" t="e">
        <f>VLOOKUP(Tabela2[[#This Row],[Coluna7]],[1]!Tabela1[#All],2,0)</f>
        <v>#REF!</v>
      </c>
      <c r="J1284" t="s">
        <v>694</v>
      </c>
      <c r="L1284">
        <v>168.5</v>
      </c>
      <c r="Q1284" s="10" t="str">
        <f>Tabela2[[#This Row],[Coluna5]]</f>
        <v>11/2025</v>
      </c>
      <c r="R1284" s="10" t="str">
        <f>IF(Tabela2[[#This Row],[Coluna9]]&gt;0,"Entrada","Saída")</f>
        <v>Saída</v>
      </c>
      <c r="S1284" s="10" t="str">
        <f>Tabela2[[#This Row],[Coluna8]]</f>
        <v>CESTA PJ</v>
      </c>
      <c r="T1284" s="10" t="e">
        <f>Tabela2[[#This Row],[Coluna72]]</f>
        <v>#REF!</v>
      </c>
      <c r="U1284" s="10">
        <f>SUM(Tabela2[[#This Row],[Coluna9]],Tabela2[[#This Row],[Coluna10]])</f>
        <v>168.5</v>
      </c>
      <c r="V1284" s="2" t="str">
        <f>Tabela2[[#This Row],[Coluna4]]</f>
        <v>14/11/2025</v>
      </c>
      <c r="W1284" s="2" t="str">
        <f>Tabela2[[#This Row],[Coluna6]]</f>
        <v>14/11/2025</v>
      </c>
    </row>
    <row r="1285" spans="2:23" x14ac:dyDescent="0.2">
      <c r="B1285" t="s">
        <v>215</v>
      </c>
      <c r="C1285" t="s">
        <v>200</v>
      </c>
      <c r="D1285" t="s">
        <v>13</v>
      </c>
      <c r="E1285" s="8" t="s">
        <v>54</v>
      </c>
      <c r="F1285" t="s">
        <v>64</v>
      </c>
      <c r="G1285" s="8" t="s">
        <v>54</v>
      </c>
      <c r="H1285" t="s">
        <v>693</v>
      </c>
      <c r="I1285" t="e">
        <f>VLOOKUP(Tabela2[[#This Row],[Coluna7]],[1]!Tabela1[#All],2,0)</f>
        <v>#REF!</v>
      </c>
      <c r="J1285" t="s">
        <v>699</v>
      </c>
      <c r="L1285">
        <v>0.99</v>
      </c>
      <c r="M1285" t="s">
        <v>146</v>
      </c>
      <c r="N1285" t="s">
        <v>147</v>
      </c>
      <c r="Q1285" s="10" t="str">
        <f>Tabela2[[#This Row],[Coluna5]]</f>
        <v>12/2025</v>
      </c>
      <c r="R1285" s="10" t="str">
        <f>IF(Tabela2[[#This Row],[Coluna9]]&gt;0,"Entrada","Saída")</f>
        <v>Saída</v>
      </c>
      <c r="S1285" s="10" t="str">
        <f>Tabela2[[#This Row],[Coluna8]]</f>
        <v>TARFIFA ASAAS</v>
      </c>
      <c r="T1285" s="10" t="e">
        <f>Tabela2[[#This Row],[Coluna72]]</f>
        <v>#REF!</v>
      </c>
      <c r="U1285" s="10">
        <f>SUM(Tabela2[[#This Row],[Coluna9]],Tabela2[[#This Row],[Coluna10]])</f>
        <v>0.99</v>
      </c>
      <c r="V1285" s="2" t="str">
        <f>Tabela2[[#This Row],[Coluna4]]</f>
        <v>14/11/2025</v>
      </c>
      <c r="W1285" s="2" t="str">
        <f>Tabela2[[#This Row],[Coluna6]]</f>
        <v>14/11/2025</v>
      </c>
    </row>
    <row r="1286" spans="2:23" x14ac:dyDescent="0.2">
      <c r="B1286" t="s">
        <v>18</v>
      </c>
      <c r="C1286" t="s">
        <v>95</v>
      </c>
      <c r="D1286" t="s">
        <v>13</v>
      </c>
      <c r="E1286" s="8" t="s">
        <v>62</v>
      </c>
      <c r="F1286" t="s">
        <v>42</v>
      </c>
      <c r="G1286" s="8" t="s">
        <v>62</v>
      </c>
      <c r="H1286" t="s">
        <v>693</v>
      </c>
      <c r="I1286" t="e">
        <f>VLOOKUP(Tabela2[[#This Row],[Coluna7]],[1]!Tabela1[#All],2,0)</f>
        <v>#REF!</v>
      </c>
      <c r="J1286" t="s">
        <v>696</v>
      </c>
      <c r="L1286">
        <v>3.45</v>
      </c>
      <c r="Q1286" s="10" t="str">
        <f>Tabela2[[#This Row],[Coluna5]]</f>
        <v>11/2025</v>
      </c>
      <c r="R1286" s="10" t="str">
        <f>IF(Tabela2[[#This Row],[Coluna9]]&gt;0,"Entrada","Saída")</f>
        <v>Saída</v>
      </c>
      <c r="S1286" s="10" t="str">
        <f>Tabela2[[#This Row],[Coluna8]]</f>
        <v>EFI</v>
      </c>
      <c r="T1286" s="10" t="e">
        <f>Tabela2[[#This Row],[Coluna72]]</f>
        <v>#REF!</v>
      </c>
      <c r="U1286" s="10">
        <f>SUM(Tabela2[[#This Row],[Coluna9]],Tabela2[[#This Row],[Coluna10]])</f>
        <v>3.45</v>
      </c>
      <c r="V1286" s="2" t="str">
        <f>Tabela2[[#This Row],[Coluna4]]</f>
        <v>24/11/2025</v>
      </c>
      <c r="W1286" s="2" t="str">
        <f>Tabela2[[#This Row],[Coluna6]]</f>
        <v>24/11/2025</v>
      </c>
    </row>
    <row r="1287" spans="2:23" x14ac:dyDescent="0.2">
      <c r="B1287" t="s">
        <v>18</v>
      </c>
      <c r="C1287" t="s">
        <v>95</v>
      </c>
      <c r="D1287" t="s">
        <v>13</v>
      </c>
      <c r="E1287" s="8" t="s">
        <v>62</v>
      </c>
      <c r="F1287" t="s">
        <v>42</v>
      </c>
      <c r="G1287" s="8" t="s">
        <v>62</v>
      </c>
      <c r="H1287" t="s">
        <v>693</v>
      </c>
      <c r="I1287" t="e">
        <f>VLOOKUP(Tabela2[[#This Row],[Coluna7]],[1]!Tabela1[#All],2,0)</f>
        <v>#REF!</v>
      </c>
      <c r="J1287" t="s">
        <v>696</v>
      </c>
      <c r="L1287">
        <v>3.45</v>
      </c>
      <c r="Q1287" s="10" t="str">
        <f>Tabela2[[#This Row],[Coluna5]]</f>
        <v>11/2025</v>
      </c>
      <c r="R1287" s="10" t="str">
        <f>IF(Tabela2[[#This Row],[Coluna9]]&gt;0,"Entrada","Saída")</f>
        <v>Saída</v>
      </c>
      <c r="S1287" s="10" t="str">
        <f>Tabela2[[#This Row],[Coluna8]]</f>
        <v>EFI</v>
      </c>
      <c r="T1287" s="10" t="e">
        <f>Tabela2[[#This Row],[Coluna72]]</f>
        <v>#REF!</v>
      </c>
      <c r="U1287" s="10">
        <f>SUM(Tabela2[[#This Row],[Coluna9]],Tabela2[[#This Row],[Coluna10]])</f>
        <v>3.45</v>
      </c>
      <c r="V1287" s="2" t="str">
        <f>Tabela2[[#This Row],[Coluna4]]</f>
        <v>24/11/2025</v>
      </c>
      <c r="W1287" s="2" t="str">
        <f>Tabela2[[#This Row],[Coluna6]]</f>
        <v>24/11/2025</v>
      </c>
    </row>
    <row r="1288" spans="2:23" x14ac:dyDescent="0.2">
      <c r="B1288" t="s">
        <v>18</v>
      </c>
      <c r="C1288" t="s">
        <v>95</v>
      </c>
      <c r="D1288" t="s">
        <v>13</v>
      </c>
      <c r="E1288" s="8" t="s">
        <v>256</v>
      </c>
      <c r="F1288" t="s">
        <v>42</v>
      </c>
      <c r="G1288" s="8" t="s">
        <v>256</v>
      </c>
      <c r="H1288" t="s">
        <v>693</v>
      </c>
      <c r="I1288" t="e">
        <f>VLOOKUP(Tabela2[[#This Row],[Coluna7]],[1]!Tabela1[#All],2,0)</f>
        <v>#REF!</v>
      </c>
      <c r="J1288" t="s">
        <v>696</v>
      </c>
      <c r="L1288">
        <v>3.45</v>
      </c>
      <c r="Q1288" s="10" t="str">
        <f>Tabela2[[#This Row],[Coluna5]]</f>
        <v>11/2025</v>
      </c>
      <c r="R1288" s="10" t="str">
        <f>IF(Tabela2[[#This Row],[Coluna9]]&gt;0,"Entrada","Saída")</f>
        <v>Saída</v>
      </c>
      <c r="S1288" s="10" t="str">
        <f>Tabela2[[#This Row],[Coluna8]]</f>
        <v>EFI</v>
      </c>
      <c r="T1288" s="10" t="e">
        <f>Tabela2[[#This Row],[Coluna72]]</f>
        <v>#REF!</v>
      </c>
      <c r="U1288" s="10">
        <f>SUM(Tabela2[[#This Row],[Coluna9]],Tabela2[[#This Row],[Coluna10]])</f>
        <v>3.45</v>
      </c>
      <c r="V1288" s="2" t="str">
        <f>Tabela2[[#This Row],[Coluna4]]</f>
        <v>25/11/2025</v>
      </c>
      <c r="W1288" s="2" t="str">
        <f>Tabela2[[#This Row],[Coluna6]]</f>
        <v>25/11/2025</v>
      </c>
    </row>
    <row r="1289" spans="2:23" x14ac:dyDescent="0.2">
      <c r="B1289" t="s">
        <v>12</v>
      </c>
      <c r="C1289" t="s">
        <v>95</v>
      </c>
      <c r="D1289" t="s">
        <v>13</v>
      </c>
      <c r="E1289" s="8" t="s">
        <v>256</v>
      </c>
      <c r="F1289" t="s">
        <v>42</v>
      </c>
      <c r="G1289" s="8" t="s">
        <v>256</v>
      </c>
      <c r="H1289" t="s">
        <v>693</v>
      </c>
      <c r="I1289" t="e">
        <f>VLOOKUP(Tabela2[[#This Row],[Coluna7]],[1]!Tabela1[#All],2,0)</f>
        <v>#REF!</v>
      </c>
      <c r="J1289" t="s">
        <v>700</v>
      </c>
      <c r="L1289">
        <v>8.1199999999999992</v>
      </c>
      <c r="Q1289" s="10" t="str">
        <f>Tabela2[[#This Row],[Coluna5]]</f>
        <v>11/2025</v>
      </c>
      <c r="R1289" s="10" t="str">
        <f>IF(Tabela2[[#This Row],[Coluna9]]&gt;0,"Entrada","Saída")</f>
        <v>Saída</v>
      </c>
      <c r="S1289" s="10" t="str">
        <f>Tabela2[[#This Row],[Coluna8]]</f>
        <v>MENSALIDADE CESTA SERVIÇO</v>
      </c>
      <c r="T1289" s="10" t="e">
        <f>Tabela2[[#This Row],[Coluna72]]</f>
        <v>#REF!</v>
      </c>
      <c r="U1289" s="10">
        <f>SUM(Tabela2[[#This Row],[Coluna9]],Tabela2[[#This Row],[Coluna10]])</f>
        <v>8.1199999999999992</v>
      </c>
      <c r="V1289" s="2" t="str">
        <f>Tabela2[[#This Row],[Coluna4]]</f>
        <v>25/11/2025</v>
      </c>
      <c r="W1289" s="2" t="str">
        <f>Tabela2[[#This Row],[Coluna6]]</f>
        <v>25/11/2025</v>
      </c>
    </row>
    <row r="1290" spans="2:23" x14ac:dyDescent="0.2">
      <c r="B1290" t="s">
        <v>12</v>
      </c>
      <c r="C1290" t="s">
        <v>95</v>
      </c>
      <c r="D1290" t="s">
        <v>13</v>
      </c>
      <c r="E1290" s="8" t="s">
        <v>256</v>
      </c>
      <c r="F1290" t="s">
        <v>42</v>
      </c>
      <c r="G1290" s="8" t="s">
        <v>265</v>
      </c>
      <c r="H1290" t="s">
        <v>693</v>
      </c>
      <c r="I1290" t="e">
        <f>VLOOKUP(Tabela2[[#This Row],[Coluna7]],[1]!Tabela1[#All],2,0)</f>
        <v>#REF!</v>
      </c>
      <c r="J1290" t="s">
        <v>700</v>
      </c>
      <c r="L1290">
        <v>66.88</v>
      </c>
      <c r="Q1290" s="10" t="str">
        <f>Tabela2[[#This Row],[Coluna5]]</f>
        <v>11/2025</v>
      </c>
      <c r="R1290" s="10" t="str">
        <f>IF(Tabela2[[#This Row],[Coluna9]]&gt;0,"Entrada","Saída")</f>
        <v>Saída</v>
      </c>
      <c r="S1290" s="10" t="str">
        <f>Tabela2[[#This Row],[Coluna8]]</f>
        <v>MENSALIDADE CESTA SERVIÇO</v>
      </c>
      <c r="T1290" s="10" t="e">
        <f>Tabela2[[#This Row],[Coluna72]]</f>
        <v>#REF!</v>
      </c>
      <c r="U1290" s="10">
        <f>SUM(Tabela2[[#This Row],[Coluna9]],Tabela2[[#This Row],[Coluna10]])</f>
        <v>66.88</v>
      </c>
      <c r="V1290" s="2" t="str">
        <f>Tabela2[[#This Row],[Coluna4]]</f>
        <v>25/11/2025</v>
      </c>
      <c r="W1290" s="2" t="str">
        <f>Tabela2[[#This Row],[Coluna6]]</f>
        <v>27/11/2025</v>
      </c>
    </row>
    <row r="1291" spans="2:23" x14ac:dyDescent="0.2">
      <c r="B1291" t="s">
        <v>215</v>
      </c>
      <c r="C1291" t="s">
        <v>125</v>
      </c>
      <c r="D1291" t="s">
        <v>13</v>
      </c>
      <c r="E1291" s="8" t="s">
        <v>256</v>
      </c>
      <c r="F1291" t="s">
        <v>42</v>
      </c>
      <c r="G1291" s="8" t="s">
        <v>256</v>
      </c>
      <c r="H1291" t="s">
        <v>693</v>
      </c>
      <c r="I1291" t="e">
        <f>VLOOKUP(Tabela2[[#This Row],[Coluna7]],[1]!Tabela1[#All],2,0)</f>
        <v>#REF!</v>
      </c>
      <c r="J1291" t="s">
        <v>701</v>
      </c>
      <c r="L1291">
        <v>0.99</v>
      </c>
      <c r="M1291" t="s">
        <v>262</v>
      </c>
      <c r="N1291" t="s">
        <v>147</v>
      </c>
      <c r="Q1291" s="10" t="str">
        <f>Tabela2[[#This Row],[Coluna5]]</f>
        <v>11/2025</v>
      </c>
      <c r="R1291" s="10" t="str">
        <f>IF(Tabela2[[#This Row],[Coluna9]]&gt;0,"Entrada","Saída")</f>
        <v>Saída</v>
      </c>
      <c r="S1291" s="10" t="str">
        <f>Tabela2[[#This Row],[Coluna8]]</f>
        <v>TAXA DE BOLETO</v>
      </c>
      <c r="T1291" s="10" t="e">
        <f>Tabela2[[#This Row],[Coluna72]]</f>
        <v>#REF!</v>
      </c>
      <c r="U1291" s="10">
        <f>SUM(Tabela2[[#This Row],[Coluna9]],Tabela2[[#This Row],[Coluna10]])</f>
        <v>0.99</v>
      </c>
      <c r="V1291" s="2" t="str">
        <f>Tabela2[[#This Row],[Coluna4]]</f>
        <v>25/11/2025</v>
      </c>
      <c r="W1291" s="2" t="str">
        <f>Tabela2[[#This Row],[Coluna6]]</f>
        <v>25/11/2025</v>
      </c>
    </row>
    <row r="1292" spans="2:23" x14ac:dyDescent="0.2">
      <c r="B1292" t="s">
        <v>18</v>
      </c>
      <c r="C1292" t="s">
        <v>95</v>
      </c>
      <c r="D1292" t="s">
        <v>13</v>
      </c>
      <c r="E1292" s="8" t="s">
        <v>257</v>
      </c>
      <c r="F1292" t="s">
        <v>42</v>
      </c>
      <c r="G1292" s="8" t="s">
        <v>257</v>
      </c>
      <c r="H1292" t="s">
        <v>693</v>
      </c>
      <c r="I1292" t="e">
        <f>VLOOKUP(Tabela2[[#This Row],[Coluna7]],[1]!Tabela1[#All],2,0)</f>
        <v>#REF!</v>
      </c>
      <c r="J1292" t="s">
        <v>696</v>
      </c>
      <c r="L1292">
        <v>3.45</v>
      </c>
      <c r="Q1292" s="10" t="str">
        <f>Tabela2[[#This Row],[Coluna5]]</f>
        <v>11/2025</v>
      </c>
      <c r="R1292" s="10" t="str">
        <f>IF(Tabela2[[#This Row],[Coluna9]]&gt;0,"Entrada","Saída")</f>
        <v>Saída</v>
      </c>
      <c r="S1292" s="10" t="str">
        <f>Tabela2[[#This Row],[Coluna8]]</f>
        <v>EFI</v>
      </c>
      <c r="T1292" s="10" t="e">
        <f>Tabela2[[#This Row],[Coluna72]]</f>
        <v>#REF!</v>
      </c>
      <c r="U1292" s="10">
        <f>SUM(Tabela2[[#This Row],[Coluna9]],Tabela2[[#This Row],[Coluna10]])</f>
        <v>3.45</v>
      </c>
      <c r="V1292" s="2" t="str">
        <f>Tabela2[[#This Row],[Coluna4]]</f>
        <v>26/11/2025</v>
      </c>
      <c r="W1292" s="2" t="str">
        <f>Tabela2[[#This Row],[Coluna6]]</f>
        <v>26/11/2025</v>
      </c>
    </row>
    <row r="1293" spans="2:23" x14ac:dyDescent="0.2">
      <c r="B1293" t="s">
        <v>27</v>
      </c>
      <c r="C1293" t="s">
        <v>95</v>
      </c>
      <c r="D1293" t="s">
        <v>13</v>
      </c>
      <c r="E1293" s="8" t="s">
        <v>257</v>
      </c>
      <c r="F1293" t="s">
        <v>42</v>
      </c>
      <c r="G1293" s="8" t="s">
        <v>257</v>
      </c>
      <c r="H1293" t="s">
        <v>693</v>
      </c>
      <c r="I1293" t="e">
        <f>VLOOKUP(Tabela2[[#This Row],[Coluna7]],[1]!Tabela1[#All],2,0)</f>
        <v>#REF!</v>
      </c>
      <c r="J1293" t="s">
        <v>702</v>
      </c>
      <c r="L1293">
        <v>9.8000000000000007</v>
      </c>
      <c r="Q1293" s="10" t="str">
        <f>Tabela2[[#This Row],[Coluna5]]</f>
        <v>11/2025</v>
      </c>
      <c r="R1293" s="10" t="str">
        <f>IF(Tabela2[[#This Row],[Coluna9]]&gt;0,"Entrada","Saída")</f>
        <v>Saída</v>
      </c>
      <c r="S1293" s="10" t="str">
        <f>Tabela2[[#This Row],[Coluna8]]</f>
        <v>TARIFA PIX</v>
      </c>
      <c r="T1293" s="10" t="e">
        <f>Tabela2[[#This Row],[Coluna72]]</f>
        <v>#REF!</v>
      </c>
      <c r="U1293" s="10">
        <f>SUM(Tabela2[[#This Row],[Coluna9]],Tabela2[[#This Row],[Coluna10]])</f>
        <v>9.8000000000000007</v>
      </c>
      <c r="V1293" s="2" t="str">
        <f>Tabela2[[#This Row],[Coluna4]]</f>
        <v>26/11/2025</v>
      </c>
      <c r="W1293" s="2" t="str">
        <f>Tabela2[[#This Row],[Coluna6]]</f>
        <v>26/11/2025</v>
      </c>
    </row>
    <row r="1294" spans="2:23" x14ac:dyDescent="0.2">
      <c r="B1294" t="s">
        <v>215</v>
      </c>
      <c r="C1294" t="s">
        <v>125</v>
      </c>
      <c r="D1294" t="s">
        <v>13</v>
      </c>
      <c r="E1294" s="8" t="s">
        <v>63</v>
      </c>
      <c r="F1294" t="s">
        <v>64</v>
      </c>
      <c r="G1294" s="8" t="s">
        <v>63</v>
      </c>
      <c r="H1294" t="s">
        <v>693</v>
      </c>
      <c r="I1294" t="e">
        <f>VLOOKUP(Tabela2[[#This Row],[Coluna7]],[1]!Tabela1[#All],2,0)</f>
        <v>#REF!</v>
      </c>
      <c r="J1294" t="s">
        <v>703</v>
      </c>
      <c r="L1294">
        <v>0.99</v>
      </c>
      <c r="N1294" t="s">
        <v>285</v>
      </c>
      <c r="Q1294" s="10" t="str">
        <f>Tabela2[[#This Row],[Coluna5]]</f>
        <v>12/2025</v>
      </c>
      <c r="R1294" s="10" t="str">
        <f>IF(Tabela2[[#This Row],[Coluna9]]&gt;0,"Entrada","Saída")</f>
        <v>Saída</v>
      </c>
      <c r="S1294" s="10" t="str">
        <f>Tabela2[[#This Row],[Coluna8]]</f>
        <v xml:space="preserve">(TAXA DO ASAAS) </v>
      </c>
      <c r="T1294" s="10" t="e">
        <f>Tabela2[[#This Row],[Coluna72]]</f>
        <v>#REF!</v>
      </c>
      <c r="U1294" s="10">
        <f>SUM(Tabela2[[#This Row],[Coluna9]],Tabela2[[#This Row],[Coluna10]])</f>
        <v>0.99</v>
      </c>
      <c r="V1294" s="2" t="str">
        <f>Tabela2[[#This Row],[Coluna4]]</f>
        <v>01/12/2025</v>
      </c>
      <c r="W1294" s="2" t="str">
        <f>Tabela2[[#This Row],[Coluna6]]</f>
        <v>01/12/2025</v>
      </c>
    </row>
    <row r="1295" spans="2:23" x14ac:dyDescent="0.2">
      <c r="B1295" t="s">
        <v>18</v>
      </c>
      <c r="C1295" t="s">
        <v>95</v>
      </c>
      <c r="D1295" t="s">
        <v>13</v>
      </c>
      <c r="E1295" s="8" t="s">
        <v>63</v>
      </c>
      <c r="F1295" t="s">
        <v>64</v>
      </c>
      <c r="G1295" s="8" t="s">
        <v>63</v>
      </c>
      <c r="H1295" t="s">
        <v>693</v>
      </c>
      <c r="I1295" t="e">
        <f>VLOOKUP(Tabela2[[#This Row],[Coluna7]],[1]!Tabela1[#All],2,0)</f>
        <v>#REF!</v>
      </c>
      <c r="J1295" t="s">
        <v>696</v>
      </c>
      <c r="L1295">
        <v>3.45</v>
      </c>
      <c r="N1295" t="s">
        <v>131</v>
      </c>
      <c r="Q1295" s="10" t="str">
        <f>Tabela2[[#This Row],[Coluna5]]</f>
        <v>12/2025</v>
      </c>
      <c r="R1295" s="10" t="str">
        <f>IF(Tabela2[[#This Row],[Coluna9]]&gt;0,"Entrada","Saída")</f>
        <v>Saída</v>
      </c>
      <c r="S1295" s="10" t="str">
        <f>Tabela2[[#This Row],[Coluna8]]</f>
        <v>EFI</v>
      </c>
      <c r="T1295" s="10" t="e">
        <f>Tabela2[[#This Row],[Coluna72]]</f>
        <v>#REF!</v>
      </c>
      <c r="U1295" s="10">
        <f>SUM(Tabela2[[#This Row],[Coluna9]],Tabela2[[#This Row],[Coluna10]])</f>
        <v>3.45</v>
      </c>
      <c r="V1295" s="2" t="str">
        <f>Tabela2[[#This Row],[Coluna4]]</f>
        <v>01/12/2025</v>
      </c>
      <c r="W1295" s="2" t="str">
        <f>Tabela2[[#This Row],[Coluna6]]</f>
        <v>01/12/2025</v>
      </c>
    </row>
    <row r="1296" spans="2:23" x14ac:dyDescent="0.2">
      <c r="B1296" t="s">
        <v>18</v>
      </c>
      <c r="C1296" t="s">
        <v>125</v>
      </c>
      <c r="D1296" t="s">
        <v>13</v>
      </c>
      <c r="E1296" s="8" t="s">
        <v>63</v>
      </c>
      <c r="F1296" t="s">
        <v>64</v>
      </c>
      <c r="G1296" s="8" t="s">
        <v>63</v>
      </c>
      <c r="H1296" t="s">
        <v>693</v>
      </c>
      <c r="I1296" t="e">
        <f>VLOOKUP(Tabela2[[#This Row],[Coluna7]],[1]!Tabela1[#All],2,0)</f>
        <v>#REF!</v>
      </c>
      <c r="J1296" t="s">
        <v>696</v>
      </c>
      <c r="L1296">
        <v>3.45</v>
      </c>
      <c r="N1296" t="s">
        <v>103</v>
      </c>
      <c r="Q1296" s="10" t="str">
        <f>Tabela2[[#This Row],[Coluna5]]</f>
        <v>12/2025</v>
      </c>
      <c r="R1296" s="10" t="str">
        <f>IF(Tabela2[[#This Row],[Coluna9]]&gt;0,"Entrada","Saída")</f>
        <v>Saída</v>
      </c>
      <c r="S1296" s="10" t="str">
        <f>Tabela2[[#This Row],[Coluna8]]</f>
        <v>EFI</v>
      </c>
      <c r="T1296" s="10" t="e">
        <f>Tabela2[[#This Row],[Coluna72]]</f>
        <v>#REF!</v>
      </c>
      <c r="U1296" s="10">
        <f>SUM(Tabela2[[#This Row],[Coluna9]],Tabela2[[#This Row],[Coluna10]])</f>
        <v>3.45</v>
      </c>
      <c r="V1296" s="2" t="str">
        <f>Tabela2[[#This Row],[Coluna4]]</f>
        <v>01/12/2025</v>
      </c>
      <c r="W1296" s="2" t="str">
        <f>Tabela2[[#This Row],[Coluna6]]</f>
        <v>01/12/2025</v>
      </c>
    </row>
    <row r="1297" spans="2:23" x14ac:dyDescent="0.2">
      <c r="B1297" t="s">
        <v>27</v>
      </c>
      <c r="C1297" t="s">
        <v>95</v>
      </c>
      <c r="D1297" t="s">
        <v>13</v>
      </c>
      <c r="E1297" s="8" t="s">
        <v>282</v>
      </c>
      <c r="F1297" t="s">
        <v>64</v>
      </c>
      <c r="G1297" s="8" t="s">
        <v>282</v>
      </c>
      <c r="H1297" t="s">
        <v>693</v>
      </c>
      <c r="I1297" t="e">
        <f>VLOOKUP(Tabela2[[#This Row],[Coluna7]],[1]!Tabela1[#All],2,0)</f>
        <v>#REF!</v>
      </c>
      <c r="J1297" t="s">
        <v>704</v>
      </c>
      <c r="L1297">
        <v>3.92</v>
      </c>
      <c r="Q1297" s="10" t="str">
        <f>Tabela2[[#This Row],[Coluna5]]</f>
        <v>12/2025</v>
      </c>
      <c r="R1297" s="10" t="str">
        <f>IF(Tabela2[[#This Row],[Coluna9]]&gt;0,"Entrada","Saída")</f>
        <v>Saída</v>
      </c>
      <c r="S1297" s="10" t="str">
        <f>Tabela2[[#This Row],[Coluna8]]</f>
        <v>ENCARGOS LIMITE DE CREDITO</v>
      </c>
      <c r="T1297" s="10" t="e">
        <f>Tabela2[[#This Row],[Coluna72]]</f>
        <v>#REF!</v>
      </c>
      <c r="U1297" s="10">
        <f>SUM(Tabela2[[#This Row],[Coluna9]],Tabela2[[#This Row],[Coluna10]])</f>
        <v>3.92</v>
      </c>
      <c r="V1297" s="2" t="str">
        <f>Tabela2[[#This Row],[Coluna4]]</f>
        <v>02/12/2025</v>
      </c>
      <c r="W1297" s="2" t="str">
        <f>Tabela2[[#This Row],[Coluna6]]</f>
        <v>02/12/2025</v>
      </c>
    </row>
    <row r="1298" spans="2:23" x14ac:dyDescent="0.2">
      <c r="B1298" t="s">
        <v>18</v>
      </c>
      <c r="C1298" t="s">
        <v>125</v>
      </c>
      <c r="D1298" t="s">
        <v>13</v>
      </c>
      <c r="E1298" s="8" t="s">
        <v>282</v>
      </c>
      <c r="F1298" t="s">
        <v>64</v>
      </c>
      <c r="G1298" s="8" t="s">
        <v>282</v>
      </c>
      <c r="H1298" t="s">
        <v>693</v>
      </c>
      <c r="I1298" t="e">
        <f>VLOOKUP(Tabela2[[#This Row],[Coluna7]],[1]!Tabela1[#All],2,0)</f>
        <v>#REF!</v>
      </c>
      <c r="J1298" t="s">
        <v>696</v>
      </c>
      <c r="L1298">
        <v>3.45</v>
      </c>
      <c r="M1298" t="s">
        <v>116</v>
      </c>
      <c r="N1298" t="s">
        <v>117</v>
      </c>
      <c r="Q1298" s="10" t="str">
        <f>Tabela2[[#This Row],[Coluna5]]</f>
        <v>12/2025</v>
      </c>
      <c r="R1298" s="10" t="str">
        <f>IF(Tabela2[[#This Row],[Coluna9]]&gt;0,"Entrada","Saída")</f>
        <v>Saída</v>
      </c>
      <c r="S1298" s="10" t="str">
        <f>Tabela2[[#This Row],[Coluna8]]</f>
        <v>EFI</v>
      </c>
      <c r="T1298" s="10" t="e">
        <f>Tabela2[[#This Row],[Coluna72]]</f>
        <v>#REF!</v>
      </c>
      <c r="U1298" s="10">
        <f>SUM(Tabela2[[#This Row],[Coluna9]],Tabela2[[#This Row],[Coluna10]])</f>
        <v>3.45</v>
      </c>
      <c r="V1298" s="2" t="str">
        <f>Tabela2[[#This Row],[Coluna4]]</f>
        <v>02/12/2025</v>
      </c>
      <c r="W1298" s="2" t="str">
        <f>Tabela2[[#This Row],[Coluna6]]</f>
        <v>02/12/2025</v>
      </c>
    </row>
    <row r="1299" spans="2:23" x14ac:dyDescent="0.2">
      <c r="B1299" t="s">
        <v>18</v>
      </c>
      <c r="C1299" t="s">
        <v>125</v>
      </c>
      <c r="D1299" t="s">
        <v>13</v>
      </c>
      <c r="E1299" s="8" t="s">
        <v>66</v>
      </c>
      <c r="F1299" t="s">
        <v>64</v>
      </c>
      <c r="G1299" s="8" t="s">
        <v>66</v>
      </c>
      <c r="H1299" t="s">
        <v>693</v>
      </c>
      <c r="I1299" t="e">
        <f>VLOOKUP(Tabela2[[#This Row],[Coluna7]],[1]!Tabela1[#All],2,0)</f>
        <v>#REF!</v>
      </c>
      <c r="J1299" t="s">
        <v>696</v>
      </c>
      <c r="L1299">
        <v>3.45</v>
      </c>
      <c r="N1299" t="s">
        <v>132</v>
      </c>
      <c r="Q1299" s="10" t="str">
        <f>Tabela2[[#This Row],[Coluna5]]</f>
        <v>12/2025</v>
      </c>
      <c r="R1299" s="10" t="str">
        <f>IF(Tabela2[[#This Row],[Coluna9]]&gt;0,"Entrada","Saída")</f>
        <v>Saída</v>
      </c>
      <c r="S1299" s="10" t="str">
        <f>Tabela2[[#This Row],[Coluna8]]</f>
        <v>EFI</v>
      </c>
      <c r="T1299" s="10" t="e">
        <f>Tabela2[[#This Row],[Coluna72]]</f>
        <v>#REF!</v>
      </c>
      <c r="U1299" s="10">
        <f>SUM(Tabela2[[#This Row],[Coluna9]],Tabela2[[#This Row],[Coluna10]])</f>
        <v>3.45</v>
      </c>
      <c r="V1299" s="2" t="str">
        <f>Tabela2[[#This Row],[Coluna4]]</f>
        <v>04/12/2025</v>
      </c>
      <c r="W1299" s="2" t="str">
        <f>Tabela2[[#This Row],[Coluna6]]</f>
        <v>04/12/2025</v>
      </c>
    </row>
    <row r="1300" spans="2:23" x14ac:dyDescent="0.2">
      <c r="B1300" t="s">
        <v>215</v>
      </c>
      <c r="C1300" t="s">
        <v>222</v>
      </c>
      <c r="D1300" t="s">
        <v>13</v>
      </c>
      <c r="E1300" s="8" t="s">
        <v>289</v>
      </c>
      <c r="F1300" t="s">
        <v>64</v>
      </c>
      <c r="G1300" s="8" t="s">
        <v>289</v>
      </c>
      <c r="H1300" t="s">
        <v>693</v>
      </c>
      <c r="I1300" t="e">
        <f>VLOOKUP(Tabela2[[#This Row],[Coluna7]],[1]!Tabela1[#All],2,0)</f>
        <v>#REF!</v>
      </c>
      <c r="J1300" t="s">
        <v>705</v>
      </c>
      <c r="L1300">
        <v>0.99</v>
      </c>
      <c r="M1300" t="s">
        <v>224</v>
      </c>
      <c r="N1300" t="s">
        <v>225</v>
      </c>
      <c r="Q1300" s="10" t="str">
        <f>Tabela2[[#This Row],[Coluna5]]</f>
        <v>12/2025</v>
      </c>
      <c r="R1300" s="10" t="str">
        <f>IF(Tabela2[[#This Row],[Coluna9]]&gt;0,"Entrada","Saída")</f>
        <v>Saída</v>
      </c>
      <c r="S1300" s="10" t="str">
        <f>Tabela2[[#This Row],[Coluna8]]</f>
        <v>(TAXA DO ASAAS) 2/15 HONORARIOS INICIAIS</v>
      </c>
      <c r="T1300" s="10" t="e">
        <f>Tabela2[[#This Row],[Coluna72]]</f>
        <v>#REF!</v>
      </c>
      <c r="U1300" s="10">
        <f>SUM(Tabela2[[#This Row],[Coluna9]],Tabela2[[#This Row],[Coluna10]])</f>
        <v>0.99</v>
      </c>
      <c r="V1300" s="2" t="str">
        <f>Tabela2[[#This Row],[Coluna4]]</f>
        <v>05/12/2025</v>
      </c>
      <c r="W1300" s="2" t="str">
        <f>Tabela2[[#This Row],[Coluna6]]</f>
        <v>05/12/2025</v>
      </c>
    </row>
    <row r="1301" spans="2:23" x14ac:dyDescent="0.2">
      <c r="B1301" t="s">
        <v>18</v>
      </c>
      <c r="C1301" t="s">
        <v>125</v>
      </c>
      <c r="D1301" t="s">
        <v>13</v>
      </c>
      <c r="E1301" s="8" t="s">
        <v>289</v>
      </c>
      <c r="F1301" t="s">
        <v>64</v>
      </c>
      <c r="G1301" s="8" t="s">
        <v>289</v>
      </c>
      <c r="H1301" t="s">
        <v>693</v>
      </c>
      <c r="I1301" t="e">
        <f>VLOOKUP(Tabela2[[#This Row],[Coluna7]],[1]!Tabela1[#All],2,0)</f>
        <v>#REF!</v>
      </c>
      <c r="J1301" t="s">
        <v>696</v>
      </c>
      <c r="L1301">
        <v>3.45</v>
      </c>
      <c r="M1301" t="s">
        <v>138</v>
      </c>
      <c r="N1301" t="s">
        <v>139</v>
      </c>
      <c r="Q1301" s="10" t="str">
        <f>Tabela2[[#This Row],[Coluna5]]</f>
        <v>12/2025</v>
      </c>
      <c r="R1301" s="10" t="str">
        <f>IF(Tabela2[[#This Row],[Coluna9]]&gt;0,"Entrada","Saída")</f>
        <v>Saída</v>
      </c>
      <c r="S1301" s="10" t="str">
        <f>Tabela2[[#This Row],[Coluna8]]</f>
        <v>EFI</v>
      </c>
      <c r="T1301" s="10" t="e">
        <f>Tabela2[[#This Row],[Coluna72]]</f>
        <v>#REF!</v>
      </c>
      <c r="U1301" s="10">
        <f>SUM(Tabela2[[#This Row],[Coluna9]],Tabela2[[#This Row],[Coluna10]])</f>
        <v>3.45</v>
      </c>
      <c r="V1301" s="2" t="str">
        <f>Tabela2[[#This Row],[Coluna4]]</f>
        <v>05/12/2025</v>
      </c>
      <c r="W1301" s="2" t="str">
        <f>Tabela2[[#This Row],[Coluna6]]</f>
        <v>05/12/2025</v>
      </c>
    </row>
    <row r="1302" spans="2:23" x14ac:dyDescent="0.2">
      <c r="B1302" t="s">
        <v>18</v>
      </c>
      <c r="C1302" t="s">
        <v>125</v>
      </c>
      <c r="D1302" t="s">
        <v>13</v>
      </c>
      <c r="E1302" s="8" t="s">
        <v>289</v>
      </c>
      <c r="F1302" t="s">
        <v>64</v>
      </c>
      <c r="G1302" s="8" t="s">
        <v>289</v>
      </c>
      <c r="H1302" t="s">
        <v>693</v>
      </c>
      <c r="I1302" t="e">
        <f>VLOOKUP(Tabela2[[#This Row],[Coluna7]],[1]!Tabela1[#All],2,0)</f>
        <v>#REF!</v>
      </c>
      <c r="J1302" t="s">
        <v>696</v>
      </c>
      <c r="L1302">
        <v>3.45</v>
      </c>
      <c r="M1302" t="s">
        <v>123</v>
      </c>
      <c r="N1302" t="s">
        <v>124</v>
      </c>
      <c r="Q1302" s="10" t="str">
        <f>Tabela2[[#This Row],[Coluna5]]</f>
        <v>12/2025</v>
      </c>
      <c r="R1302" s="10" t="str">
        <f>IF(Tabela2[[#This Row],[Coluna9]]&gt;0,"Entrada","Saída")</f>
        <v>Saída</v>
      </c>
      <c r="S1302" s="10" t="str">
        <f>Tabela2[[#This Row],[Coluna8]]</f>
        <v>EFI</v>
      </c>
      <c r="T1302" s="10" t="e">
        <f>Tabela2[[#This Row],[Coluna72]]</f>
        <v>#REF!</v>
      </c>
      <c r="U1302" s="10">
        <f>SUM(Tabela2[[#This Row],[Coluna9]],Tabela2[[#This Row],[Coluna10]])</f>
        <v>3.45</v>
      </c>
      <c r="V1302" s="2" t="str">
        <f>Tabela2[[#This Row],[Coluna4]]</f>
        <v>05/12/2025</v>
      </c>
      <c r="W1302" s="2" t="str">
        <f>Tabela2[[#This Row],[Coluna6]]</f>
        <v>05/12/2025</v>
      </c>
    </row>
    <row r="1303" spans="2:23" x14ac:dyDescent="0.2">
      <c r="B1303" t="s">
        <v>18</v>
      </c>
      <c r="C1303" t="s">
        <v>110</v>
      </c>
      <c r="D1303" t="s">
        <v>13</v>
      </c>
      <c r="E1303" s="8" t="s">
        <v>68</v>
      </c>
      <c r="F1303" t="s">
        <v>64</v>
      </c>
      <c r="G1303" s="8" t="s">
        <v>68</v>
      </c>
      <c r="H1303" t="s">
        <v>693</v>
      </c>
      <c r="I1303" t="e">
        <f>VLOOKUP(Tabela2[[#This Row],[Coluna7]],[1]!Tabela1[#All],2,0)</f>
        <v>#REF!</v>
      </c>
      <c r="J1303" t="s">
        <v>696</v>
      </c>
      <c r="L1303">
        <v>3.45</v>
      </c>
      <c r="M1303" t="s">
        <v>706</v>
      </c>
      <c r="N1303" t="s">
        <v>153</v>
      </c>
      <c r="Q1303" s="10" t="str">
        <f>Tabela2[[#This Row],[Coluna5]]</f>
        <v>12/2025</v>
      </c>
      <c r="R1303" s="10" t="str">
        <f>IF(Tabela2[[#This Row],[Coluna9]]&gt;0,"Entrada","Saída")</f>
        <v>Saída</v>
      </c>
      <c r="S1303" s="10" t="str">
        <f>Tabela2[[#This Row],[Coluna8]]</f>
        <v>EFI</v>
      </c>
      <c r="T1303" s="10" t="e">
        <f>Tabela2[[#This Row],[Coluna72]]</f>
        <v>#REF!</v>
      </c>
      <c r="U1303" s="10">
        <f>SUM(Tabela2[[#This Row],[Coluna9]],Tabela2[[#This Row],[Coluna10]])</f>
        <v>3.45</v>
      </c>
      <c r="V1303" s="2" t="str">
        <f>Tabela2[[#This Row],[Coluna4]]</f>
        <v>08/12/2025</v>
      </c>
      <c r="W1303" s="2" t="str">
        <f>Tabela2[[#This Row],[Coluna6]]</f>
        <v>08/12/2025</v>
      </c>
    </row>
    <row r="1304" spans="2:23" x14ac:dyDescent="0.2">
      <c r="B1304" t="s">
        <v>18</v>
      </c>
      <c r="C1304" t="s">
        <v>200</v>
      </c>
      <c r="D1304" t="s">
        <v>13</v>
      </c>
      <c r="E1304" s="8" t="s">
        <v>68</v>
      </c>
      <c r="F1304" t="s">
        <v>64</v>
      </c>
      <c r="G1304" s="8" t="s">
        <v>68</v>
      </c>
      <c r="H1304" t="s">
        <v>693</v>
      </c>
      <c r="I1304" t="e">
        <f>VLOOKUP(Tabela2[[#This Row],[Coluna7]],[1]!Tabela1[#All],2,0)</f>
        <v>#REF!</v>
      </c>
      <c r="J1304" t="s">
        <v>696</v>
      </c>
      <c r="L1304">
        <v>3.45</v>
      </c>
      <c r="N1304" t="s">
        <v>199</v>
      </c>
      <c r="Q1304" s="10" t="str">
        <f>Tabela2[[#This Row],[Coluna5]]</f>
        <v>12/2025</v>
      </c>
      <c r="R1304" s="10" t="str">
        <f>IF(Tabela2[[#This Row],[Coluna9]]&gt;0,"Entrada","Saída")</f>
        <v>Saída</v>
      </c>
      <c r="S1304" s="10" t="str">
        <f>Tabela2[[#This Row],[Coluna8]]</f>
        <v>EFI</v>
      </c>
      <c r="T1304" s="10" t="e">
        <f>Tabela2[[#This Row],[Coluna72]]</f>
        <v>#REF!</v>
      </c>
      <c r="U1304" s="10">
        <f>SUM(Tabela2[[#This Row],[Coluna9]],Tabela2[[#This Row],[Coluna10]])</f>
        <v>3.45</v>
      </c>
      <c r="V1304" s="2" t="str">
        <f>Tabela2[[#This Row],[Coluna4]]</f>
        <v>08/12/2025</v>
      </c>
      <c r="W1304" s="2" t="str">
        <f>Tabela2[[#This Row],[Coluna6]]</f>
        <v>08/12/2025</v>
      </c>
    </row>
    <row r="1305" spans="2:23" x14ac:dyDescent="0.2">
      <c r="B1305" t="s">
        <v>18</v>
      </c>
      <c r="C1305" t="s">
        <v>125</v>
      </c>
      <c r="D1305" t="s">
        <v>13</v>
      </c>
      <c r="E1305" s="8" t="s">
        <v>68</v>
      </c>
      <c r="F1305" t="s">
        <v>64</v>
      </c>
      <c r="G1305" s="8" t="s">
        <v>68</v>
      </c>
      <c r="H1305" t="s">
        <v>693</v>
      </c>
      <c r="I1305" t="e">
        <f>VLOOKUP(Tabela2[[#This Row],[Coluna7]],[1]!Tabela1[#All],2,0)</f>
        <v>#REF!</v>
      </c>
      <c r="J1305" t="s">
        <v>696</v>
      </c>
      <c r="L1305">
        <v>3.45</v>
      </c>
      <c r="N1305" t="s">
        <v>154</v>
      </c>
      <c r="Q1305" s="10" t="str">
        <f>Tabela2[[#This Row],[Coluna5]]</f>
        <v>12/2025</v>
      </c>
      <c r="R1305" s="10" t="str">
        <f>IF(Tabela2[[#This Row],[Coluna9]]&gt;0,"Entrada","Saída")</f>
        <v>Saída</v>
      </c>
      <c r="S1305" s="10" t="str">
        <f>Tabela2[[#This Row],[Coluna8]]</f>
        <v>EFI</v>
      </c>
      <c r="T1305" s="10" t="e">
        <f>Tabela2[[#This Row],[Coluna72]]</f>
        <v>#REF!</v>
      </c>
      <c r="U1305" s="10">
        <f>SUM(Tabela2[[#This Row],[Coluna9]],Tabela2[[#This Row],[Coluna10]])</f>
        <v>3.45</v>
      </c>
      <c r="V1305" s="2" t="str">
        <f>Tabela2[[#This Row],[Coluna4]]</f>
        <v>08/12/2025</v>
      </c>
      <c r="W1305" s="2" t="str">
        <f>Tabela2[[#This Row],[Coluna6]]</f>
        <v>08/12/2025</v>
      </c>
    </row>
    <row r="1306" spans="2:23" x14ac:dyDescent="0.2">
      <c r="B1306" t="s">
        <v>18</v>
      </c>
      <c r="C1306" t="s">
        <v>125</v>
      </c>
      <c r="D1306" t="s">
        <v>13</v>
      </c>
      <c r="E1306" s="8" t="s">
        <v>292</v>
      </c>
      <c r="F1306" t="s">
        <v>64</v>
      </c>
      <c r="G1306" s="8" t="s">
        <v>292</v>
      </c>
      <c r="H1306" t="s">
        <v>693</v>
      </c>
      <c r="I1306" t="e">
        <f>VLOOKUP(Tabela2[[#This Row],[Coluna7]],[1]!Tabela1[#All],2,0)</f>
        <v>#REF!</v>
      </c>
      <c r="L1306">
        <v>3.45</v>
      </c>
      <c r="N1306" t="s">
        <v>134</v>
      </c>
      <c r="Q1306" s="10" t="str">
        <f>Tabela2[[#This Row],[Coluna5]]</f>
        <v>12/2025</v>
      </c>
      <c r="R1306" s="10" t="str">
        <f>IF(Tabela2[[#This Row],[Coluna9]]&gt;0,"Entrada","Saída")</f>
        <v>Saída</v>
      </c>
      <c r="S1306" s="10">
        <f>Tabela2[[#This Row],[Coluna8]]</f>
        <v>0</v>
      </c>
      <c r="T1306" s="10" t="e">
        <f>Tabela2[[#This Row],[Coluna72]]</f>
        <v>#REF!</v>
      </c>
      <c r="U1306" s="10">
        <f>SUM(Tabela2[[#This Row],[Coluna9]],Tabela2[[#This Row],[Coluna10]])</f>
        <v>3.45</v>
      </c>
      <c r="V1306" s="2" t="str">
        <f>Tabela2[[#This Row],[Coluna4]]</f>
        <v>09/12/2025</v>
      </c>
      <c r="W1306" s="2" t="str">
        <f>Tabela2[[#This Row],[Coluna6]]</f>
        <v>09/12/2025</v>
      </c>
    </row>
    <row r="1307" spans="2:23" x14ac:dyDescent="0.2">
      <c r="B1307" t="s">
        <v>18</v>
      </c>
      <c r="C1307" t="s">
        <v>125</v>
      </c>
      <c r="D1307" t="s">
        <v>13</v>
      </c>
      <c r="E1307" s="8" t="s">
        <v>73</v>
      </c>
      <c r="F1307" t="s">
        <v>64</v>
      </c>
      <c r="G1307" s="8" t="s">
        <v>73</v>
      </c>
      <c r="H1307" t="s">
        <v>693</v>
      </c>
      <c r="I1307" t="e">
        <f>VLOOKUP(Tabela2[[#This Row],[Coluna7]],[1]!Tabela1[#All],2,0)</f>
        <v>#REF!</v>
      </c>
      <c r="J1307" t="s">
        <v>696</v>
      </c>
      <c r="L1307">
        <v>3.45</v>
      </c>
      <c r="M1307" t="s">
        <v>100</v>
      </c>
      <c r="N1307" t="s">
        <v>101</v>
      </c>
      <c r="Q1307" s="10" t="str">
        <f>Tabela2[[#This Row],[Coluna5]]</f>
        <v>12/2025</v>
      </c>
      <c r="R1307" s="10" t="str">
        <f>IF(Tabela2[[#This Row],[Coluna9]]&gt;0,"Entrada","Saída")</f>
        <v>Saída</v>
      </c>
      <c r="S1307" s="10" t="str">
        <f>Tabela2[[#This Row],[Coluna8]]</f>
        <v>EFI</v>
      </c>
      <c r="T1307" s="10" t="e">
        <f>Tabela2[[#This Row],[Coluna72]]</f>
        <v>#REF!</v>
      </c>
      <c r="U1307" s="10">
        <f>SUM(Tabela2[[#This Row],[Coluna9]],Tabela2[[#This Row],[Coluna10]])</f>
        <v>3.45</v>
      </c>
      <c r="V1307" s="2" t="str">
        <f>Tabela2[[#This Row],[Coluna4]]</f>
        <v>11/12/2025</v>
      </c>
      <c r="W1307" s="2" t="str">
        <f>Tabela2[[#This Row],[Coluna6]]</f>
        <v>11/12/2025</v>
      </c>
    </row>
    <row r="1308" spans="2:23" x14ac:dyDescent="0.2">
      <c r="B1308" t="s">
        <v>27</v>
      </c>
      <c r="C1308" t="s">
        <v>95</v>
      </c>
      <c r="D1308" t="s">
        <v>13</v>
      </c>
      <c r="E1308" s="8" t="s">
        <v>76</v>
      </c>
      <c r="F1308" t="s">
        <v>64</v>
      </c>
      <c r="G1308" s="8" t="s">
        <v>76</v>
      </c>
      <c r="H1308" t="s">
        <v>693</v>
      </c>
      <c r="I1308" t="e">
        <f>VLOOKUP(Tabela2[[#This Row],[Coluna7]],[1]!Tabela1[#All],2,0)</f>
        <v>#REF!</v>
      </c>
      <c r="J1308" t="s">
        <v>694</v>
      </c>
      <c r="L1308">
        <v>168.5</v>
      </c>
      <c r="Q1308" s="10" t="str">
        <f>Tabela2[[#This Row],[Coluna5]]</f>
        <v>12/2025</v>
      </c>
      <c r="R1308" s="10" t="str">
        <f>IF(Tabela2[[#This Row],[Coluna9]]&gt;0,"Entrada","Saída")</f>
        <v>Saída</v>
      </c>
      <c r="S1308" s="10" t="str">
        <f>Tabela2[[#This Row],[Coluna8]]</f>
        <v>CESTA PJ</v>
      </c>
      <c r="T1308" s="10" t="e">
        <f>Tabela2[[#This Row],[Coluna72]]</f>
        <v>#REF!</v>
      </c>
      <c r="U1308" s="10">
        <f>SUM(Tabela2[[#This Row],[Coluna9]],Tabela2[[#This Row],[Coluna10]])</f>
        <v>168.5</v>
      </c>
      <c r="V1308" s="2" t="str">
        <f>Tabela2[[#This Row],[Coluna4]]</f>
        <v>15/12/2025</v>
      </c>
      <c r="W1308" s="2" t="str">
        <f>Tabela2[[#This Row],[Coluna6]]</f>
        <v>15/12/2025</v>
      </c>
    </row>
    <row r="1309" spans="2:23" x14ac:dyDescent="0.2">
      <c r="B1309" t="s">
        <v>215</v>
      </c>
      <c r="C1309" t="s">
        <v>222</v>
      </c>
      <c r="D1309" t="s">
        <v>13</v>
      </c>
      <c r="E1309" s="8" t="s">
        <v>76</v>
      </c>
      <c r="F1309" t="s">
        <v>64</v>
      </c>
      <c r="G1309" s="8" t="s">
        <v>76</v>
      </c>
      <c r="H1309" t="s">
        <v>693</v>
      </c>
      <c r="I1309" t="e">
        <f>VLOOKUP(Tabela2[[#This Row],[Coluna7]],[1]!Tabela1[#All],2,0)</f>
        <v>#REF!</v>
      </c>
      <c r="J1309" t="s">
        <v>703</v>
      </c>
      <c r="L1309">
        <v>0.99</v>
      </c>
      <c r="M1309" t="s">
        <v>313</v>
      </c>
      <c r="N1309" t="s">
        <v>314</v>
      </c>
      <c r="Q1309" s="10" t="str">
        <f>Tabela2[[#This Row],[Coluna5]]</f>
        <v>12/2025</v>
      </c>
      <c r="R1309" s="10" t="str">
        <f>IF(Tabela2[[#This Row],[Coluna9]]&gt;0,"Entrada","Saída")</f>
        <v>Saída</v>
      </c>
      <c r="S1309" s="10" t="str">
        <f>Tabela2[[#This Row],[Coluna8]]</f>
        <v xml:space="preserve">(TAXA DO ASAAS) </v>
      </c>
      <c r="T1309" s="10" t="e">
        <f>Tabela2[[#This Row],[Coluna72]]</f>
        <v>#REF!</v>
      </c>
      <c r="U1309" s="10">
        <f>SUM(Tabela2[[#This Row],[Coluna9]],Tabela2[[#This Row],[Coluna10]])</f>
        <v>0.99</v>
      </c>
      <c r="V1309" s="2" t="str">
        <f>Tabela2[[#This Row],[Coluna4]]</f>
        <v>15/12/2025</v>
      </c>
      <c r="W1309" s="2" t="str">
        <f>Tabela2[[#This Row],[Coluna6]]</f>
        <v>15/12/2025</v>
      </c>
    </row>
    <row r="1310" spans="2:23" x14ac:dyDescent="0.2">
      <c r="B1310" t="s">
        <v>34</v>
      </c>
      <c r="C1310" t="s">
        <v>95</v>
      </c>
      <c r="D1310" t="s">
        <v>13</v>
      </c>
      <c r="E1310" s="8" t="s">
        <v>510</v>
      </c>
      <c r="F1310" t="s">
        <v>64</v>
      </c>
      <c r="G1310" s="8" t="s">
        <v>510</v>
      </c>
      <c r="H1310" t="s">
        <v>693</v>
      </c>
      <c r="I1310" t="e">
        <f>VLOOKUP(Tabela2[[#This Row],[Coluna7]],[1]!Tabela1[#All],2,0)</f>
        <v>#REF!</v>
      </c>
      <c r="J1310" t="s">
        <v>707</v>
      </c>
      <c r="L1310">
        <v>20</v>
      </c>
      <c r="Q1310" s="10" t="str">
        <f>Tabela2[[#This Row],[Coluna5]]</f>
        <v>12/2025</v>
      </c>
      <c r="R1310" s="10" t="str">
        <f>IF(Tabela2[[#This Row],[Coluna9]]&gt;0,"Entrada","Saída")</f>
        <v>Saída</v>
      </c>
      <c r="S1310" s="10" t="str">
        <f>Tabela2[[#This Row],[Coluna8]]</f>
        <v>SEGURO CONTA</v>
      </c>
      <c r="T1310" s="10" t="e">
        <f>Tabela2[[#This Row],[Coluna72]]</f>
        <v>#REF!</v>
      </c>
      <c r="U1310" s="10">
        <f>SUM(Tabela2[[#This Row],[Coluna9]],Tabela2[[#This Row],[Coluna10]])</f>
        <v>20</v>
      </c>
      <c r="V1310" s="2" t="str">
        <f>Tabela2[[#This Row],[Coluna4]]</f>
        <v>21/12/2025</v>
      </c>
      <c r="W1310" s="2" t="str">
        <f>Tabela2[[#This Row],[Coluna6]]</f>
        <v>21/12/2025</v>
      </c>
    </row>
    <row r="1311" spans="2:23" x14ac:dyDescent="0.2">
      <c r="B1311" t="s">
        <v>18</v>
      </c>
      <c r="C1311" t="s">
        <v>200</v>
      </c>
      <c r="D1311" t="s">
        <v>13</v>
      </c>
      <c r="E1311" s="8" t="s">
        <v>325</v>
      </c>
      <c r="F1311" t="s">
        <v>64</v>
      </c>
      <c r="G1311" s="8" t="s">
        <v>325</v>
      </c>
      <c r="H1311" t="s">
        <v>693</v>
      </c>
      <c r="I1311" t="e">
        <f>VLOOKUP(Tabela2[[#This Row],[Coluna7]],[1]!Tabela1[#All],2,0)</f>
        <v>#REF!</v>
      </c>
      <c r="L1311">
        <v>3.45</v>
      </c>
      <c r="N1311" t="s">
        <v>207</v>
      </c>
      <c r="Q1311" s="10" t="str">
        <f>Tabela2[[#This Row],[Coluna5]]</f>
        <v>12/2025</v>
      </c>
      <c r="R1311" s="10" t="str">
        <f>IF(Tabela2[[#This Row],[Coluna9]]&gt;0,"Entrada","Saída")</f>
        <v>Saída</v>
      </c>
      <c r="S1311" s="10">
        <f>Tabela2[[#This Row],[Coluna8]]</f>
        <v>0</v>
      </c>
      <c r="T1311" s="10" t="e">
        <f>Tabela2[[#This Row],[Coluna72]]</f>
        <v>#REF!</v>
      </c>
      <c r="U1311" s="10">
        <f>SUM(Tabela2[[#This Row],[Coluna9]],Tabela2[[#This Row],[Coluna10]])</f>
        <v>3.45</v>
      </c>
      <c r="V1311" s="2" t="str">
        <f>Tabela2[[#This Row],[Coluna4]]</f>
        <v>22/12/2025</v>
      </c>
      <c r="W1311" s="2" t="str">
        <f>Tabela2[[#This Row],[Coluna6]]</f>
        <v>22/12/2025</v>
      </c>
    </row>
    <row r="1312" spans="2:23" x14ac:dyDescent="0.2">
      <c r="B1312" t="s">
        <v>18</v>
      </c>
      <c r="C1312" t="s">
        <v>324</v>
      </c>
      <c r="D1312" t="s">
        <v>13</v>
      </c>
      <c r="E1312" s="8" t="s">
        <v>326</v>
      </c>
      <c r="F1312" t="s">
        <v>64</v>
      </c>
      <c r="G1312" s="8" t="s">
        <v>326</v>
      </c>
      <c r="H1312" t="s">
        <v>693</v>
      </c>
      <c r="I1312" t="e">
        <f>VLOOKUP(Tabela2[[#This Row],[Coluna7]],[1]!Tabela1[#All],2,0)</f>
        <v>#REF!</v>
      </c>
      <c r="L1312">
        <v>3.45</v>
      </c>
      <c r="M1312" t="s">
        <v>192</v>
      </c>
      <c r="N1312" t="s">
        <v>193</v>
      </c>
      <c r="Q1312" s="10" t="str">
        <f>Tabela2[[#This Row],[Coluna5]]</f>
        <v>12/2025</v>
      </c>
      <c r="R1312" s="10" t="str">
        <f>IF(Tabela2[[#This Row],[Coluna9]]&gt;0,"Entrada","Saída")</f>
        <v>Saída</v>
      </c>
      <c r="S1312" s="10">
        <f>Tabela2[[#This Row],[Coluna8]]</f>
        <v>0</v>
      </c>
      <c r="T1312" s="10" t="e">
        <f>Tabela2[[#This Row],[Coluna72]]</f>
        <v>#REF!</v>
      </c>
      <c r="U1312" s="10">
        <f>SUM(Tabela2[[#This Row],[Coluna9]],Tabela2[[#This Row],[Coluna10]])</f>
        <v>3.45</v>
      </c>
      <c r="V1312" s="2" t="str">
        <f>Tabela2[[#This Row],[Coluna4]]</f>
        <v>26/12/2025</v>
      </c>
      <c r="W1312" s="2" t="str">
        <f>Tabela2[[#This Row],[Coluna6]]</f>
        <v>26/12/2025</v>
      </c>
    </row>
    <row r="1313" spans="2:23" x14ac:dyDescent="0.2">
      <c r="B1313" t="s">
        <v>12</v>
      </c>
      <c r="C1313" t="s">
        <v>95</v>
      </c>
      <c r="D1313" t="s">
        <v>13</v>
      </c>
      <c r="E1313" s="8" t="s">
        <v>326</v>
      </c>
      <c r="F1313" t="s">
        <v>64</v>
      </c>
      <c r="G1313" s="8" t="s">
        <v>326</v>
      </c>
      <c r="H1313" t="s">
        <v>693</v>
      </c>
      <c r="I1313" t="e">
        <f>VLOOKUP(Tabela2[[#This Row],[Coluna7]],[1]!Tabela1[#All],2,0)</f>
        <v>#REF!</v>
      </c>
      <c r="J1313" t="s">
        <v>708</v>
      </c>
      <c r="L1313">
        <v>75</v>
      </c>
      <c r="Q1313" s="10" t="str">
        <f>Tabela2[[#This Row],[Coluna5]]</f>
        <v>12/2025</v>
      </c>
      <c r="R1313" s="10" t="str">
        <f>IF(Tabela2[[#This Row],[Coluna9]]&gt;0,"Entrada","Saída")</f>
        <v>Saída</v>
      </c>
      <c r="S1313" s="10" t="str">
        <f>Tabela2[[#This Row],[Coluna8]]</f>
        <v>CESTA SERVIÇO</v>
      </c>
      <c r="T1313" s="10" t="e">
        <f>Tabela2[[#This Row],[Coluna72]]</f>
        <v>#REF!</v>
      </c>
      <c r="U1313" s="10">
        <f>SUM(Tabela2[[#This Row],[Coluna9]],Tabela2[[#This Row],[Coluna10]])</f>
        <v>75</v>
      </c>
      <c r="V1313" s="2" t="str">
        <f>Tabela2[[#This Row],[Coluna4]]</f>
        <v>26/12/2025</v>
      </c>
      <c r="W1313" s="2" t="str">
        <f>Tabela2[[#This Row],[Coluna6]]</f>
        <v>26/12/2025</v>
      </c>
    </row>
    <row r="1314" spans="2:23" x14ac:dyDescent="0.2">
      <c r="B1314" t="s">
        <v>18</v>
      </c>
      <c r="C1314" t="s">
        <v>125</v>
      </c>
      <c r="D1314" t="s">
        <v>13</v>
      </c>
      <c r="E1314" s="8" t="s">
        <v>331</v>
      </c>
      <c r="F1314" t="s">
        <v>64</v>
      </c>
      <c r="G1314" s="8" t="s">
        <v>331</v>
      </c>
      <c r="H1314" t="s">
        <v>693</v>
      </c>
      <c r="I1314" t="e">
        <f>VLOOKUP(Tabela2[[#This Row],[Coluna7]],[1]!Tabela1[#All],2,0)</f>
        <v>#REF!</v>
      </c>
      <c r="J1314" t="s">
        <v>709</v>
      </c>
      <c r="L1314">
        <v>3.45</v>
      </c>
      <c r="M1314" t="s">
        <v>204</v>
      </c>
      <c r="N1314" t="s">
        <v>205</v>
      </c>
      <c r="Q1314" s="10" t="str">
        <f>Tabela2[[#This Row],[Coluna5]]</f>
        <v>12/2025</v>
      </c>
      <c r="R1314" s="10" t="str">
        <f>IF(Tabela2[[#This Row],[Coluna9]]&gt;0,"Entrada","Saída")</f>
        <v>Saída</v>
      </c>
      <c r="S1314" s="10" t="str">
        <f>Tabela2[[#This Row],[Coluna8]]</f>
        <v>1/18 TARIFA EFÍ</v>
      </c>
      <c r="T1314" s="10" t="e">
        <f>Tabela2[[#This Row],[Coluna72]]</f>
        <v>#REF!</v>
      </c>
      <c r="U1314" s="10">
        <f>SUM(Tabela2[[#This Row],[Coluna9]],Tabela2[[#This Row],[Coluna10]])</f>
        <v>3.45</v>
      </c>
      <c r="V1314" s="2" t="str">
        <f>Tabela2[[#This Row],[Coluna4]]</f>
        <v>29/12/2025</v>
      </c>
      <c r="W1314" s="2" t="str">
        <f>Tabela2[[#This Row],[Coluna6]]</f>
        <v>29/12/2025</v>
      </c>
    </row>
    <row r="1315" spans="2:23" x14ac:dyDescent="0.2">
      <c r="B1315" t="s">
        <v>18</v>
      </c>
      <c r="C1315" t="s">
        <v>125</v>
      </c>
      <c r="D1315" t="s">
        <v>13</v>
      </c>
      <c r="E1315" s="8" t="s">
        <v>334</v>
      </c>
      <c r="F1315" t="s">
        <v>64</v>
      </c>
      <c r="G1315" s="8" t="s">
        <v>334</v>
      </c>
      <c r="H1315" t="s">
        <v>693</v>
      </c>
      <c r="I1315" t="e">
        <f>VLOOKUP(Tabela2[[#This Row],[Coluna7]],[1]!Tabela1[#All],2,0)</f>
        <v>#REF!</v>
      </c>
      <c r="J1315" t="s">
        <v>710</v>
      </c>
      <c r="L1315">
        <v>3.45</v>
      </c>
      <c r="N1315" t="s">
        <v>103</v>
      </c>
      <c r="Q1315" s="10" t="str">
        <f>Tabela2[[#This Row],[Coluna5]]</f>
        <v>12/2025</v>
      </c>
      <c r="R1315" s="10" t="str">
        <f>IF(Tabela2[[#This Row],[Coluna9]]&gt;0,"Entrada","Saída")</f>
        <v>Saída</v>
      </c>
      <c r="S1315" s="10" t="str">
        <f>Tabela2[[#This Row],[Coluna8]]</f>
        <v>TARIFA EFI</v>
      </c>
      <c r="T1315" s="10" t="e">
        <f>Tabela2[[#This Row],[Coluna72]]</f>
        <v>#REF!</v>
      </c>
      <c r="U1315" s="10">
        <f>SUM(Tabela2[[#This Row],[Coluna9]],Tabela2[[#This Row],[Coluna10]])</f>
        <v>3.45</v>
      </c>
      <c r="V1315" s="2" t="str">
        <f>Tabela2[[#This Row],[Coluna4]]</f>
        <v>30/12/2025</v>
      </c>
      <c r="W1315" s="2" t="str">
        <f>Tabela2[[#This Row],[Coluna6]]</f>
        <v>30/12/2025</v>
      </c>
    </row>
    <row r="1316" spans="2:23" x14ac:dyDescent="0.2">
      <c r="B1316" t="s">
        <v>18</v>
      </c>
      <c r="C1316" t="s">
        <v>125</v>
      </c>
      <c r="D1316" t="s">
        <v>13</v>
      </c>
      <c r="E1316" s="8" t="s">
        <v>339</v>
      </c>
      <c r="F1316" t="s">
        <v>84</v>
      </c>
      <c r="G1316" s="8" t="s">
        <v>331</v>
      </c>
      <c r="H1316" t="s">
        <v>693</v>
      </c>
      <c r="I1316" t="e">
        <f>VLOOKUP(Tabela2[[#This Row],[Coluna7]],[1]!Tabela1[#All],2,0)</f>
        <v>#REF!</v>
      </c>
      <c r="J1316" t="s">
        <v>711</v>
      </c>
      <c r="L1316">
        <v>3.45</v>
      </c>
      <c r="M1316" t="s">
        <v>116</v>
      </c>
      <c r="N1316" t="s">
        <v>117</v>
      </c>
      <c r="Q1316" s="10" t="str">
        <f>Tabela2[[#This Row],[Coluna5]]</f>
        <v>01/2026</v>
      </c>
      <c r="R1316" s="10" t="str">
        <f>IF(Tabela2[[#This Row],[Coluna9]]&gt;0,"Entrada","Saída")</f>
        <v>Saída</v>
      </c>
      <c r="S1316" s="10" t="str">
        <f>Tabela2[[#This Row],[Coluna8]]</f>
        <v>1/3 TARIFA EFÍ</v>
      </c>
      <c r="T1316" s="10" t="e">
        <f>Tabela2[[#This Row],[Coluna72]]</f>
        <v>#REF!</v>
      </c>
      <c r="U1316" s="10">
        <f>SUM(Tabela2[[#This Row],[Coluna9]],Tabela2[[#This Row],[Coluna10]])</f>
        <v>3.45</v>
      </c>
      <c r="V1316" s="2" t="str">
        <f>Tabela2[[#This Row],[Coluna4]]</f>
        <v>02/01/2026</v>
      </c>
      <c r="W1316" s="2" t="str">
        <f>Tabela2[[#This Row],[Coluna6]]</f>
        <v>29/12/2025</v>
      </c>
    </row>
    <row r="1317" spans="2:23" x14ac:dyDescent="0.2">
      <c r="B1317" t="s">
        <v>18</v>
      </c>
      <c r="C1317" t="s">
        <v>95</v>
      </c>
      <c r="D1317" t="s">
        <v>13</v>
      </c>
      <c r="E1317" s="8" t="s">
        <v>269</v>
      </c>
      <c r="F1317" t="s">
        <v>42</v>
      </c>
      <c r="G1317" s="8" t="s">
        <v>269</v>
      </c>
      <c r="H1317" t="s">
        <v>717</v>
      </c>
      <c r="I1317" t="e">
        <f>VLOOKUP(Tabela2[[#This Row],[Coluna7]],[1]!Tabela1[#All],2,0)</f>
        <v>#REF!</v>
      </c>
      <c r="J1317" t="s">
        <v>718</v>
      </c>
      <c r="L1317">
        <v>350</v>
      </c>
      <c r="Q1317" s="10" t="str">
        <f>Tabela2[[#This Row],[Coluna5]]</f>
        <v>11/2025</v>
      </c>
      <c r="R1317" s="10" t="str">
        <f>IF(Tabela2[[#This Row],[Coluna9]]&gt;0,"Entrada","Saída")</f>
        <v>Saída</v>
      </c>
      <c r="S1317" s="10" t="str">
        <f>Tabela2[[#This Row],[Coluna8]]</f>
        <v>DINHO - MAMANGUAPE</v>
      </c>
      <c r="T1317" s="10" t="e">
        <f>Tabela2[[#This Row],[Coluna72]]</f>
        <v>#REF!</v>
      </c>
      <c r="U1317" s="10">
        <f>SUM(Tabela2[[#This Row],[Coluna9]],Tabela2[[#This Row],[Coluna10]])</f>
        <v>350</v>
      </c>
      <c r="V1317" s="2" t="str">
        <f>Tabela2[[#This Row],[Coluna4]]</f>
        <v>28/11/2025</v>
      </c>
      <c r="W1317" s="2" t="str">
        <f>Tabela2[[#This Row],[Coluna6]]</f>
        <v>28/11/2025</v>
      </c>
    </row>
    <row r="1318" spans="2:23" x14ac:dyDescent="0.2">
      <c r="B1318" t="s">
        <v>18</v>
      </c>
      <c r="C1318" t="s">
        <v>95</v>
      </c>
      <c r="D1318" t="s">
        <v>13</v>
      </c>
      <c r="E1318" s="8" t="s">
        <v>282</v>
      </c>
      <c r="F1318" t="s">
        <v>64</v>
      </c>
      <c r="G1318" s="8" t="s">
        <v>282</v>
      </c>
      <c r="H1318" t="s">
        <v>719</v>
      </c>
      <c r="I1318" t="e">
        <f>VLOOKUP(Tabela2[[#This Row],[Coluna7]],[1]!Tabela1[#All],2,0)</f>
        <v>#REF!</v>
      </c>
      <c r="J1318" t="s">
        <v>720</v>
      </c>
      <c r="L1318">
        <v>1050</v>
      </c>
      <c r="Q1318" s="10" t="str">
        <f>Tabela2[[#This Row],[Coluna5]]</f>
        <v>12/2025</v>
      </c>
      <c r="R1318" s="10" t="str">
        <f>IF(Tabela2[[#This Row],[Coluna9]]&gt;0,"Entrada","Saída")</f>
        <v>Saída</v>
      </c>
      <c r="S1318" s="10" t="str">
        <f>Tabela2[[#This Row],[Coluna8]]</f>
        <v>GD BONÉS</v>
      </c>
      <c r="T1318" s="10" t="e">
        <f>Tabela2[[#This Row],[Coluna72]]</f>
        <v>#REF!</v>
      </c>
      <c r="U1318" s="10">
        <f>SUM(Tabela2[[#This Row],[Coluna9]],Tabela2[[#This Row],[Coluna10]])</f>
        <v>1050</v>
      </c>
      <c r="V1318" s="2" t="str">
        <f>Tabela2[[#This Row],[Coluna4]]</f>
        <v>02/12/2025</v>
      </c>
      <c r="W1318" s="2" t="str">
        <f>Tabela2[[#This Row],[Coluna6]]</f>
        <v>02/12/2025</v>
      </c>
    </row>
    <row r="1319" spans="2:23" x14ac:dyDescent="0.2">
      <c r="B1319" t="s">
        <v>18</v>
      </c>
      <c r="C1319" t="s">
        <v>95</v>
      </c>
      <c r="D1319" t="s">
        <v>13</v>
      </c>
      <c r="E1319" s="8" t="s">
        <v>69</v>
      </c>
      <c r="F1319" t="s">
        <v>64</v>
      </c>
      <c r="G1319" s="8" t="s">
        <v>292</v>
      </c>
      <c r="H1319" t="s">
        <v>719</v>
      </c>
      <c r="I1319" t="e">
        <f>VLOOKUP(Tabela2[[#This Row],[Coluna7]],[1]!Tabela1[#All],2,0)</f>
        <v>#REF!</v>
      </c>
      <c r="J1319" t="s">
        <v>721</v>
      </c>
      <c r="L1319">
        <v>75</v>
      </c>
      <c r="Q1319" s="10" t="str">
        <f>Tabela2[[#This Row],[Coluna5]]</f>
        <v>12/2025</v>
      </c>
      <c r="R1319" s="10" t="str">
        <f>IF(Tabela2[[#This Row],[Coluna9]]&gt;0,"Entrada","Saída")</f>
        <v>Saída</v>
      </c>
      <c r="S1319" s="10" t="str">
        <f>Tabela2[[#This Row],[Coluna8]]</f>
        <v>SACOS PARA WISKY (50%- VICTORIA INDUSTRIA E COMERCIO)</v>
      </c>
      <c r="T1319" s="10" t="e">
        <f>Tabela2[[#This Row],[Coluna72]]</f>
        <v>#REF!</v>
      </c>
      <c r="U1319" s="10">
        <f>SUM(Tabela2[[#This Row],[Coluna9]],Tabela2[[#This Row],[Coluna10]])</f>
        <v>75</v>
      </c>
      <c r="V1319" s="2" t="str">
        <f>Tabela2[[#This Row],[Coluna4]]</f>
        <v>10/12/2025</v>
      </c>
      <c r="W1319" s="2" t="str">
        <f>Tabela2[[#This Row],[Coluna6]]</f>
        <v>09/12/2025</v>
      </c>
    </row>
    <row r="1320" spans="2:23" x14ac:dyDescent="0.2">
      <c r="B1320" t="s">
        <v>18</v>
      </c>
      <c r="C1320" t="s">
        <v>95</v>
      </c>
      <c r="D1320" t="s">
        <v>13</v>
      </c>
      <c r="E1320" s="8" t="s">
        <v>78</v>
      </c>
      <c r="F1320" t="s">
        <v>64</v>
      </c>
      <c r="G1320" s="8" t="s">
        <v>78</v>
      </c>
      <c r="H1320" t="s">
        <v>719</v>
      </c>
      <c r="I1320" t="e">
        <f>VLOOKUP(Tabela2[[#This Row],[Coluna7]],[1]!Tabela1[#All],2,0)</f>
        <v>#REF!</v>
      </c>
      <c r="J1320" t="s">
        <v>722</v>
      </c>
      <c r="L1320">
        <v>90</v>
      </c>
      <c r="Q1320" s="10" t="str">
        <f>Tabela2[[#This Row],[Coluna5]]</f>
        <v>12/2025</v>
      </c>
      <c r="R1320" s="10" t="str">
        <f>IF(Tabela2[[#This Row],[Coluna9]]&gt;0,"Entrada","Saída")</f>
        <v>Saída</v>
      </c>
      <c r="S1320" s="10" t="str">
        <f>Tabela2[[#This Row],[Coluna8]]</f>
        <v>ADESIVOS GARRAFAS</v>
      </c>
      <c r="T1320" s="10" t="e">
        <f>Tabela2[[#This Row],[Coluna72]]</f>
        <v>#REF!</v>
      </c>
      <c r="U1320" s="10">
        <f>SUM(Tabela2[[#This Row],[Coluna9]],Tabela2[[#This Row],[Coluna10]])</f>
        <v>90</v>
      </c>
      <c r="V1320" s="2" t="str">
        <f>Tabela2[[#This Row],[Coluna4]]</f>
        <v>17/12/2025</v>
      </c>
      <c r="W1320" s="2" t="str">
        <f>Tabela2[[#This Row],[Coluna6]]</f>
        <v>17/12/2025</v>
      </c>
    </row>
    <row r="1321" spans="2:23" x14ac:dyDescent="0.2">
      <c r="B1321" t="s">
        <v>18</v>
      </c>
      <c r="C1321" t="s">
        <v>95</v>
      </c>
      <c r="D1321" t="s">
        <v>13</v>
      </c>
      <c r="E1321" s="8" t="s">
        <v>77</v>
      </c>
      <c r="F1321" t="s">
        <v>64</v>
      </c>
      <c r="G1321" s="8" t="s">
        <v>77</v>
      </c>
      <c r="H1321" t="s">
        <v>719</v>
      </c>
      <c r="I1321" t="e">
        <f>VLOOKUP(Tabela2[[#This Row],[Coluna7]],[1]!Tabela1[#All],2,0)</f>
        <v>#REF!</v>
      </c>
      <c r="J1321" t="s">
        <v>723</v>
      </c>
      <c r="L1321">
        <v>25</v>
      </c>
      <c r="Q1321" s="10" t="str">
        <f>Tabela2[[#This Row],[Coluna5]]</f>
        <v>12/2025</v>
      </c>
      <c r="R1321" s="10" t="str">
        <f>IF(Tabela2[[#This Row],[Coluna9]]&gt;0,"Entrada","Saída")</f>
        <v>Saída</v>
      </c>
      <c r="S1321" s="10" t="str">
        <f>Tabela2[[#This Row],[Coluna8]]</f>
        <v>ADESIVOS</v>
      </c>
      <c r="T1321" s="10" t="e">
        <f>Tabela2[[#This Row],[Coluna72]]</f>
        <v>#REF!</v>
      </c>
      <c r="U1321" s="10">
        <f>SUM(Tabela2[[#This Row],[Coluna9]],Tabela2[[#This Row],[Coluna10]])</f>
        <v>25</v>
      </c>
      <c r="V1321" s="2" t="str">
        <f>Tabela2[[#This Row],[Coluna4]]</f>
        <v>18/12/2025</v>
      </c>
      <c r="W1321" s="2" t="str">
        <f>Tabela2[[#This Row],[Coluna6]]</f>
        <v>18/12/2025</v>
      </c>
    </row>
    <row r="1322" spans="2:23" x14ac:dyDescent="0.2">
      <c r="B1322" t="s">
        <v>12</v>
      </c>
      <c r="C1322" t="s">
        <v>95</v>
      </c>
      <c r="D1322" t="s">
        <v>13</v>
      </c>
      <c r="E1322" s="8" t="s">
        <v>77</v>
      </c>
      <c r="F1322" t="s">
        <v>64</v>
      </c>
      <c r="G1322" s="8" t="s">
        <v>77</v>
      </c>
      <c r="H1322" t="s">
        <v>719</v>
      </c>
      <c r="I1322" t="e">
        <f>VLOOKUP(Tabela2[[#This Row],[Coluna7]],[1]!Tabela1[#All],2,0)</f>
        <v>#REF!</v>
      </c>
      <c r="J1322" t="s">
        <v>724</v>
      </c>
      <c r="L1322">
        <v>32</v>
      </c>
      <c r="Q1322" s="10" t="str">
        <f>Tabela2[[#This Row],[Coluna5]]</f>
        <v>12/2025</v>
      </c>
      <c r="R1322" s="10" t="str">
        <f>IF(Tabela2[[#This Row],[Coluna9]]&gt;0,"Entrada","Saída")</f>
        <v>Saída</v>
      </c>
      <c r="S1322" s="10" t="str">
        <f>Tabela2[[#This Row],[Coluna8]]</f>
        <v>CHAVEIROS (CROCHET)</v>
      </c>
      <c r="T1322" s="10" t="e">
        <f>Tabela2[[#This Row],[Coluna72]]</f>
        <v>#REF!</v>
      </c>
      <c r="U1322" s="10">
        <f>SUM(Tabela2[[#This Row],[Coluna9]],Tabela2[[#This Row],[Coluna10]])</f>
        <v>32</v>
      </c>
      <c r="V1322" s="2" t="str">
        <f>Tabela2[[#This Row],[Coluna4]]</f>
        <v>18/12/2025</v>
      </c>
      <c r="W1322" s="2" t="str">
        <f>Tabela2[[#This Row],[Coluna6]]</f>
        <v>18/12/2025</v>
      </c>
    </row>
    <row r="1323" spans="2:23" x14ac:dyDescent="0.2">
      <c r="B1323" t="s">
        <v>12</v>
      </c>
      <c r="C1323" t="s">
        <v>95</v>
      </c>
      <c r="D1323" t="s">
        <v>13</v>
      </c>
      <c r="E1323" s="8" t="s">
        <v>77</v>
      </c>
      <c r="F1323" t="s">
        <v>64</v>
      </c>
      <c r="G1323" s="8" t="s">
        <v>77</v>
      </c>
      <c r="H1323" t="s">
        <v>719</v>
      </c>
      <c r="I1323" t="e">
        <f>VLOOKUP(Tabela2[[#This Row],[Coluna7]],[1]!Tabela1[#All],2,0)</f>
        <v>#REF!</v>
      </c>
      <c r="J1323" t="s">
        <v>725</v>
      </c>
      <c r="L1323">
        <v>171</v>
      </c>
      <c r="Q1323" s="10" t="str">
        <f>Tabela2[[#This Row],[Coluna5]]</f>
        <v>12/2025</v>
      </c>
      <c r="R1323" s="10" t="str">
        <f>IF(Tabela2[[#This Row],[Coluna9]]&gt;0,"Entrada","Saída")</f>
        <v>Saída</v>
      </c>
      <c r="S1323" s="10" t="str">
        <f>Tabela2[[#This Row],[Coluna8]]</f>
        <v>CHAVEIROS</v>
      </c>
      <c r="T1323" s="10" t="e">
        <f>Tabela2[[#This Row],[Coluna72]]</f>
        <v>#REF!</v>
      </c>
      <c r="U1323" s="10">
        <f>SUM(Tabela2[[#This Row],[Coluna9]],Tabela2[[#This Row],[Coluna10]])</f>
        <v>171</v>
      </c>
      <c r="V1323" s="2" t="str">
        <f>Tabela2[[#This Row],[Coluna4]]</f>
        <v>18/12/2025</v>
      </c>
      <c r="W1323" s="2" t="str">
        <f>Tabela2[[#This Row],[Coluna6]]</f>
        <v>18/12/2025</v>
      </c>
    </row>
    <row r="1324" spans="2:23" x14ac:dyDescent="0.2">
      <c r="B1324" t="s">
        <v>12</v>
      </c>
      <c r="C1324" t="s">
        <v>95</v>
      </c>
      <c r="D1324" t="s">
        <v>13</v>
      </c>
      <c r="E1324" s="8" t="s">
        <v>77</v>
      </c>
      <c r="F1324" t="s">
        <v>64</v>
      </c>
      <c r="G1324" s="8" t="s">
        <v>77</v>
      </c>
      <c r="H1324" t="s">
        <v>719</v>
      </c>
      <c r="I1324" t="e">
        <f>VLOOKUP(Tabela2[[#This Row],[Coluna7]],[1]!Tabela1[#All],2,0)</f>
        <v>#REF!</v>
      </c>
      <c r="J1324" t="s">
        <v>725</v>
      </c>
      <c r="L1324">
        <v>30</v>
      </c>
      <c r="Q1324" s="10" t="str">
        <f>Tabela2[[#This Row],[Coluna5]]</f>
        <v>12/2025</v>
      </c>
      <c r="R1324" s="10" t="str">
        <f>IF(Tabela2[[#This Row],[Coluna9]]&gt;0,"Entrada","Saída")</f>
        <v>Saída</v>
      </c>
      <c r="S1324" s="10" t="str">
        <f>Tabela2[[#This Row],[Coluna8]]</f>
        <v>CHAVEIROS</v>
      </c>
      <c r="T1324" s="10" t="e">
        <f>Tabela2[[#This Row],[Coluna72]]</f>
        <v>#REF!</v>
      </c>
      <c r="U1324" s="10">
        <f>SUM(Tabela2[[#This Row],[Coluna9]],Tabela2[[#This Row],[Coluna10]])</f>
        <v>30</v>
      </c>
      <c r="V1324" s="2" t="str">
        <f>Tabela2[[#This Row],[Coluna4]]</f>
        <v>18/12/2025</v>
      </c>
      <c r="W1324" s="2" t="str">
        <f>Tabela2[[#This Row],[Coluna6]]</f>
        <v>18/12/2025</v>
      </c>
    </row>
    <row r="1325" spans="2:23" x14ac:dyDescent="0.2">
      <c r="B1325" t="s">
        <v>12</v>
      </c>
      <c r="C1325" t="s">
        <v>95</v>
      </c>
      <c r="D1325" t="s">
        <v>13</v>
      </c>
      <c r="E1325" s="8" t="s">
        <v>334</v>
      </c>
      <c r="F1325" t="s">
        <v>84</v>
      </c>
      <c r="G1325" s="8" t="s">
        <v>334</v>
      </c>
      <c r="H1325" t="s">
        <v>719</v>
      </c>
      <c r="I1325" t="e">
        <f>VLOOKUP(Tabela2[[#This Row],[Coluna7]],[1]!Tabela1[#All],2,0)</f>
        <v>#REF!</v>
      </c>
      <c r="J1325" t="s">
        <v>726</v>
      </c>
      <c r="L1325">
        <v>81</v>
      </c>
      <c r="Q1325" s="10" t="str">
        <f>Tabela2[[#This Row],[Coluna5]]</f>
        <v>01/2026</v>
      </c>
      <c r="R1325" s="10" t="str">
        <f>IF(Tabela2[[#This Row],[Coluna9]]&gt;0,"Entrada","Saída")</f>
        <v>Saída</v>
      </c>
      <c r="S1325" s="10" t="str">
        <f>Tabela2[[#This Row],[Coluna8]]</f>
        <v>BRINDES - CASA METAL</v>
      </c>
      <c r="T1325" s="10" t="e">
        <f>Tabela2[[#This Row],[Coluna72]]</f>
        <v>#REF!</v>
      </c>
      <c r="U1325" s="10">
        <f>SUM(Tabela2[[#This Row],[Coluna9]],Tabela2[[#This Row],[Coluna10]])</f>
        <v>81</v>
      </c>
      <c r="V1325" s="2" t="str">
        <f>Tabela2[[#This Row],[Coluna4]]</f>
        <v>30/12/2025</v>
      </c>
      <c r="W1325" s="2" t="str">
        <f>Tabela2[[#This Row],[Coluna6]]</f>
        <v>30/12/2025</v>
      </c>
    </row>
    <row r="1326" spans="2:23" x14ac:dyDescent="0.2">
      <c r="B1326" t="s">
        <v>12</v>
      </c>
      <c r="C1326" t="s">
        <v>95</v>
      </c>
      <c r="D1326" t="s">
        <v>13</v>
      </c>
      <c r="E1326" s="8" t="s">
        <v>334</v>
      </c>
      <c r="F1326" t="s">
        <v>84</v>
      </c>
      <c r="G1326" s="8" t="s">
        <v>334</v>
      </c>
      <c r="H1326" t="s">
        <v>719</v>
      </c>
      <c r="I1326" t="e">
        <f>VLOOKUP(Tabela2[[#This Row],[Coluna7]],[1]!Tabela1[#All],2,0)</f>
        <v>#REF!</v>
      </c>
      <c r="J1326" t="s">
        <v>727</v>
      </c>
      <c r="L1326">
        <v>16</v>
      </c>
      <c r="Q1326" s="10" t="str">
        <f>Tabela2[[#This Row],[Coluna5]]</f>
        <v>01/2026</v>
      </c>
      <c r="R1326" s="10" t="str">
        <f>IF(Tabela2[[#This Row],[Coluna9]]&gt;0,"Entrada","Saída")</f>
        <v>Saída</v>
      </c>
      <c r="S1326" s="10" t="str">
        <f>Tabela2[[#This Row],[Coluna8]]</f>
        <v>BRINDES - CHIC BIJUTERIAS</v>
      </c>
      <c r="T1326" s="10" t="e">
        <f>Tabela2[[#This Row],[Coluna72]]</f>
        <v>#REF!</v>
      </c>
      <c r="U1326" s="10">
        <f>SUM(Tabela2[[#This Row],[Coluna9]],Tabela2[[#This Row],[Coluna10]])</f>
        <v>16</v>
      </c>
      <c r="V1326" s="2" t="str">
        <f>Tabela2[[#This Row],[Coluna4]]</f>
        <v>30/12/2025</v>
      </c>
      <c r="W1326" s="2" t="str">
        <f>Tabela2[[#This Row],[Coluna6]]</f>
        <v>30/12/2025</v>
      </c>
    </row>
    <row r="1327" spans="2:23" x14ac:dyDescent="0.2">
      <c r="B1327" t="s">
        <v>18</v>
      </c>
      <c r="C1327" t="s">
        <v>95</v>
      </c>
      <c r="D1327" t="s">
        <v>13</v>
      </c>
      <c r="E1327" s="8" t="s">
        <v>158</v>
      </c>
      <c r="F1327" t="s">
        <v>15</v>
      </c>
      <c r="G1327" s="8" t="s">
        <v>158</v>
      </c>
      <c r="H1327" t="s">
        <v>730</v>
      </c>
      <c r="I1327" t="e">
        <f>VLOOKUP(Tabela2[[#This Row],[Coluna7]],[1]!Tabela1[#All],2,0)</f>
        <v>#REF!</v>
      </c>
      <c r="J1327" t="s">
        <v>731</v>
      </c>
      <c r="L1327">
        <v>1000</v>
      </c>
      <c r="Q1327" s="10" t="str">
        <f>Tabela2[[#This Row],[Coluna5]]</f>
        <v>10/2025</v>
      </c>
      <c r="R1327" s="10" t="str">
        <f>IF(Tabela2[[#This Row],[Coluna9]]&gt;0,"Entrada","Saída")</f>
        <v>Saída</v>
      </c>
      <c r="S1327" s="10" t="str">
        <f>Tabela2[[#This Row],[Coluna8]]</f>
        <v>MARCOS URQUIZA HERCULANO</v>
      </c>
      <c r="T1327" s="10" t="e">
        <f>Tabela2[[#This Row],[Coluna72]]</f>
        <v>#REF!</v>
      </c>
      <c r="U1327" s="10">
        <f>SUM(Tabela2[[#This Row],[Coluna9]],Tabela2[[#This Row],[Coluna10]])</f>
        <v>1000</v>
      </c>
      <c r="V1327" s="2" t="str">
        <f>Tabela2[[#This Row],[Coluna4]]</f>
        <v>10/10/2025</v>
      </c>
      <c r="W1327" s="2" t="str">
        <f>Tabela2[[#This Row],[Coluna6]]</f>
        <v>10/10/2025</v>
      </c>
    </row>
    <row r="1328" spans="2:23" x14ac:dyDescent="0.2">
      <c r="B1328" t="s">
        <v>27</v>
      </c>
      <c r="C1328" t="s">
        <v>95</v>
      </c>
      <c r="D1328" t="s">
        <v>13</v>
      </c>
      <c r="E1328" s="8" t="s">
        <v>69</v>
      </c>
      <c r="F1328" t="s">
        <v>64</v>
      </c>
      <c r="G1328" s="8" t="s">
        <v>77</v>
      </c>
      <c r="H1328" t="s">
        <v>730</v>
      </c>
      <c r="I1328" t="e">
        <f>VLOOKUP(Tabela2[[#This Row],[Coluna7]],[1]!Tabela1[#All],2,0)</f>
        <v>#REF!</v>
      </c>
      <c r="J1328" t="s">
        <v>731</v>
      </c>
      <c r="L1328">
        <v>1000</v>
      </c>
      <c r="Q1328" s="10" t="str">
        <f>Tabela2[[#This Row],[Coluna5]]</f>
        <v>12/2025</v>
      </c>
      <c r="R1328" s="10" t="str">
        <f>IF(Tabela2[[#This Row],[Coluna9]]&gt;0,"Entrada","Saída")</f>
        <v>Saída</v>
      </c>
      <c r="S1328" s="10" t="str">
        <f>Tabela2[[#This Row],[Coluna8]]</f>
        <v>MARCOS URQUIZA HERCULANO</v>
      </c>
      <c r="T1328" s="10" t="e">
        <f>Tabela2[[#This Row],[Coluna72]]</f>
        <v>#REF!</v>
      </c>
      <c r="U1328" s="10">
        <f>SUM(Tabela2[[#This Row],[Coluna9]],Tabela2[[#This Row],[Coluna10]])</f>
        <v>1000</v>
      </c>
      <c r="V1328" s="2" t="str">
        <f>Tabela2[[#This Row],[Coluna4]]</f>
        <v>10/12/2025</v>
      </c>
      <c r="W1328" s="2" t="str">
        <f>Tabela2[[#This Row],[Coluna6]]</f>
        <v>18/12/2025</v>
      </c>
    </row>
    <row r="1329" spans="2:23" hidden="1" x14ac:dyDescent="0.2">
      <c r="B1329" t="s">
        <v>71</v>
      </c>
      <c r="C1329" t="s">
        <v>125</v>
      </c>
      <c r="D1329" t="s">
        <v>13</v>
      </c>
      <c r="E1329" s="8" t="s">
        <v>256</v>
      </c>
      <c r="F1329" t="s">
        <v>42</v>
      </c>
      <c r="G1329" s="8" t="s">
        <v>256</v>
      </c>
      <c r="H1329" t="s">
        <v>732</v>
      </c>
      <c r="I1329" t="e">
        <f>VLOOKUP(Tabela2[[#This Row],[Coluna7]],[1]!Tabela1[#All],2,0)</f>
        <v>#REF!</v>
      </c>
      <c r="J1329" t="s">
        <v>733</v>
      </c>
      <c r="L1329">
        <v>4367.79</v>
      </c>
      <c r="M1329" t="s">
        <v>247</v>
      </c>
      <c r="N1329" t="s">
        <v>248</v>
      </c>
      <c r="Q1329" s="10" t="str">
        <f>Tabela2[[#This Row],[Coluna5]]</f>
        <v>11/2025</v>
      </c>
      <c r="R1329" s="10" t="str">
        <f>IF(Tabela2[[#This Row],[Coluna9]]&gt;0,"Entrada","Saída")</f>
        <v>Saída</v>
      </c>
      <c r="S1329" s="10" t="str">
        <f>Tabela2[[#This Row],[Coluna8]]</f>
        <v>DEVOLUÇÃO DE EXCEDENTE DE PAGAMENTO</v>
      </c>
      <c r="T1329" s="10" t="e">
        <f>Tabela2[[#This Row],[Coluna72]]</f>
        <v>#REF!</v>
      </c>
      <c r="U1329" s="10">
        <f>SUM(Tabela2[[#This Row],[Coluna9]],Tabela2[[#This Row],[Coluna10]])</f>
        <v>4367.79</v>
      </c>
      <c r="V1329" s="2" t="str">
        <f>Tabela2[[#This Row],[Coluna4]]</f>
        <v>25/11/2025</v>
      </c>
      <c r="W1329" s="2" t="str">
        <f>Tabela2[[#This Row],[Coluna6]]</f>
        <v>25/11/2025</v>
      </c>
    </row>
    <row r="1330" spans="2:23" hidden="1" x14ac:dyDescent="0.2">
      <c r="B1330" t="s">
        <v>18</v>
      </c>
      <c r="C1330" t="s">
        <v>125</v>
      </c>
      <c r="D1330" t="s">
        <v>13</v>
      </c>
      <c r="E1330" s="8" t="s">
        <v>63</v>
      </c>
      <c r="F1330" t="s">
        <v>64</v>
      </c>
      <c r="G1330" s="8" t="s">
        <v>63</v>
      </c>
      <c r="H1330" t="s">
        <v>732</v>
      </c>
      <c r="I1330" t="e">
        <f>VLOOKUP(Tabela2[[#This Row],[Coluna7]],[1]!Tabela1[#All],2,0)</f>
        <v>#REF!</v>
      </c>
      <c r="J1330" t="s">
        <v>733</v>
      </c>
      <c r="L1330">
        <v>3379.61</v>
      </c>
      <c r="M1330" t="s">
        <v>182</v>
      </c>
      <c r="N1330" t="s">
        <v>183</v>
      </c>
      <c r="Q1330" s="10" t="str">
        <f>Tabela2[[#This Row],[Coluna5]]</f>
        <v>12/2025</v>
      </c>
      <c r="R1330" s="10" t="str">
        <f>IF(Tabela2[[#This Row],[Coluna9]]&gt;0,"Entrada","Saída")</f>
        <v>Saída</v>
      </c>
      <c r="S1330" s="10" t="str">
        <f>Tabela2[[#This Row],[Coluna8]]</f>
        <v>DEVOLUÇÃO DE EXCEDENTE DE PAGAMENTO</v>
      </c>
      <c r="T1330" s="10" t="e">
        <f>Tabela2[[#This Row],[Coluna72]]</f>
        <v>#REF!</v>
      </c>
      <c r="U1330" s="10">
        <f>SUM(Tabela2[[#This Row],[Coluna9]],Tabela2[[#This Row],[Coluna10]])</f>
        <v>3379.61</v>
      </c>
      <c r="V1330" s="2" t="str">
        <f>Tabela2[[#This Row],[Coluna4]]</f>
        <v>01/12/2025</v>
      </c>
      <c r="W1330" s="2" t="str">
        <f>Tabela2[[#This Row],[Coluna6]]</f>
        <v>01/12/2025</v>
      </c>
    </row>
    <row r="1331" spans="2:23" x14ac:dyDescent="0.2">
      <c r="B1331" t="s">
        <v>18</v>
      </c>
      <c r="C1331" t="s">
        <v>95</v>
      </c>
      <c r="D1331" t="s">
        <v>13</v>
      </c>
      <c r="E1331" s="8" t="s">
        <v>46</v>
      </c>
      <c r="F1331" t="s">
        <v>42</v>
      </c>
      <c r="G1331" s="8" t="s">
        <v>46</v>
      </c>
      <c r="H1331" t="s">
        <v>442</v>
      </c>
      <c r="I1331" t="e">
        <f>VLOOKUP(Tabela2[[#This Row],[Coluna7]],[1]!Tabela1[#All],2,0)</f>
        <v>#REF!</v>
      </c>
      <c r="L1331">
        <v>674.22</v>
      </c>
      <c r="Q1331" s="10" t="str">
        <f>Tabela2[[#This Row],[Coluna5]]</f>
        <v>11/2025</v>
      </c>
      <c r="R1331" s="10" t="str">
        <f>IF(Tabela2[[#This Row],[Coluna9]]&gt;0,"Entrada","Saída")</f>
        <v>Saída</v>
      </c>
      <c r="S1331" s="10">
        <f>Tabela2[[#This Row],[Coluna8]]</f>
        <v>0</v>
      </c>
      <c r="T1331" s="10" t="e">
        <f>Tabela2[[#This Row],[Coluna72]]</f>
        <v>#REF!</v>
      </c>
      <c r="U1331" s="10">
        <f>SUM(Tabela2[[#This Row],[Coluna9]],Tabela2[[#This Row],[Coluna10]])</f>
        <v>674.22</v>
      </c>
      <c r="V1331" s="2" t="str">
        <f>Tabela2[[#This Row],[Coluna4]]</f>
        <v>11/11/2025</v>
      </c>
      <c r="W1331" s="2" t="str">
        <f>Tabela2[[#This Row],[Coluna6]]</f>
        <v>11/11/2025</v>
      </c>
    </row>
    <row r="1332" spans="2:23" x14ac:dyDescent="0.2">
      <c r="B1332" t="s">
        <v>27</v>
      </c>
      <c r="C1332" t="s">
        <v>95</v>
      </c>
      <c r="D1332" t="s">
        <v>13</v>
      </c>
      <c r="E1332" s="8" t="s">
        <v>51</v>
      </c>
      <c r="F1332" t="s">
        <v>42</v>
      </c>
      <c r="G1332" s="8" t="s">
        <v>51</v>
      </c>
      <c r="H1332" t="s">
        <v>442</v>
      </c>
      <c r="I1332" t="e">
        <f>VLOOKUP(Tabela2[[#This Row],[Coluna7]],[1]!Tabela1[#All],2,0)</f>
        <v>#REF!</v>
      </c>
      <c r="J1332" t="s">
        <v>453</v>
      </c>
      <c r="L1332">
        <v>1009.7</v>
      </c>
      <c r="Q1332" s="10" t="str">
        <f>Tabela2[[#This Row],[Coluna5]]</f>
        <v>11/2025</v>
      </c>
      <c r="R1332" s="10" t="str">
        <f>IF(Tabela2[[#This Row],[Coluna9]]&gt;0,"Entrada","Saída")</f>
        <v>Saída</v>
      </c>
      <c r="S1332" s="10" t="str">
        <f>Tabela2[[#This Row],[Coluna8]]</f>
        <v>CAPITAL DE GIRO</v>
      </c>
      <c r="T1332" s="10" t="e">
        <f>Tabela2[[#This Row],[Coluna72]]</f>
        <v>#REF!</v>
      </c>
      <c r="U1332" s="10">
        <f>SUM(Tabela2[[#This Row],[Coluna9]],Tabela2[[#This Row],[Coluna10]])</f>
        <v>1009.7</v>
      </c>
      <c r="V1332" s="2" t="str">
        <f>Tabela2[[#This Row],[Coluna4]]</f>
        <v>13/11/2025</v>
      </c>
      <c r="W1332" s="2" t="str">
        <f>Tabela2[[#This Row],[Coluna6]]</f>
        <v>13/11/2025</v>
      </c>
    </row>
    <row r="1333" spans="2:23" x14ac:dyDescent="0.2">
      <c r="B1333" t="s">
        <v>18</v>
      </c>
      <c r="C1333" t="s">
        <v>95</v>
      </c>
      <c r="D1333" t="s">
        <v>13</v>
      </c>
      <c r="E1333" s="8" t="s">
        <v>51</v>
      </c>
      <c r="F1333" t="s">
        <v>42</v>
      </c>
      <c r="G1333" s="8" t="s">
        <v>51</v>
      </c>
      <c r="H1333" t="s">
        <v>438</v>
      </c>
      <c r="I1333" t="e">
        <f>VLOOKUP(Tabela2[[#This Row],[Coluna7]],[1]!Tabela1[#All],2,0)</f>
        <v>#REF!</v>
      </c>
      <c r="J1333" t="s">
        <v>483</v>
      </c>
      <c r="L1333">
        <v>60</v>
      </c>
      <c r="Q1333" s="10" t="str">
        <f>Tabela2[[#This Row],[Coluna5]]</f>
        <v>11/2025</v>
      </c>
      <c r="R1333" s="10" t="str">
        <f>IF(Tabela2[[#This Row],[Coluna9]]&gt;0,"Entrada","Saída")</f>
        <v>Saída</v>
      </c>
      <c r="S1333" s="10" t="str">
        <f>Tabela2[[#This Row],[Coluna8]]</f>
        <v>IMPRESSORAS</v>
      </c>
      <c r="T1333" s="10" t="e">
        <f>Tabela2[[#This Row],[Coluna72]]</f>
        <v>#REF!</v>
      </c>
      <c r="U1333" s="10">
        <f>SUM(Tabela2[[#This Row],[Coluna9]],Tabela2[[#This Row],[Coluna10]])</f>
        <v>60</v>
      </c>
      <c r="V1333" s="2" t="str">
        <f>Tabela2[[#This Row],[Coluna4]]</f>
        <v>13/11/2025</v>
      </c>
      <c r="W1333" s="2" t="str">
        <f>Tabela2[[#This Row],[Coluna6]]</f>
        <v>13/11/2025</v>
      </c>
    </row>
    <row r="1334" spans="2:23" x14ac:dyDescent="0.2">
      <c r="B1334" t="s">
        <v>18</v>
      </c>
      <c r="C1334" t="s">
        <v>95</v>
      </c>
      <c r="D1334" t="s">
        <v>13</v>
      </c>
      <c r="E1334" s="8" t="s">
        <v>54</v>
      </c>
      <c r="F1334" t="s">
        <v>42</v>
      </c>
      <c r="G1334" s="8" t="s">
        <v>54</v>
      </c>
      <c r="H1334" t="s">
        <v>449</v>
      </c>
      <c r="I1334" t="e">
        <f>VLOOKUP(Tabela2[[#This Row],[Coluna7]],[1]!Tabela1[#All],2,0)</f>
        <v>#REF!</v>
      </c>
      <c r="J1334" t="s">
        <v>484</v>
      </c>
      <c r="L1334">
        <v>2384</v>
      </c>
      <c r="Q1334" s="10" t="str">
        <f>Tabela2[[#This Row],[Coluna5]]</f>
        <v>11/2025</v>
      </c>
      <c r="R1334" s="10" t="str">
        <f>IF(Tabela2[[#This Row],[Coluna9]]&gt;0,"Entrada","Saída")</f>
        <v>Saída</v>
      </c>
      <c r="S1334" s="10" t="str">
        <f>Tabela2[[#This Row],[Coluna8]]</f>
        <v>BERRY</v>
      </c>
      <c r="T1334" s="10" t="e">
        <f>Tabela2[[#This Row],[Coluna72]]</f>
        <v>#REF!</v>
      </c>
      <c r="U1334" s="10">
        <f>SUM(Tabela2[[#This Row],[Coluna9]],Tabela2[[#This Row],[Coluna10]])</f>
        <v>2384</v>
      </c>
      <c r="V1334" s="2" t="str">
        <f>Tabela2[[#This Row],[Coluna4]]</f>
        <v>14/11/2025</v>
      </c>
      <c r="W1334" s="2" t="str">
        <f>Tabela2[[#This Row],[Coluna6]]</f>
        <v>14/11/2025</v>
      </c>
    </row>
    <row r="1335" spans="2:23" x14ac:dyDescent="0.2">
      <c r="B1335" t="s">
        <v>18</v>
      </c>
      <c r="C1335" t="s">
        <v>95</v>
      </c>
      <c r="D1335" t="s">
        <v>13</v>
      </c>
      <c r="E1335" s="8" t="s">
        <v>54</v>
      </c>
      <c r="F1335" t="s">
        <v>42</v>
      </c>
      <c r="G1335" s="8" t="s">
        <v>54</v>
      </c>
      <c r="H1335" t="s">
        <v>443</v>
      </c>
      <c r="I1335" t="e">
        <f>VLOOKUP(Tabela2[[#This Row],[Coluna7]],[1]!Tabela1[#All],2,0)</f>
        <v>#REF!</v>
      </c>
      <c r="J1335" t="s">
        <v>444</v>
      </c>
      <c r="L1335">
        <v>39</v>
      </c>
      <c r="Q1335" s="10" t="str">
        <f>Tabela2[[#This Row],[Coluna5]]</f>
        <v>11/2025</v>
      </c>
      <c r="R1335" s="10" t="str">
        <f>IF(Tabela2[[#This Row],[Coluna9]]&gt;0,"Entrada","Saída")</f>
        <v>Saída</v>
      </c>
      <c r="S1335" s="10" t="str">
        <f>Tabela2[[#This Row],[Coluna8]]</f>
        <v>GELADEIRA LEGAL</v>
      </c>
      <c r="T1335" s="10" t="e">
        <f>Tabela2[[#This Row],[Coluna72]]</f>
        <v>#REF!</v>
      </c>
      <c r="U1335" s="10">
        <f>SUM(Tabela2[[#This Row],[Coluna9]],Tabela2[[#This Row],[Coluna10]])</f>
        <v>39</v>
      </c>
      <c r="V1335" s="2" t="str">
        <f>Tabela2[[#This Row],[Coluna4]]</f>
        <v>14/11/2025</v>
      </c>
      <c r="W1335" s="2" t="str">
        <f>Tabela2[[#This Row],[Coluna6]]</f>
        <v>14/11/2025</v>
      </c>
    </row>
    <row r="1336" spans="2:23" x14ac:dyDescent="0.2">
      <c r="B1336" t="s">
        <v>12</v>
      </c>
      <c r="C1336" t="s">
        <v>95</v>
      </c>
      <c r="D1336" t="s">
        <v>13</v>
      </c>
      <c r="E1336" s="8" t="s">
        <v>55</v>
      </c>
      <c r="F1336" t="s">
        <v>42</v>
      </c>
      <c r="G1336" s="8" t="s">
        <v>55</v>
      </c>
      <c r="H1336" t="s">
        <v>443</v>
      </c>
      <c r="I1336" t="e">
        <f>VLOOKUP(Tabela2[[#This Row],[Coluna7]],[1]!Tabela1[#All],2,0)</f>
        <v>#REF!</v>
      </c>
      <c r="J1336" t="s">
        <v>485</v>
      </c>
      <c r="L1336">
        <v>9.7799999999999994</v>
      </c>
      <c r="Q1336" s="10" t="str">
        <f>Tabela2[[#This Row],[Coluna5]]</f>
        <v>11/2025</v>
      </c>
      <c r="R1336" s="10" t="str">
        <f>IF(Tabela2[[#This Row],[Coluna9]]&gt;0,"Entrada","Saída")</f>
        <v>Saída</v>
      </c>
      <c r="S1336" s="10" t="str">
        <f>Tabela2[[#This Row],[Coluna8]]</f>
        <v>REDE MENOR PREÇO</v>
      </c>
      <c r="T1336" s="10" t="e">
        <f>Tabela2[[#This Row],[Coluna72]]</f>
        <v>#REF!</v>
      </c>
      <c r="U1336" s="10">
        <f>SUM(Tabela2[[#This Row],[Coluna9]],Tabela2[[#This Row],[Coluna10]])</f>
        <v>9.7799999999999994</v>
      </c>
      <c r="V1336" s="2" t="str">
        <f>Tabela2[[#This Row],[Coluna4]]</f>
        <v>15/11/2025</v>
      </c>
      <c r="W1336" s="2" t="str">
        <f>Tabela2[[#This Row],[Coluna6]]</f>
        <v>15/11/2025</v>
      </c>
    </row>
    <row r="1337" spans="2:23" x14ac:dyDescent="0.2">
      <c r="B1337" t="s">
        <v>12</v>
      </c>
      <c r="C1337" t="s">
        <v>95</v>
      </c>
      <c r="D1337" t="s">
        <v>13</v>
      </c>
      <c r="E1337" s="8" t="s">
        <v>55</v>
      </c>
      <c r="F1337" t="s">
        <v>42</v>
      </c>
      <c r="G1337" s="8" t="s">
        <v>55</v>
      </c>
      <c r="H1337" t="s">
        <v>443</v>
      </c>
      <c r="I1337" t="e">
        <f>VLOOKUP(Tabela2[[#This Row],[Coluna7]],[1]!Tabela1[#All],2,0)</f>
        <v>#REF!</v>
      </c>
      <c r="J1337" t="s">
        <v>444</v>
      </c>
      <c r="L1337">
        <v>78.790000000000006</v>
      </c>
      <c r="Q1337" s="10" t="str">
        <f>Tabela2[[#This Row],[Coluna5]]</f>
        <v>11/2025</v>
      </c>
      <c r="R1337" s="10" t="str">
        <f>IF(Tabela2[[#This Row],[Coluna9]]&gt;0,"Entrada","Saída")</f>
        <v>Saída</v>
      </c>
      <c r="S1337" s="10" t="str">
        <f>Tabela2[[#This Row],[Coluna8]]</f>
        <v>GELADEIRA LEGAL</v>
      </c>
      <c r="T1337" s="10" t="e">
        <f>Tabela2[[#This Row],[Coluna72]]</f>
        <v>#REF!</v>
      </c>
      <c r="U1337" s="10">
        <f>SUM(Tabela2[[#This Row],[Coluna9]],Tabela2[[#This Row],[Coluna10]])</f>
        <v>78.790000000000006</v>
      </c>
      <c r="V1337" s="2" t="str">
        <f>Tabela2[[#This Row],[Coluna4]]</f>
        <v>15/11/2025</v>
      </c>
      <c r="W1337" s="2" t="str">
        <f>Tabela2[[#This Row],[Coluna6]]</f>
        <v>15/11/2025</v>
      </c>
    </row>
    <row r="1338" spans="2:23" x14ac:dyDescent="0.2">
      <c r="B1338" t="s">
        <v>18</v>
      </c>
      <c r="C1338" t="s">
        <v>95</v>
      </c>
      <c r="D1338" t="s">
        <v>13</v>
      </c>
      <c r="E1338" s="8" t="s">
        <v>56</v>
      </c>
      <c r="F1338" t="s">
        <v>42</v>
      </c>
      <c r="G1338" s="8" t="s">
        <v>56</v>
      </c>
      <c r="H1338" t="s">
        <v>486</v>
      </c>
      <c r="I1338" t="e">
        <f>VLOOKUP(Tabela2[[#This Row],[Coluna7]],[1]!Tabela1[#All],2,0)</f>
        <v>#REF!</v>
      </c>
      <c r="J1338" t="s">
        <v>487</v>
      </c>
      <c r="L1338">
        <v>30</v>
      </c>
      <c r="Q1338" s="10" t="str">
        <f>Tabela2[[#This Row],[Coluna5]]</f>
        <v>11/2025</v>
      </c>
      <c r="R1338" s="10" t="str">
        <f>IF(Tabela2[[#This Row],[Coluna9]]&gt;0,"Entrada","Saída")</f>
        <v>Saída</v>
      </c>
      <c r="S1338" s="10" t="str">
        <f>Tabela2[[#This Row],[Coluna8]]</f>
        <v>RECARGA DE CELULAR</v>
      </c>
      <c r="T1338" s="10" t="e">
        <f>Tabela2[[#This Row],[Coluna72]]</f>
        <v>#REF!</v>
      </c>
      <c r="U1338" s="10">
        <f>SUM(Tabela2[[#This Row],[Coluna9]],Tabela2[[#This Row],[Coluna10]])</f>
        <v>30</v>
      </c>
      <c r="V1338" s="2" t="str">
        <f>Tabela2[[#This Row],[Coluna4]]</f>
        <v>17/11/2025</v>
      </c>
      <c r="W1338" s="2" t="str">
        <f>Tabela2[[#This Row],[Coluna6]]</f>
        <v>17/11/2025</v>
      </c>
    </row>
    <row r="1339" spans="2:23" x14ac:dyDescent="0.2">
      <c r="B1339" t="s">
        <v>18</v>
      </c>
      <c r="C1339" t="s">
        <v>95</v>
      </c>
      <c r="D1339" t="s">
        <v>13</v>
      </c>
      <c r="E1339" s="8" t="s">
        <v>56</v>
      </c>
      <c r="F1339" t="s">
        <v>42</v>
      </c>
      <c r="G1339" s="8" t="s">
        <v>56</v>
      </c>
      <c r="H1339" t="s">
        <v>435</v>
      </c>
      <c r="I1339" t="e">
        <f>VLOOKUP(Tabela2[[#This Row],[Coluna7]],[1]!Tabela1[#All],2,0)</f>
        <v>#REF!</v>
      </c>
      <c r="J1339" t="s">
        <v>436</v>
      </c>
      <c r="L1339">
        <v>350</v>
      </c>
      <c r="Q1339" s="10" t="str">
        <f>Tabela2[[#This Row],[Coluna5]]</f>
        <v>11/2025</v>
      </c>
      <c r="R1339" s="10" t="str">
        <f>IF(Tabela2[[#This Row],[Coluna9]]&gt;0,"Entrada","Saída")</f>
        <v>Saída</v>
      </c>
      <c r="S1339" s="10" t="str">
        <f>Tabela2[[#This Row],[Coluna8]]</f>
        <v>FERNANDO SILVESTRE DE SOUZA</v>
      </c>
      <c r="T1339" s="10" t="e">
        <f>Tabela2[[#This Row],[Coluna72]]</f>
        <v>#REF!</v>
      </c>
      <c r="U1339" s="10">
        <f>SUM(Tabela2[[#This Row],[Coluna9]],Tabela2[[#This Row],[Coluna10]])</f>
        <v>350</v>
      </c>
      <c r="V1339" s="2" t="str">
        <f>Tabela2[[#This Row],[Coluna4]]</f>
        <v>17/11/2025</v>
      </c>
      <c r="W1339" s="2" t="str">
        <f>Tabela2[[#This Row],[Coluna6]]</f>
        <v>17/11/2025</v>
      </c>
    </row>
    <row r="1340" spans="2:23" x14ac:dyDescent="0.2">
      <c r="B1340" t="s">
        <v>18</v>
      </c>
      <c r="C1340" t="s">
        <v>95</v>
      </c>
      <c r="D1340" t="s">
        <v>13</v>
      </c>
      <c r="E1340" s="8" t="s">
        <v>49</v>
      </c>
      <c r="F1340" t="s">
        <v>42</v>
      </c>
      <c r="G1340" s="8" t="s">
        <v>49</v>
      </c>
      <c r="H1340" t="s">
        <v>443</v>
      </c>
      <c r="I1340" t="e">
        <f>VLOOKUP(Tabela2[[#This Row],[Coluna7]],[1]!Tabela1[#All],2,0)</f>
        <v>#REF!</v>
      </c>
      <c r="J1340" t="s">
        <v>444</v>
      </c>
      <c r="L1340">
        <v>21.5</v>
      </c>
      <c r="Q1340" s="10" t="str">
        <f>Tabela2[[#This Row],[Coluna5]]</f>
        <v>11/2025</v>
      </c>
      <c r="R1340" s="10" t="str">
        <f>IF(Tabela2[[#This Row],[Coluna9]]&gt;0,"Entrada","Saída")</f>
        <v>Saída</v>
      </c>
      <c r="S1340" s="10" t="str">
        <f>Tabela2[[#This Row],[Coluna8]]</f>
        <v>GELADEIRA LEGAL</v>
      </c>
      <c r="T1340" s="10" t="e">
        <f>Tabela2[[#This Row],[Coluna72]]</f>
        <v>#REF!</v>
      </c>
      <c r="U1340" s="10">
        <f>SUM(Tabela2[[#This Row],[Coluna9]],Tabela2[[#This Row],[Coluna10]])</f>
        <v>21.5</v>
      </c>
      <c r="V1340" s="2" t="str">
        <f>Tabela2[[#This Row],[Coluna4]]</f>
        <v>18/11/2025</v>
      </c>
      <c r="W1340" s="2" t="str">
        <f>Tabela2[[#This Row],[Coluna6]]</f>
        <v>18/11/2025</v>
      </c>
    </row>
    <row r="1341" spans="2:23" x14ac:dyDescent="0.2">
      <c r="B1341" t="s">
        <v>18</v>
      </c>
      <c r="C1341" t="s">
        <v>95</v>
      </c>
      <c r="D1341" t="s">
        <v>13</v>
      </c>
      <c r="E1341" s="8" t="s">
        <v>49</v>
      </c>
      <c r="F1341" t="s">
        <v>42</v>
      </c>
      <c r="G1341" s="8" t="s">
        <v>49</v>
      </c>
      <c r="H1341" t="s">
        <v>488</v>
      </c>
      <c r="I1341" t="e">
        <f>VLOOKUP(Tabela2[[#This Row],[Coluna7]],[1]!Tabela1[#All],2,0)</f>
        <v>#REF!</v>
      </c>
      <c r="L1341">
        <v>100</v>
      </c>
      <c r="Q1341" s="10" t="str">
        <f>Tabela2[[#This Row],[Coluna5]]</f>
        <v>11/2025</v>
      </c>
      <c r="R1341" s="10" t="str">
        <f>IF(Tabela2[[#This Row],[Coluna9]]&gt;0,"Entrada","Saída")</f>
        <v>Saída</v>
      </c>
      <c r="S1341" s="10">
        <f>Tabela2[[#This Row],[Coluna8]]</f>
        <v>0</v>
      </c>
      <c r="T1341" s="10" t="e">
        <f>Tabela2[[#This Row],[Coluna72]]</f>
        <v>#REF!</v>
      </c>
      <c r="U1341" s="10">
        <f>SUM(Tabela2[[#This Row],[Coluna9]],Tabela2[[#This Row],[Coluna10]])</f>
        <v>100</v>
      </c>
      <c r="V1341" s="2" t="str">
        <f>Tabela2[[#This Row],[Coluna4]]</f>
        <v>18/11/2025</v>
      </c>
      <c r="W1341" s="2" t="str">
        <f>Tabela2[[#This Row],[Coluna6]]</f>
        <v>18/11/2025</v>
      </c>
    </row>
    <row r="1342" spans="2:23" x14ac:dyDescent="0.2">
      <c r="B1342" t="s">
        <v>18</v>
      </c>
      <c r="C1342" t="s">
        <v>95</v>
      </c>
      <c r="D1342" t="s">
        <v>13</v>
      </c>
      <c r="E1342" s="8" t="s">
        <v>60</v>
      </c>
      <c r="F1342" t="s">
        <v>42</v>
      </c>
      <c r="G1342" s="8" t="s">
        <v>60</v>
      </c>
      <c r="H1342" t="s">
        <v>443</v>
      </c>
      <c r="I1342" t="e">
        <f>VLOOKUP(Tabela2[[#This Row],[Coluna7]],[1]!Tabela1[#All],2,0)</f>
        <v>#REF!</v>
      </c>
      <c r="J1342" t="s">
        <v>444</v>
      </c>
      <c r="L1342">
        <v>18.670000000000002</v>
      </c>
      <c r="Q1342" s="10" t="str">
        <f>Tabela2[[#This Row],[Coluna5]]</f>
        <v>11/2025</v>
      </c>
      <c r="R1342" s="10" t="str">
        <f>IF(Tabela2[[#This Row],[Coluna9]]&gt;0,"Entrada","Saída")</f>
        <v>Saída</v>
      </c>
      <c r="S1342" s="10" t="str">
        <f>Tabela2[[#This Row],[Coluna8]]</f>
        <v>GELADEIRA LEGAL</v>
      </c>
      <c r="T1342" s="10" t="e">
        <f>Tabela2[[#This Row],[Coluna72]]</f>
        <v>#REF!</v>
      </c>
      <c r="U1342" s="10">
        <f>SUM(Tabela2[[#This Row],[Coluna9]],Tabela2[[#This Row],[Coluna10]])</f>
        <v>18.670000000000002</v>
      </c>
      <c r="V1342" s="2" t="str">
        <f>Tabela2[[#This Row],[Coluna4]]</f>
        <v>20/11/2025</v>
      </c>
      <c r="W1342" s="2" t="str">
        <f>Tabela2[[#This Row],[Coluna6]]</f>
        <v>20/11/2025</v>
      </c>
    </row>
    <row r="1343" spans="2:23" x14ac:dyDescent="0.2">
      <c r="B1343" t="s">
        <v>27</v>
      </c>
      <c r="C1343" t="s">
        <v>95</v>
      </c>
      <c r="D1343" t="s">
        <v>13</v>
      </c>
      <c r="E1343" s="8" t="s">
        <v>253</v>
      </c>
      <c r="F1343" t="s">
        <v>42</v>
      </c>
      <c r="G1343" s="8" t="s">
        <v>60</v>
      </c>
      <c r="H1343" t="s">
        <v>445</v>
      </c>
      <c r="I1343" t="e">
        <f>VLOOKUP(Tabela2[[#This Row],[Coluna7]],[1]!Tabela1[#All],2,0)</f>
        <v>#REF!</v>
      </c>
      <c r="J1343" t="s">
        <v>461</v>
      </c>
      <c r="L1343">
        <v>730</v>
      </c>
      <c r="Q1343" s="10" t="str">
        <f>Tabela2[[#This Row],[Coluna5]]</f>
        <v>11/2025</v>
      </c>
      <c r="R1343" s="10" t="str">
        <f>IF(Tabela2[[#This Row],[Coluna9]]&gt;0,"Entrada","Saída")</f>
        <v>Saída</v>
      </c>
      <c r="S1343" s="10" t="str">
        <f>Tabela2[[#This Row],[Coluna8]]</f>
        <v>E-AUDITORIA</v>
      </c>
      <c r="T1343" s="10" t="e">
        <f>Tabela2[[#This Row],[Coluna72]]</f>
        <v>#REF!</v>
      </c>
      <c r="U1343" s="10">
        <f>SUM(Tabela2[[#This Row],[Coluna9]],Tabela2[[#This Row],[Coluna10]])</f>
        <v>730</v>
      </c>
      <c r="V1343" s="2" t="str">
        <f>Tabela2[[#This Row],[Coluna4]]</f>
        <v>21/11/2025</v>
      </c>
      <c r="W1343" s="2" t="str">
        <f>Tabela2[[#This Row],[Coluna6]]</f>
        <v>20/11/2025</v>
      </c>
    </row>
    <row r="1344" spans="2:23" x14ac:dyDescent="0.2">
      <c r="B1344" t="s">
        <v>27</v>
      </c>
      <c r="C1344" t="s">
        <v>95</v>
      </c>
      <c r="D1344" t="s">
        <v>13</v>
      </c>
      <c r="E1344" s="8" t="s">
        <v>253</v>
      </c>
      <c r="F1344" t="s">
        <v>42</v>
      </c>
      <c r="G1344" s="8" t="s">
        <v>253</v>
      </c>
      <c r="H1344" t="s">
        <v>445</v>
      </c>
      <c r="I1344" t="e">
        <f>VLOOKUP(Tabela2[[#This Row],[Coluna7]],[1]!Tabela1[#All],2,0)</f>
        <v>#REF!</v>
      </c>
      <c r="J1344" t="s">
        <v>456</v>
      </c>
      <c r="L1344">
        <v>397</v>
      </c>
      <c r="Q1344" s="10" t="str">
        <f>Tabela2[[#This Row],[Coluna5]]</f>
        <v>11/2025</v>
      </c>
      <c r="R1344" s="10" t="str">
        <f>IF(Tabela2[[#This Row],[Coluna9]]&gt;0,"Entrada","Saída")</f>
        <v>Saída</v>
      </c>
      <c r="S1344" s="10" t="str">
        <f>Tabela2[[#This Row],[Coluna8]]</f>
        <v>ZAP</v>
      </c>
      <c r="T1344" s="10" t="e">
        <f>Tabela2[[#This Row],[Coluna72]]</f>
        <v>#REF!</v>
      </c>
      <c r="U1344" s="10">
        <f>SUM(Tabela2[[#This Row],[Coluna9]],Tabela2[[#This Row],[Coluna10]])</f>
        <v>397</v>
      </c>
      <c r="V1344" s="2" t="str">
        <f>Tabela2[[#This Row],[Coluna4]]</f>
        <v>21/11/2025</v>
      </c>
      <c r="W1344" s="2" t="str">
        <f>Tabela2[[#This Row],[Coluna6]]</f>
        <v>21/11/2025</v>
      </c>
    </row>
    <row r="1345" spans="2:23" x14ac:dyDescent="0.2">
      <c r="B1345" t="s">
        <v>12</v>
      </c>
      <c r="C1345" t="s">
        <v>95</v>
      </c>
      <c r="D1345" t="s">
        <v>13</v>
      </c>
      <c r="E1345" s="8" t="s">
        <v>253</v>
      </c>
      <c r="F1345" t="s">
        <v>42</v>
      </c>
      <c r="G1345" s="8" t="s">
        <v>253</v>
      </c>
      <c r="H1345" t="s">
        <v>443</v>
      </c>
      <c r="I1345" t="e">
        <f>VLOOKUP(Tabela2[[#This Row],[Coluna7]],[1]!Tabela1[#All],2,0)</f>
        <v>#REF!</v>
      </c>
      <c r="J1345" t="s">
        <v>444</v>
      </c>
      <c r="L1345">
        <v>24.27</v>
      </c>
      <c r="Q1345" s="10" t="str">
        <f>Tabela2[[#This Row],[Coluna5]]</f>
        <v>11/2025</v>
      </c>
      <c r="R1345" s="10" t="str">
        <f>IF(Tabela2[[#This Row],[Coluna9]]&gt;0,"Entrada","Saída")</f>
        <v>Saída</v>
      </c>
      <c r="S1345" s="10" t="str">
        <f>Tabela2[[#This Row],[Coluna8]]</f>
        <v>GELADEIRA LEGAL</v>
      </c>
      <c r="T1345" s="10" t="e">
        <f>Tabela2[[#This Row],[Coluna72]]</f>
        <v>#REF!</v>
      </c>
      <c r="U1345" s="10">
        <f>SUM(Tabela2[[#This Row],[Coluna9]],Tabela2[[#This Row],[Coluna10]])</f>
        <v>24.27</v>
      </c>
      <c r="V1345" s="2" t="str">
        <f>Tabela2[[#This Row],[Coluna4]]</f>
        <v>21/11/2025</v>
      </c>
      <c r="W1345" s="2" t="str">
        <f>Tabela2[[#This Row],[Coluna6]]</f>
        <v>21/11/2025</v>
      </c>
    </row>
    <row r="1346" spans="2:23" x14ac:dyDescent="0.2">
      <c r="B1346" t="s">
        <v>18</v>
      </c>
      <c r="C1346" t="s">
        <v>95</v>
      </c>
      <c r="D1346" t="s">
        <v>13</v>
      </c>
      <c r="E1346" s="8" t="s">
        <v>62</v>
      </c>
      <c r="F1346" t="s">
        <v>42</v>
      </c>
      <c r="G1346" s="8" t="s">
        <v>256</v>
      </c>
      <c r="H1346" t="s">
        <v>451</v>
      </c>
      <c r="I1346" t="e">
        <f>VLOOKUP(Tabela2[[#This Row],[Coluna7]],[1]!Tabela1[#All],2,0)</f>
        <v>#REF!</v>
      </c>
      <c r="J1346" t="s">
        <v>464</v>
      </c>
      <c r="L1346">
        <v>156.88</v>
      </c>
      <c r="Q1346" s="10" t="str">
        <f>Tabela2[[#This Row],[Coluna5]]</f>
        <v>11/2025</v>
      </c>
      <c r="R1346" s="10" t="str">
        <f>IF(Tabela2[[#This Row],[Coluna9]]&gt;0,"Entrada","Saída")</f>
        <v>Saída</v>
      </c>
      <c r="S1346" s="10" t="str">
        <f>Tabela2[[#This Row],[Coluna8]]</f>
        <v>BRISANET</v>
      </c>
      <c r="T1346" s="10" t="e">
        <f>Tabela2[[#This Row],[Coluna72]]</f>
        <v>#REF!</v>
      </c>
      <c r="U1346" s="10">
        <f>SUM(Tabela2[[#This Row],[Coluna9]],Tabela2[[#This Row],[Coluna10]])</f>
        <v>156.88</v>
      </c>
      <c r="V1346" s="2" t="str">
        <f>Tabela2[[#This Row],[Coluna4]]</f>
        <v>24/11/2025</v>
      </c>
      <c r="W1346" s="2" t="str">
        <f>Tabela2[[#This Row],[Coluna6]]</f>
        <v>25/11/2025</v>
      </c>
    </row>
    <row r="1347" spans="2:23" x14ac:dyDescent="0.2">
      <c r="B1347" t="s">
        <v>27</v>
      </c>
      <c r="C1347" t="s">
        <v>95</v>
      </c>
      <c r="D1347" t="s">
        <v>13</v>
      </c>
      <c r="E1347" s="8" t="s">
        <v>257</v>
      </c>
      <c r="F1347" t="s">
        <v>42</v>
      </c>
      <c r="G1347" s="8" t="s">
        <v>257</v>
      </c>
      <c r="H1347" t="s">
        <v>442</v>
      </c>
      <c r="I1347" t="e">
        <f>VLOOKUP(Tabela2[[#This Row],[Coluna7]],[1]!Tabela1[#All],2,0)</f>
        <v>#REF!</v>
      </c>
      <c r="J1347" t="s">
        <v>453</v>
      </c>
      <c r="L1347">
        <v>1019.03</v>
      </c>
      <c r="Q1347" s="10" t="str">
        <f>Tabela2[[#This Row],[Coluna5]]</f>
        <v>11/2025</v>
      </c>
      <c r="R1347" s="10" t="str">
        <f>IF(Tabela2[[#This Row],[Coluna9]]&gt;0,"Entrada","Saída")</f>
        <v>Saída</v>
      </c>
      <c r="S1347" s="10" t="str">
        <f>Tabela2[[#This Row],[Coluna8]]</f>
        <v>CAPITAL DE GIRO</v>
      </c>
      <c r="T1347" s="10" t="e">
        <f>Tabela2[[#This Row],[Coluna72]]</f>
        <v>#REF!</v>
      </c>
      <c r="U1347" s="10">
        <f>SUM(Tabela2[[#This Row],[Coluna9]],Tabela2[[#This Row],[Coluna10]])</f>
        <v>1019.03</v>
      </c>
      <c r="V1347" s="2" t="str">
        <f>Tabela2[[#This Row],[Coluna4]]</f>
        <v>26/11/2025</v>
      </c>
      <c r="W1347" s="2" t="str">
        <f>Tabela2[[#This Row],[Coluna6]]</f>
        <v>26/11/2025</v>
      </c>
    </row>
    <row r="1348" spans="2:23" x14ac:dyDescent="0.2">
      <c r="B1348" t="s">
        <v>12</v>
      </c>
      <c r="C1348" t="s">
        <v>95</v>
      </c>
      <c r="D1348" t="s">
        <v>13</v>
      </c>
      <c r="E1348" s="8" t="s">
        <v>278</v>
      </c>
      <c r="F1348" t="s">
        <v>42</v>
      </c>
      <c r="G1348" s="8" t="s">
        <v>301</v>
      </c>
      <c r="H1348" t="s">
        <v>445</v>
      </c>
      <c r="I1348" t="e">
        <f>VLOOKUP(Tabela2[[#This Row],[Coluna7]],[1]!Tabela1[#All],2,0)</f>
        <v>#REF!</v>
      </c>
      <c r="J1348" t="s">
        <v>489</v>
      </c>
      <c r="L1348">
        <v>99</v>
      </c>
      <c r="Q1348" s="10" t="str">
        <f>Tabela2[[#This Row],[Coluna5]]</f>
        <v>11/2025</v>
      </c>
      <c r="R1348" s="10" t="str">
        <f>IF(Tabela2[[#This Row],[Coluna9]]&gt;0,"Entrada","Saída")</f>
        <v>Saída</v>
      </c>
      <c r="S1348" s="10" t="str">
        <f>Tabela2[[#This Row],[Coluna8]]</f>
        <v>ADAPTA IA ( REEMBOLSAR PATRICIA )</v>
      </c>
      <c r="T1348" s="10" t="e">
        <f>Tabela2[[#This Row],[Coluna72]]</f>
        <v>#REF!</v>
      </c>
      <c r="U1348" s="10">
        <f>SUM(Tabela2[[#This Row],[Coluna9]],Tabela2[[#This Row],[Coluna10]])</f>
        <v>99</v>
      </c>
      <c r="V1348" s="2" t="str">
        <f>Tabela2[[#This Row],[Coluna4]]</f>
        <v>30/11/2025</v>
      </c>
      <c r="W1348" s="2" t="str">
        <f>Tabela2[[#This Row],[Coluna6]]</f>
        <v>05/01/2026</v>
      </c>
    </row>
    <row r="1349" spans="2:23" x14ac:dyDescent="0.2">
      <c r="B1349" t="s">
        <v>18</v>
      </c>
      <c r="C1349" t="s">
        <v>95</v>
      </c>
      <c r="D1349" t="s">
        <v>13</v>
      </c>
      <c r="E1349" s="8" t="s">
        <v>63</v>
      </c>
      <c r="F1349" t="s">
        <v>64</v>
      </c>
      <c r="G1349" s="8" t="s">
        <v>63</v>
      </c>
      <c r="H1349" t="s">
        <v>490</v>
      </c>
      <c r="I1349" t="e">
        <f>VLOOKUP(Tabela2[[#This Row],[Coluna7]],[1]!Tabela1[#All],2,0)</f>
        <v>#REF!</v>
      </c>
      <c r="J1349" t="s">
        <v>491</v>
      </c>
      <c r="L1349">
        <v>51.93</v>
      </c>
      <c r="Q1349" s="10" t="str">
        <f>Tabela2[[#This Row],[Coluna5]]</f>
        <v>12/2025</v>
      </c>
      <c r="R1349" s="10" t="str">
        <f>IF(Tabela2[[#This Row],[Coluna9]]&gt;0,"Entrada","Saída")</f>
        <v>Saída</v>
      </c>
      <c r="S1349" s="10" t="str">
        <f>Tabela2[[#This Row],[Coluna8]]</f>
        <v>CLARO - JURÍDICO</v>
      </c>
      <c r="T1349" s="10" t="e">
        <f>Tabela2[[#This Row],[Coluna72]]</f>
        <v>#REF!</v>
      </c>
      <c r="U1349" s="10">
        <f>SUM(Tabela2[[#This Row],[Coluna9]],Tabela2[[#This Row],[Coluna10]])</f>
        <v>51.93</v>
      </c>
      <c r="V1349" s="2" t="str">
        <f>Tabela2[[#This Row],[Coluna4]]</f>
        <v>01/12/2025</v>
      </c>
      <c r="W1349" s="2" t="str">
        <f>Tabela2[[#This Row],[Coluna6]]</f>
        <v>01/12/2025</v>
      </c>
    </row>
    <row r="1350" spans="2:23" x14ac:dyDescent="0.2">
      <c r="B1350" t="s">
        <v>27</v>
      </c>
      <c r="C1350" t="s">
        <v>95</v>
      </c>
      <c r="D1350" t="s">
        <v>13</v>
      </c>
      <c r="E1350" s="8" t="s">
        <v>66</v>
      </c>
      <c r="F1350" t="s">
        <v>64</v>
      </c>
      <c r="G1350" s="8" t="s">
        <v>66</v>
      </c>
      <c r="H1350" t="s">
        <v>442</v>
      </c>
      <c r="I1350" t="e">
        <f>VLOOKUP(Tabela2[[#This Row],[Coluna7]],[1]!Tabela1[#All],2,0)</f>
        <v>#REF!</v>
      </c>
      <c r="L1350">
        <v>647.37</v>
      </c>
      <c r="Q1350" s="10" t="str">
        <f>Tabela2[[#This Row],[Coluna5]]</f>
        <v>12/2025</v>
      </c>
      <c r="R1350" s="10" t="str">
        <f>IF(Tabela2[[#This Row],[Coluna9]]&gt;0,"Entrada","Saída")</f>
        <v>Saída</v>
      </c>
      <c r="S1350" s="10">
        <f>Tabela2[[#This Row],[Coluna8]]</f>
        <v>0</v>
      </c>
      <c r="T1350" s="10" t="e">
        <f>Tabela2[[#This Row],[Coluna72]]</f>
        <v>#REF!</v>
      </c>
      <c r="U1350" s="10">
        <f>SUM(Tabela2[[#This Row],[Coluna9]],Tabela2[[#This Row],[Coluna10]])</f>
        <v>647.37</v>
      </c>
      <c r="V1350" s="2" t="str">
        <f>Tabela2[[#This Row],[Coluna4]]</f>
        <v>04/12/2025</v>
      </c>
      <c r="W1350" s="2" t="str">
        <f>Tabela2[[#This Row],[Coluna6]]</f>
        <v>04/12/2025</v>
      </c>
    </row>
    <row r="1351" spans="2:23" x14ac:dyDescent="0.2">
      <c r="B1351" t="s">
        <v>18</v>
      </c>
      <c r="C1351" t="s">
        <v>95</v>
      </c>
      <c r="D1351" t="s">
        <v>13</v>
      </c>
      <c r="E1351" s="8" t="s">
        <v>66</v>
      </c>
      <c r="F1351" t="s">
        <v>64</v>
      </c>
      <c r="G1351" s="8" t="s">
        <v>66</v>
      </c>
      <c r="H1351" t="s">
        <v>469</v>
      </c>
      <c r="I1351" t="e">
        <f>VLOOKUP(Tabela2[[#This Row],[Coluna7]],[1]!Tabela1[#All],2,0)</f>
        <v>#REF!</v>
      </c>
      <c r="L1351">
        <v>21.02</v>
      </c>
      <c r="Q1351" s="10" t="str">
        <f>Tabela2[[#This Row],[Coluna5]]</f>
        <v>12/2025</v>
      </c>
      <c r="R1351" s="10" t="str">
        <f>IF(Tabela2[[#This Row],[Coluna9]]&gt;0,"Entrada","Saída")</f>
        <v>Saída</v>
      </c>
      <c r="S1351" s="10">
        <f>Tabela2[[#This Row],[Coluna8]]</f>
        <v>0</v>
      </c>
      <c r="T1351" s="10" t="e">
        <f>Tabela2[[#This Row],[Coluna72]]</f>
        <v>#REF!</v>
      </c>
      <c r="U1351" s="10">
        <f>SUM(Tabela2[[#This Row],[Coluna9]],Tabela2[[#This Row],[Coluna10]])</f>
        <v>21.02</v>
      </c>
      <c r="V1351" s="2" t="str">
        <f>Tabela2[[#This Row],[Coluna4]]</f>
        <v>04/12/2025</v>
      </c>
      <c r="W1351" s="2" t="str">
        <f>Tabela2[[#This Row],[Coluna6]]</f>
        <v>04/12/2025</v>
      </c>
    </row>
    <row r="1352" spans="2:23" x14ac:dyDescent="0.2">
      <c r="B1352" t="s">
        <v>18</v>
      </c>
      <c r="C1352" t="s">
        <v>95</v>
      </c>
      <c r="D1352" t="s">
        <v>13</v>
      </c>
      <c r="E1352" s="8" t="s">
        <v>289</v>
      </c>
      <c r="F1352" t="s">
        <v>64</v>
      </c>
      <c r="G1352" s="8" t="s">
        <v>65</v>
      </c>
      <c r="H1352" t="s">
        <v>477</v>
      </c>
      <c r="I1352" t="e">
        <f>VLOOKUP(Tabela2[[#This Row],[Coluna7]],[1]!Tabela1[#All],2,0)</f>
        <v>#REF!</v>
      </c>
      <c r="J1352" t="s">
        <v>478</v>
      </c>
      <c r="L1352">
        <v>800</v>
      </c>
      <c r="Q1352" s="10" t="str">
        <f>Tabela2[[#This Row],[Coluna5]]</f>
        <v>12/2025</v>
      </c>
      <c r="R1352" s="10" t="str">
        <f>IF(Tabela2[[#This Row],[Coluna9]]&gt;0,"Entrada","Saída")</f>
        <v>Saída</v>
      </c>
      <c r="S1352" s="10" t="str">
        <f>Tabela2[[#This Row],[Coluna8]]</f>
        <v>ALISSON TRAJANO</v>
      </c>
      <c r="T1352" s="10" t="e">
        <f>Tabela2[[#This Row],[Coluna72]]</f>
        <v>#REF!</v>
      </c>
      <c r="U1352" s="10">
        <f>SUM(Tabela2[[#This Row],[Coluna9]],Tabela2[[#This Row],[Coluna10]])</f>
        <v>800</v>
      </c>
      <c r="V1352" s="2" t="str">
        <f>Tabela2[[#This Row],[Coluna4]]</f>
        <v>05/12/2025</v>
      </c>
      <c r="W1352" s="2" t="str">
        <f>Tabela2[[#This Row],[Coluna6]]</f>
        <v>03/12/2025</v>
      </c>
    </row>
    <row r="1353" spans="2:23" x14ac:dyDescent="0.2">
      <c r="B1353" t="s">
        <v>18</v>
      </c>
      <c r="C1353" t="s">
        <v>95</v>
      </c>
      <c r="D1353" t="s">
        <v>13</v>
      </c>
      <c r="E1353" s="8" t="s">
        <v>289</v>
      </c>
      <c r="F1353" t="s">
        <v>64</v>
      </c>
      <c r="G1353" s="8" t="s">
        <v>289</v>
      </c>
      <c r="H1353" t="s">
        <v>443</v>
      </c>
      <c r="I1353" t="e">
        <f>VLOOKUP(Tabela2[[#This Row],[Coluna7]],[1]!Tabela1[#All],2,0)</f>
        <v>#REF!</v>
      </c>
      <c r="J1353" t="s">
        <v>492</v>
      </c>
      <c r="L1353">
        <v>50</v>
      </c>
      <c r="Q1353" s="10" t="str">
        <f>Tabela2[[#This Row],[Coluna5]]</f>
        <v>12/2025</v>
      </c>
      <c r="R1353" s="10" t="str">
        <f>IF(Tabela2[[#This Row],[Coluna9]]&gt;0,"Entrada","Saída")</f>
        <v>Saída</v>
      </c>
      <c r="S1353" s="10" t="str">
        <f>Tabela2[[#This Row],[Coluna8]]</f>
        <v>GELADEIRA LEGAL (PIX PARA D JUDITH)</v>
      </c>
      <c r="T1353" s="10" t="e">
        <f>Tabela2[[#This Row],[Coluna72]]</f>
        <v>#REF!</v>
      </c>
      <c r="U1353" s="10">
        <f>SUM(Tabela2[[#This Row],[Coluna9]],Tabela2[[#This Row],[Coluna10]])</f>
        <v>50</v>
      </c>
      <c r="V1353" s="2" t="str">
        <f>Tabela2[[#This Row],[Coluna4]]</f>
        <v>05/12/2025</v>
      </c>
      <c r="W1353" s="2" t="str">
        <f>Tabela2[[#This Row],[Coluna6]]</f>
        <v>05/12/2025</v>
      </c>
    </row>
    <row r="1354" spans="2:23" x14ac:dyDescent="0.2">
      <c r="B1354" t="s">
        <v>18</v>
      </c>
      <c r="C1354" t="s">
        <v>95</v>
      </c>
      <c r="D1354" t="s">
        <v>13</v>
      </c>
      <c r="E1354" s="8" t="s">
        <v>289</v>
      </c>
      <c r="F1354" t="s">
        <v>64</v>
      </c>
      <c r="G1354" s="8" t="s">
        <v>289</v>
      </c>
      <c r="H1354" t="s">
        <v>443</v>
      </c>
      <c r="I1354" t="e">
        <f>VLOOKUP(Tabela2[[#This Row],[Coluna7]],[1]!Tabela1[#All],2,0)</f>
        <v>#REF!</v>
      </c>
      <c r="J1354" t="s">
        <v>493</v>
      </c>
      <c r="L1354">
        <v>16</v>
      </c>
      <c r="Q1354" s="10" t="str">
        <f>Tabela2[[#This Row],[Coluna5]]</f>
        <v>12/2025</v>
      </c>
      <c r="R1354" s="10" t="str">
        <f>IF(Tabela2[[#This Row],[Coluna9]]&gt;0,"Entrada","Saída")</f>
        <v>Saída</v>
      </c>
      <c r="S1354" s="10" t="str">
        <f>Tabela2[[#This Row],[Coluna8]]</f>
        <v>GELADEIRA LEGAL (ALMOÇO COLETIVO - PIX PARA VICTOR)</v>
      </c>
      <c r="T1354" s="10" t="e">
        <f>Tabela2[[#This Row],[Coluna72]]</f>
        <v>#REF!</v>
      </c>
      <c r="U1354" s="10">
        <f>SUM(Tabela2[[#This Row],[Coluna9]],Tabela2[[#This Row],[Coluna10]])</f>
        <v>16</v>
      </c>
      <c r="V1354" s="2" t="str">
        <f>Tabela2[[#This Row],[Coluna4]]</f>
        <v>05/12/2025</v>
      </c>
      <c r="W1354" s="2" t="str">
        <f>Tabela2[[#This Row],[Coluna6]]</f>
        <v>05/12/2025</v>
      </c>
    </row>
    <row r="1355" spans="2:23" x14ac:dyDescent="0.2">
      <c r="B1355" t="s">
        <v>18</v>
      </c>
      <c r="C1355" t="s">
        <v>95</v>
      </c>
      <c r="D1355" t="s">
        <v>13</v>
      </c>
      <c r="E1355" s="8" t="s">
        <v>67</v>
      </c>
      <c r="F1355" t="s">
        <v>64</v>
      </c>
      <c r="G1355" s="8" t="s">
        <v>65</v>
      </c>
      <c r="H1355" t="s">
        <v>440</v>
      </c>
      <c r="I1355" t="e">
        <f>VLOOKUP(Tabela2[[#This Row],[Coluna7]],[1]!Tabela1[#All],2,0)</f>
        <v>#REF!</v>
      </c>
      <c r="J1355" t="s">
        <v>441</v>
      </c>
      <c r="L1355">
        <v>173.48</v>
      </c>
      <c r="Q1355" s="10" t="str">
        <f>Tabela2[[#This Row],[Coluna5]]</f>
        <v>12/2025</v>
      </c>
      <c r="R1355" s="10" t="str">
        <f>IF(Tabela2[[#This Row],[Coluna9]]&gt;0,"Entrada","Saída")</f>
        <v>Saída</v>
      </c>
      <c r="S1355" s="10" t="str">
        <f>Tabela2[[#This Row],[Coluna8]]</f>
        <v>ENERGISA</v>
      </c>
      <c r="T1355" s="10" t="e">
        <f>Tabela2[[#This Row],[Coluna72]]</f>
        <v>#REF!</v>
      </c>
      <c r="U1355" s="10">
        <f>SUM(Tabela2[[#This Row],[Coluna9]],Tabela2[[#This Row],[Coluna10]])</f>
        <v>173.48</v>
      </c>
      <c r="V1355" s="2" t="str">
        <f>Tabela2[[#This Row],[Coluna4]]</f>
        <v>06/12/2025</v>
      </c>
      <c r="W1355" s="2" t="str">
        <f>Tabela2[[#This Row],[Coluna6]]</f>
        <v>03/12/2025</v>
      </c>
    </row>
    <row r="1356" spans="2:23" x14ac:dyDescent="0.2">
      <c r="B1356" t="s">
        <v>18</v>
      </c>
      <c r="C1356" t="s">
        <v>95</v>
      </c>
      <c r="D1356" t="s">
        <v>13</v>
      </c>
      <c r="E1356" s="8" t="s">
        <v>292</v>
      </c>
      <c r="F1356" t="s">
        <v>64</v>
      </c>
      <c r="G1356" s="8" t="s">
        <v>292</v>
      </c>
      <c r="H1356" t="s">
        <v>490</v>
      </c>
      <c r="I1356" t="e">
        <f>VLOOKUP(Tabela2[[#This Row],[Coluna7]],[1]!Tabela1[#All],2,0)</f>
        <v>#REF!</v>
      </c>
      <c r="J1356" t="s">
        <v>494</v>
      </c>
      <c r="L1356">
        <v>15</v>
      </c>
      <c r="Q1356" s="10" t="str">
        <f>Tabela2[[#This Row],[Coluna5]]</f>
        <v>12/2025</v>
      </c>
      <c r="R1356" s="10" t="str">
        <f>IF(Tabela2[[#This Row],[Coluna9]]&gt;0,"Entrada","Saída")</f>
        <v>Saída</v>
      </c>
      <c r="S1356" s="10" t="str">
        <f>Tabela2[[#This Row],[Coluna8]]</f>
        <v>TELEFONE DO FINANCEIRO</v>
      </c>
      <c r="T1356" s="10" t="e">
        <f>Tabela2[[#This Row],[Coluna72]]</f>
        <v>#REF!</v>
      </c>
      <c r="U1356" s="10">
        <f>SUM(Tabela2[[#This Row],[Coluna9]],Tabela2[[#This Row],[Coluna10]])</f>
        <v>15</v>
      </c>
      <c r="V1356" s="2" t="str">
        <f>Tabela2[[#This Row],[Coluna4]]</f>
        <v>09/12/2025</v>
      </c>
      <c r="W1356" s="2" t="str">
        <f>Tabela2[[#This Row],[Coluna6]]</f>
        <v>09/12/2025</v>
      </c>
    </row>
    <row r="1357" spans="2:23" x14ac:dyDescent="0.2">
      <c r="B1357" t="s">
        <v>71</v>
      </c>
      <c r="C1357" t="s">
        <v>95</v>
      </c>
      <c r="D1357" t="s">
        <v>13</v>
      </c>
      <c r="E1357" s="8" t="s">
        <v>69</v>
      </c>
      <c r="F1357" t="s">
        <v>64</v>
      </c>
      <c r="G1357" s="8" t="s">
        <v>309</v>
      </c>
      <c r="H1357" t="s">
        <v>445</v>
      </c>
      <c r="I1357" t="e">
        <f>VLOOKUP(Tabela2[[#This Row],[Coluna7]],[1]!Tabela1[#All],2,0)</f>
        <v>#REF!</v>
      </c>
      <c r="J1357" t="s">
        <v>495</v>
      </c>
      <c r="L1357">
        <v>1500</v>
      </c>
      <c r="Q1357" s="10" t="str">
        <f>Tabela2[[#This Row],[Coluna5]]</f>
        <v>12/2025</v>
      </c>
      <c r="R1357" s="10" t="str">
        <f>IF(Tabela2[[#This Row],[Coluna9]]&gt;0,"Entrada","Saída")</f>
        <v>Saída</v>
      </c>
      <c r="S1357" s="10" t="str">
        <f>Tabela2[[#This Row],[Coluna8]]</f>
        <v>6/9 SISTEMA FINANCEIRO</v>
      </c>
      <c r="T1357" s="10" t="e">
        <f>Tabela2[[#This Row],[Coluna72]]</f>
        <v>#REF!</v>
      </c>
      <c r="U1357" s="10">
        <f>SUM(Tabela2[[#This Row],[Coluna9]],Tabela2[[#This Row],[Coluna10]])</f>
        <v>1500</v>
      </c>
      <c r="V1357" s="2" t="str">
        <f>Tabela2[[#This Row],[Coluna4]]</f>
        <v>10/12/2025</v>
      </c>
      <c r="W1357" s="2" t="str">
        <f>Tabela2[[#This Row],[Coluna6]]</f>
        <v>12/12/2025</v>
      </c>
    </row>
    <row r="1358" spans="2:23" x14ac:dyDescent="0.2">
      <c r="B1358" t="s">
        <v>18</v>
      </c>
      <c r="C1358" t="s">
        <v>95</v>
      </c>
      <c r="D1358" t="s">
        <v>13</v>
      </c>
      <c r="E1358" s="8" t="s">
        <v>69</v>
      </c>
      <c r="F1358" t="s">
        <v>64</v>
      </c>
      <c r="G1358" s="8" t="s">
        <v>66</v>
      </c>
      <c r="H1358" t="s">
        <v>445</v>
      </c>
      <c r="I1358" t="e">
        <f>VLOOKUP(Tabela2[[#This Row],[Coluna7]],[1]!Tabela1[#All],2,0)</f>
        <v>#REF!</v>
      </c>
      <c r="J1358" t="s">
        <v>447</v>
      </c>
      <c r="L1358">
        <v>385</v>
      </c>
      <c r="Q1358" s="10" t="str">
        <f>Tabela2[[#This Row],[Coluna5]]</f>
        <v>12/2025</v>
      </c>
      <c r="R1358" s="10" t="str">
        <f>IF(Tabela2[[#This Row],[Coluna9]]&gt;0,"Entrada","Saída")</f>
        <v>Saída</v>
      </c>
      <c r="S1358" s="10" t="str">
        <f>Tabela2[[#This Row],[Coluna8]]</f>
        <v>LEGALMAIL</v>
      </c>
      <c r="T1358" s="10" t="e">
        <f>Tabela2[[#This Row],[Coluna72]]</f>
        <v>#REF!</v>
      </c>
      <c r="U1358" s="10">
        <f>SUM(Tabela2[[#This Row],[Coluna9]],Tabela2[[#This Row],[Coluna10]])</f>
        <v>385</v>
      </c>
      <c r="V1358" s="2" t="str">
        <f>Tabela2[[#This Row],[Coluna4]]</f>
        <v>10/12/2025</v>
      </c>
      <c r="W1358" s="2" t="str">
        <f>Tabela2[[#This Row],[Coluna6]]</f>
        <v>04/12/2025</v>
      </c>
    </row>
    <row r="1359" spans="2:23" x14ac:dyDescent="0.2">
      <c r="B1359" t="s">
        <v>18</v>
      </c>
      <c r="C1359" t="s">
        <v>95</v>
      </c>
      <c r="D1359" t="s">
        <v>13</v>
      </c>
      <c r="E1359" s="8" t="s">
        <v>69</v>
      </c>
      <c r="F1359" t="s">
        <v>64</v>
      </c>
      <c r="G1359" s="8" t="s">
        <v>69</v>
      </c>
      <c r="H1359" t="s">
        <v>490</v>
      </c>
      <c r="I1359" t="e">
        <f>VLOOKUP(Tabela2[[#This Row],[Coluna7]],[1]!Tabela1[#All],2,0)</f>
        <v>#REF!</v>
      </c>
      <c r="J1359" t="s">
        <v>496</v>
      </c>
      <c r="L1359">
        <v>53.16</v>
      </c>
      <c r="Q1359" s="10" t="str">
        <f>Tabela2[[#This Row],[Coluna5]]</f>
        <v>12/2025</v>
      </c>
      <c r="R1359" s="10" t="str">
        <f>IF(Tabela2[[#This Row],[Coluna9]]&gt;0,"Entrada","Saída")</f>
        <v>Saída</v>
      </c>
      <c r="S1359" s="10" t="str">
        <f>Tabela2[[#This Row],[Coluna8]]</f>
        <v>CLARO JURÍDICO</v>
      </c>
      <c r="T1359" s="10" t="e">
        <f>Tabela2[[#This Row],[Coluna72]]</f>
        <v>#REF!</v>
      </c>
      <c r="U1359" s="10">
        <f>SUM(Tabela2[[#This Row],[Coluna9]],Tabela2[[#This Row],[Coluna10]])</f>
        <v>53.16</v>
      </c>
      <c r="V1359" s="2" t="str">
        <f>Tabela2[[#This Row],[Coluna4]]</f>
        <v>10/12/2025</v>
      </c>
      <c r="W1359" s="2" t="str">
        <f>Tabela2[[#This Row],[Coluna6]]</f>
        <v>10/12/2025</v>
      </c>
    </row>
    <row r="1360" spans="2:23" x14ac:dyDescent="0.2">
      <c r="B1360" t="s">
        <v>18</v>
      </c>
      <c r="C1360" t="s">
        <v>95</v>
      </c>
      <c r="D1360" t="s">
        <v>13</v>
      </c>
      <c r="E1360" s="8" t="s">
        <v>69</v>
      </c>
      <c r="F1360" t="s">
        <v>64</v>
      </c>
      <c r="G1360" s="8" t="s">
        <v>69</v>
      </c>
      <c r="H1360" t="s">
        <v>451</v>
      </c>
      <c r="I1360" t="e">
        <f>VLOOKUP(Tabela2[[#This Row],[Coluna7]],[1]!Tabela1[#All],2,0)</f>
        <v>#REF!</v>
      </c>
      <c r="J1360" t="s">
        <v>452</v>
      </c>
      <c r="L1360">
        <v>156.72</v>
      </c>
      <c r="Q1360" s="10" t="str">
        <f>Tabela2[[#This Row],[Coluna5]]</f>
        <v>12/2025</v>
      </c>
      <c r="R1360" s="10" t="str">
        <f>IF(Tabela2[[#This Row],[Coluna9]]&gt;0,"Entrada","Saída")</f>
        <v>Saída</v>
      </c>
      <c r="S1360" s="10" t="str">
        <f>Tabela2[[#This Row],[Coluna8]]</f>
        <v>CLARO</v>
      </c>
      <c r="T1360" s="10" t="e">
        <f>Tabela2[[#This Row],[Coluna72]]</f>
        <v>#REF!</v>
      </c>
      <c r="U1360" s="10">
        <f>SUM(Tabela2[[#This Row],[Coluna9]],Tabela2[[#This Row],[Coluna10]])</f>
        <v>156.72</v>
      </c>
      <c r="V1360" s="2" t="str">
        <f>Tabela2[[#This Row],[Coluna4]]</f>
        <v>10/12/2025</v>
      </c>
      <c r="W1360" s="2" t="str">
        <f>Tabela2[[#This Row],[Coluna6]]</f>
        <v>10/12/2025</v>
      </c>
    </row>
    <row r="1361" spans="2:23" x14ac:dyDescent="0.2">
      <c r="B1361" t="s">
        <v>12</v>
      </c>
      <c r="C1361" t="s">
        <v>95</v>
      </c>
      <c r="D1361" t="s">
        <v>13</v>
      </c>
      <c r="E1361" s="8" t="s">
        <v>309</v>
      </c>
      <c r="F1361" t="s">
        <v>64</v>
      </c>
      <c r="G1361" s="8" t="s">
        <v>309</v>
      </c>
      <c r="H1361" t="s">
        <v>469</v>
      </c>
      <c r="I1361" t="e">
        <f>VLOOKUP(Tabela2[[#This Row],[Coluna7]],[1]!Tabela1[#All],2,0)</f>
        <v>#REF!</v>
      </c>
      <c r="J1361" t="s">
        <v>497</v>
      </c>
      <c r="L1361">
        <v>8.5</v>
      </c>
      <c r="Q1361" s="10" t="str">
        <f>Tabela2[[#This Row],[Coluna5]]</f>
        <v>12/2025</v>
      </c>
      <c r="R1361" s="10" t="str">
        <f>IF(Tabela2[[#This Row],[Coluna9]]&gt;0,"Entrada","Saída")</f>
        <v>Saída</v>
      </c>
      <c r="S1361" s="10" t="str">
        <f>Tabela2[[#This Row],[Coluna8]]</f>
        <v>PAPELARIA</v>
      </c>
      <c r="T1361" s="10" t="e">
        <f>Tabela2[[#This Row],[Coluna72]]</f>
        <v>#REF!</v>
      </c>
      <c r="U1361" s="10">
        <f>SUM(Tabela2[[#This Row],[Coluna9]],Tabela2[[#This Row],[Coluna10]])</f>
        <v>8.5</v>
      </c>
      <c r="V1361" s="2" t="str">
        <f>Tabela2[[#This Row],[Coluna4]]</f>
        <v>12/12/2025</v>
      </c>
      <c r="W1361" s="2" t="str">
        <f>Tabela2[[#This Row],[Coluna6]]</f>
        <v>12/12/2025</v>
      </c>
    </row>
    <row r="1362" spans="2:23" x14ac:dyDescent="0.2">
      <c r="B1362" t="s">
        <v>27</v>
      </c>
      <c r="C1362" t="s">
        <v>95</v>
      </c>
      <c r="D1362" t="s">
        <v>13</v>
      </c>
      <c r="E1362" s="8" t="s">
        <v>76</v>
      </c>
      <c r="F1362" t="s">
        <v>64</v>
      </c>
      <c r="G1362" s="8" t="s">
        <v>76</v>
      </c>
      <c r="H1362" t="s">
        <v>442</v>
      </c>
      <c r="I1362" t="e">
        <f>VLOOKUP(Tabela2[[#This Row],[Coluna7]],[1]!Tabela1[#All],2,0)</f>
        <v>#REF!</v>
      </c>
      <c r="J1362" t="s">
        <v>498</v>
      </c>
      <c r="L1362">
        <v>1021.45</v>
      </c>
      <c r="Q1362" s="10" t="str">
        <f>Tabela2[[#This Row],[Coluna5]]</f>
        <v>12/2025</v>
      </c>
      <c r="R1362" s="10" t="str">
        <f>IF(Tabela2[[#This Row],[Coluna9]]&gt;0,"Entrada","Saída")</f>
        <v>Saída</v>
      </c>
      <c r="S1362" s="10" t="str">
        <f>Tabela2[[#This Row],[Coluna8]]</f>
        <v>OP CAPITAL DE GIRO</v>
      </c>
      <c r="T1362" s="10" t="e">
        <f>Tabela2[[#This Row],[Coluna72]]</f>
        <v>#REF!</v>
      </c>
      <c r="U1362" s="10">
        <f>SUM(Tabela2[[#This Row],[Coluna9]],Tabela2[[#This Row],[Coluna10]])</f>
        <v>1021.45</v>
      </c>
      <c r="V1362" s="2" t="str">
        <f>Tabela2[[#This Row],[Coluna4]]</f>
        <v>15/12/2025</v>
      </c>
      <c r="W1362" s="2" t="str">
        <f>Tabela2[[#This Row],[Coluna6]]</f>
        <v>15/12/2025</v>
      </c>
    </row>
    <row r="1363" spans="2:23" x14ac:dyDescent="0.2">
      <c r="B1363" t="s">
        <v>27</v>
      </c>
      <c r="C1363" t="s">
        <v>95</v>
      </c>
      <c r="D1363" t="s">
        <v>13</v>
      </c>
      <c r="E1363" s="8" t="s">
        <v>76</v>
      </c>
      <c r="F1363" t="s">
        <v>64</v>
      </c>
      <c r="G1363" s="8" t="s">
        <v>76</v>
      </c>
      <c r="H1363" t="s">
        <v>442</v>
      </c>
      <c r="I1363" t="e">
        <f>VLOOKUP(Tabela2[[#This Row],[Coluna7]],[1]!Tabela1[#All],2,0)</f>
        <v>#REF!</v>
      </c>
      <c r="J1363" t="s">
        <v>498</v>
      </c>
      <c r="L1363">
        <v>1546.2</v>
      </c>
      <c r="Q1363" s="10" t="str">
        <f>Tabela2[[#This Row],[Coluna5]]</f>
        <v>12/2025</v>
      </c>
      <c r="R1363" s="10" t="str">
        <f>IF(Tabela2[[#This Row],[Coluna9]]&gt;0,"Entrada","Saída")</f>
        <v>Saída</v>
      </c>
      <c r="S1363" s="10" t="str">
        <f>Tabela2[[#This Row],[Coluna8]]</f>
        <v>OP CAPITAL DE GIRO</v>
      </c>
      <c r="T1363" s="10" t="e">
        <f>Tabela2[[#This Row],[Coluna72]]</f>
        <v>#REF!</v>
      </c>
      <c r="U1363" s="10">
        <f>SUM(Tabela2[[#This Row],[Coluna9]],Tabela2[[#This Row],[Coluna10]])</f>
        <v>1546.2</v>
      </c>
      <c r="V1363" s="2" t="str">
        <f>Tabela2[[#This Row],[Coluna4]]</f>
        <v>15/12/2025</v>
      </c>
      <c r="W1363" s="2" t="str">
        <f>Tabela2[[#This Row],[Coluna6]]</f>
        <v>15/12/2025</v>
      </c>
    </row>
    <row r="1364" spans="2:23" x14ac:dyDescent="0.2">
      <c r="B1364" t="s">
        <v>18</v>
      </c>
      <c r="C1364" t="s">
        <v>125</v>
      </c>
      <c r="D1364" t="s">
        <v>13</v>
      </c>
      <c r="E1364" s="8" t="s">
        <v>317</v>
      </c>
      <c r="F1364" t="s">
        <v>64</v>
      </c>
      <c r="G1364" s="8" t="s">
        <v>317</v>
      </c>
      <c r="H1364" t="s">
        <v>488</v>
      </c>
      <c r="I1364" t="e">
        <f>VLOOKUP(Tabela2[[#This Row],[Coluna7]],[1]!Tabela1[#All],2,0)</f>
        <v>#REF!</v>
      </c>
      <c r="L1364">
        <v>50</v>
      </c>
      <c r="N1364" t="s">
        <v>499</v>
      </c>
      <c r="Q1364" s="10" t="str">
        <f>Tabela2[[#This Row],[Coluna5]]</f>
        <v>12/2025</v>
      </c>
      <c r="R1364" s="10" t="str">
        <f>IF(Tabela2[[#This Row],[Coluna9]]&gt;0,"Entrada","Saída")</f>
        <v>Saída</v>
      </c>
      <c r="S1364" s="10">
        <f>Tabela2[[#This Row],[Coluna8]]</f>
        <v>0</v>
      </c>
      <c r="T1364" s="10" t="e">
        <f>Tabela2[[#This Row],[Coluna72]]</f>
        <v>#REF!</v>
      </c>
      <c r="U1364" s="10">
        <f>SUM(Tabela2[[#This Row],[Coluna9]],Tabela2[[#This Row],[Coluna10]])</f>
        <v>50</v>
      </c>
      <c r="V1364" s="2" t="str">
        <f>Tabela2[[#This Row],[Coluna4]]</f>
        <v>16/12/2025</v>
      </c>
      <c r="W1364" s="2" t="str">
        <f>Tabela2[[#This Row],[Coluna6]]</f>
        <v>16/12/2025</v>
      </c>
    </row>
    <row r="1365" spans="2:23" x14ac:dyDescent="0.2">
      <c r="B1365" t="s">
        <v>27</v>
      </c>
      <c r="C1365" t="s">
        <v>95</v>
      </c>
      <c r="D1365" t="s">
        <v>13</v>
      </c>
      <c r="E1365" s="8" t="s">
        <v>317</v>
      </c>
      <c r="F1365" t="s">
        <v>64</v>
      </c>
      <c r="G1365" s="8" t="s">
        <v>317</v>
      </c>
      <c r="H1365" t="s">
        <v>445</v>
      </c>
      <c r="I1365" t="e">
        <f>VLOOKUP(Tabela2[[#This Row],[Coluna7]],[1]!Tabela1[#All],2,0)</f>
        <v>#REF!</v>
      </c>
      <c r="J1365" t="s">
        <v>500</v>
      </c>
      <c r="L1365">
        <v>570</v>
      </c>
      <c r="Q1365" s="10" t="str">
        <f>Tabela2[[#This Row],[Coluna5]]</f>
        <v>12/2025</v>
      </c>
      <c r="R1365" s="10" t="str">
        <f>IF(Tabela2[[#This Row],[Coluna9]]&gt;0,"Entrada","Saída")</f>
        <v>Saída</v>
      </c>
      <c r="S1365" s="10" t="str">
        <f>Tabela2[[#This Row],[Coluna8]]</f>
        <v>TOUCHWORKS - IMPLEMENTAÇÃO</v>
      </c>
      <c r="T1365" s="10" t="e">
        <f>Tabela2[[#This Row],[Coluna72]]</f>
        <v>#REF!</v>
      </c>
      <c r="U1365" s="10">
        <f>SUM(Tabela2[[#This Row],[Coluna9]],Tabela2[[#This Row],[Coluna10]])</f>
        <v>570</v>
      </c>
      <c r="V1365" s="2" t="str">
        <f>Tabela2[[#This Row],[Coluna4]]</f>
        <v>16/12/2025</v>
      </c>
      <c r="W1365" s="2" t="str">
        <f>Tabela2[[#This Row],[Coluna6]]</f>
        <v>16/12/2025</v>
      </c>
    </row>
    <row r="1366" spans="2:23" x14ac:dyDescent="0.2">
      <c r="B1366" t="s">
        <v>12</v>
      </c>
      <c r="C1366" t="s">
        <v>95</v>
      </c>
      <c r="D1366" t="s">
        <v>13</v>
      </c>
      <c r="E1366" s="8" t="s">
        <v>78</v>
      </c>
      <c r="F1366" t="s">
        <v>64</v>
      </c>
      <c r="G1366" s="8" t="s">
        <v>78</v>
      </c>
      <c r="H1366" t="s">
        <v>438</v>
      </c>
      <c r="I1366" t="e">
        <f>VLOOKUP(Tabela2[[#This Row],[Coluna7]],[1]!Tabela1[#All],2,0)</f>
        <v>#REF!</v>
      </c>
      <c r="J1366" t="s">
        <v>501</v>
      </c>
      <c r="L1366">
        <v>85</v>
      </c>
      <c r="Q1366" s="10" t="str">
        <f>Tabela2[[#This Row],[Coluna5]]</f>
        <v>12/2025</v>
      </c>
      <c r="R1366" s="10" t="str">
        <f>IF(Tabela2[[#This Row],[Coluna9]]&gt;0,"Entrada","Saída")</f>
        <v>Saída</v>
      </c>
      <c r="S1366" s="10" t="str">
        <f>Tabela2[[#This Row],[Coluna8]]</f>
        <v>AC - PRÉ INSTALAÇÃO</v>
      </c>
      <c r="T1366" s="10" t="e">
        <f>Tabela2[[#This Row],[Coluna72]]</f>
        <v>#REF!</v>
      </c>
      <c r="U1366" s="10">
        <f>SUM(Tabela2[[#This Row],[Coluna9]],Tabela2[[#This Row],[Coluna10]])</f>
        <v>85</v>
      </c>
      <c r="V1366" s="2" t="str">
        <f>Tabela2[[#This Row],[Coluna4]]</f>
        <v>17/12/2025</v>
      </c>
      <c r="W1366" s="2" t="str">
        <f>Tabela2[[#This Row],[Coluna6]]</f>
        <v>17/12/2025</v>
      </c>
    </row>
    <row r="1367" spans="2:23" x14ac:dyDescent="0.2">
      <c r="B1367" t="s">
        <v>18</v>
      </c>
      <c r="C1367" t="s">
        <v>125</v>
      </c>
      <c r="D1367" t="s">
        <v>13</v>
      </c>
      <c r="E1367" s="8" t="s">
        <v>77</v>
      </c>
      <c r="F1367" t="s">
        <v>64</v>
      </c>
      <c r="G1367" s="8" t="s">
        <v>77</v>
      </c>
      <c r="H1367" t="s">
        <v>488</v>
      </c>
      <c r="I1367" t="e">
        <f>VLOOKUP(Tabela2[[#This Row],[Coluna7]],[1]!Tabela1[#All],2,0)</f>
        <v>#REF!</v>
      </c>
      <c r="J1367" t="s">
        <v>502</v>
      </c>
      <c r="L1367">
        <v>50</v>
      </c>
      <c r="N1367" t="s">
        <v>499</v>
      </c>
      <c r="Q1367" s="10" t="str">
        <f>Tabela2[[#This Row],[Coluna5]]</f>
        <v>12/2025</v>
      </c>
      <c r="R1367" s="10" t="str">
        <f>IF(Tabela2[[#This Row],[Coluna9]]&gt;0,"Entrada","Saída")</f>
        <v>Saída</v>
      </c>
      <c r="S1367" s="10" t="str">
        <f>Tabela2[[#This Row],[Coluna8]]</f>
        <v>GASOLINA</v>
      </c>
      <c r="T1367" s="10" t="e">
        <f>Tabela2[[#This Row],[Coluna72]]</f>
        <v>#REF!</v>
      </c>
      <c r="U1367" s="10">
        <f>SUM(Tabela2[[#This Row],[Coluna9]],Tabela2[[#This Row],[Coluna10]])</f>
        <v>50</v>
      </c>
      <c r="V1367" s="2" t="str">
        <f>Tabela2[[#This Row],[Coluna4]]</f>
        <v>18/12/2025</v>
      </c>
      <c r="W1367" s="2" t="str">
        <f>Tabela2[[#This Row],[Coluna6]]</f>
        <v>18/12/2025</v>
      </c>
    </row>
    <row r="1368" spans="2:23" x14ac:dyDescent="0.2">
      <c r="B1368" t="s">
        <v>18</v>
      </c>
      <c r="C1368" t="s">
        <v>125</v>
      </c>
      <c r="D1368" t="s">
        <v>13</v>
      </c>
      <c r="E1368" s="8" t="s">
        <v>77</v>
      </c>
      <c r="F1368" t="s">
        <v>64</v>
      </c>
      <c r="G1368" s="8" t="s">
        <v>77</v>
      </c>
      <c r="H1368" t="s">
        <v>486</v>
      </c>
      <c r="I1368" t="e">
        <f>VLOOKUP(Tabela2[[#This Row],[Coluna7]],[1]!Tabela1[#All],2,0)</f>
        <v>#REF!</v>
      </c>
      <c r="J1368" t="s">
        <v>503</v>
      </c>
      <c r="L1368">
        <v>30</v>
      </c>
      <c r="N1368" t="s">
        <v>499</v>
      </c>
      <c r="Q1368" s="10" t="str">
        <f>Tabela2[[#This Row],[Coluna5]]</f>
        <v>12/2025</v>
      </c>
      <c r="R1368" s="10" t="str">
        <f>IF(Tabela2[[#This Row],[Coluna9]]&gt;0,"Entrada","Saída")</f>
        <v>Saída</v>
      </c>
      <c r="S1368" s="10" t="str">
        <f>Tabela2[[#This Row],[Coluna8]]</f>
        <v>CRÉDITO NO CELULAR</v>
      </c>
      <c r="T1368" s="10" t="e">
        <f>Tabela2[[#This Row],[Coluna72]]</f>
        <v>#REF!</v>
      </c>
      <c r="U1368" s="10">
        <f>SUM(Tabela2[[#This Row],[Coluna9]],Tabela2[[#This Row],[Coluna10]])</f>
        <v>30</v>
      </c>
      <c r="V1368" s="2" t="str">
        <f>Tabela2[[#This Row],[Coluna4]]</f>
        <v>18/12/2025</v>
      </c>
      <c r="W1368" s="2" t="str">
        <f>Tabela2[[#This Row],[Coluna6]]</f>
        <v>18/12/2025</v>
      </c>
    </row>
    <row r="1369" spans="2:23" x14ac:dyDescent="0.2">
      <c r="B1369" t="s">
        <v>58</v>
      </c>
      <c r="C1369" t="s">
        <v>95</v>
      </c>
      <c r="D1369" t="s">
        <v>13</v>
      </c>
      <c r="E1369" s="8" t="s">
        <v>77</v>
      </c>
      <c r="F1369" t="s">
        <v>64</v>
      </c>
      <c r="G1369" s="8" t="s">
        <v>77</v>
      </c>
      <c r="H1369" t="s">
        <v>504</v>
      </c>
      <c r="I1369" t="e">
        <f>VLOOKUP(Tabela2[[#This Row],[Coluna7]],[1]!Tabela1[#All],2,0)</f>
        <v>#REF!</v>
      </c>
      <c r="J1369" t="s">
        <v>505</v>
      </c>
      <c r="L1369">
        <v>10200</v>
      </c>
      <c r="Q1369" s="10" t="str">
        <f>Tabela2[[#This Row],[Coluna5]]</f>
        <v>12/2025</v>
      </c>
      <c r="R1369" s="10" t="str">
        <f>IF(Tabela2[[#This Row],[Coluna9]]&gt;0,"Entrada","Saída")</f>
        <v>Saída</v>
      </c>
      <c r="S1369" s="10" t="str">
        <f>Tabela2[[#This Row],[Coluna8]]</f>
        <v>AGOSTO A DEZEMBRO</v>
      </c>
      <c r="T1369" s="10" t="e">
        <f>Tabela2[[#This Row],[Coluna72]]</f>
        <v>#REF!</v>
      </c>
      <c r="U1369" s="10">
        <f>SUM(Tabela2[[#This Row],[Coluna9]],Tabela2[[#This Row],[Coluna10]])</f>
        <v>10200</v>
      </c>
      <c r="V1369" s="2" t="str">
        <f>Tabela2[[#This Row],[Coluna4]]</f>
        <v>18/12/2025</v>
      </c>
      <c r="W1369" s="2" t="str">
        <f>Tabela2[[#This Row],[Coluna6]]</f>
        <v>18/12/2025</v>
      </c>
    </row>
    <row r="1370" spans="2:23" x14ac:dyDescent="0.2">
      <c r="B1370" t="s">
        <v>71</v>
      </c>
      <c r="C1370" t="s">
        <v>95</v>
      </c>
      <c r="D1370" t="s">
        <v>13</v>
      </c>
      <c r="E1370" s="8" t="s">
        <v>77</v>
      </c>
      <c r="F1370" t="s">
        <v>506</v>
      </c>
      <c r="G1370" s="8" t="s">
        <v>77</v>
      </c>
      <c r="H1370" t="s">
        <v>504</v>
      </c>
      <c r="I1370" t="e">
        <f>VLOOKUP(Tabela2[[#This Row],[Coluna7]],[1]!Tabela1[#All],2,0)</f>
        <v>#REF!</v>
      </c>
      <c r="J1370" t="s">
        <v>507</v>
      </c>
      <c r="L1370">
        <v>10200</v>
      </c>
      <c r="Q1370" s="10" t="str">
        <f>Tabela2[[#This Row],[Coluna5]]</f>
        <v>08/2025</v>
      </c>
      <c r="R1370" s="10" t="str">
        <f>IF(Tabela2[[#This Row],[Coluna9]]&gt;0,"Entrada","Saída")</f>
        <v>Saída</v>
      </c>
      <c r="S1370" s="10" t="str">
        <f>Tabela2[[#This Row],[Coluna8]]</f>
        <v>ALUGUEL - AGOSTO A DEZEMBRO</v>
      </c>
      <c r="T1370" s="10" t="e">
        <f>Tabela2[[#This Row],[Coluna72]]</f>
        <v>#REF!</v>
      </c>
      <c r="U1370" s="10">
        <f>SUM(Tabela2[[#This Row],[Coluna9]],Tabela2[[#This Row],[Coluna10]])</f>
        <v>10200</v>
      </c>
      <c r="V1370" s="2" t="str">
        <f>Tabela2[[#This Row],[Coluna4]]</f>
        <v>18/12/2025</v>
      </c>
      <c r="W1370" s="2" t="str">
        <f>Tabela2[[#This Row],[Coluna6]]</f>
        <v>18/12/2025</v>
      </c>
    </row>
    <row r="1371" spans="2:23" x14ac:dyDescent="0.2">
      <c r="B1371" t="s">
        <v>12</v>
      </c>
      <c r="C1371" t="s">
        <v>95</v>
      </c>
      <c r="D1371" t="s">
        <v>13</v>
      </c>
      <c r="E1371" s="8" t="s">
        <v>416</v>
      </c>
      <c r="F1371" t="s">
        <v>84</v>
      </c>
      <c r="G1371" s="8" t="s">
        <v>416</v>
      </c>
      <c r="H1371" t="s">
        <v>443</v>
      </c>
      <c r="I1371" t="e">
        <f>VLOOKUP(Tabela2[[#This Row],[Coluna7]],[1]!Tabela1[#All],2,0)</f>
        <v>#REF!</v>
      </c>
      <c r="J1371" t="s">
        <v>508</v>
      </c>
      <c r="L1371">
        <v>15.28</v>
      </c>
      <c r="Q1371" s="10" t="str">
        <f>Tabela2[[#This Row],[Coluna5]]</f>
        <v>01/2026</v>
      </c>
      <c r="R1371" s="10" t="str">
        <f>IF(Tabela2[[#This Row],[Coluna9]]&gt;0,"Entrada","Saída")</f>
        <v>Saída</v>
      </c>
      <c r="S1371" s="10" t="str">
        <f>Tabela2[[#This Row],[Coluna8]]</f>
        <v>GELADEIRA LEGAL (15,21 E 0,07)</v>
      </c>
      <c r="T1371" s="10" t="e">
        <f>Tabela2[[#This Row],[Coluna72]]</f>
        <v>#REF!</v>
      </c>
      <c r="U1371" s="10">
        <f>SUM(Tabela2[[#This Row],[Coluna9]],Tabela2[[#This Row],[Coluna10]])</f>
        <v>15.28</v>
      </c>
      <c r="V1371" s="2" t="str">
        <f>Tabela2[[#This Row],[Coluna4]]</f>
        <v>19/12/2025</v>
      </c>
      <c r="W1371" s="2" t="str">
        <f>Tabela2[[#This Row],[Coluna6]]</f>
        <v>19/12/2025</v>
      </c>
    </row>
    <row r="1372" spans="2:23" x14ac:dyDescent="0.2">
      <c r="B1372" t="s">
        <v>71</v>
      </c>
      <c r="C1372" t="s">
        <v>95</v>
      </c>
      <c r="D1372" t="s">
        <v>13</v>
      </c>
      <c r="E1372" s="8" t="s">
        <v>79</v>
      </c>
      <c r="F1372" t="s">
        <v>64</v>
      </c>
      <c r="G1372" s="8" t="s">
        <v>79</v>
      </c>
      <c r="H1372" t="s">
        <v>435</v>
      </c>
      <c r="I1372" t="e">
        <f>VLOOKUP(Tabela2[[#This Row],[Coluna7]],[1]!Tabela1[#All],2,0)</f>
        <v>#REF!</v>
      </c>
      <c r="J1372" t="s">
        <v>509</v>
      </c>
      <c r="L1372">
        <v>20000</v>
      </c>
      <c r="Q1372" s="10" t="str">
        <f>Tabela2[[#This Row],[Coluna5]]</f>
        <v>12/2025</v>
      </c>
      <c r="R1372" s="10" t="str">
        <f>IF(Tabela2[[#This Row],[Coluna9]]&gt;0,"Entrada","Saída")</f>
        <v>Saída</v>
      </c>
      <c r="S1372" s="10" t="str">
        <f>Tabela2[[#This Row],[Coluna8]]</f>
        <v>MÓVEIS - JOSELITO JUNIOR</v>
      </c>
      <c r="T1372" s="10" t="e">
        <f>Tabela2[[#This Row],[Coluna72]]</f>
        <v>#REF!</v>
      </c>
      <c r="U1372" s="10">
        <f>SUM(Tabela2[[#This Row],[Coluna9]],Tabela2[[#This Row],[Coluna10]])</f>
        <v>20000</v>
      </c>
      <c r="V1372" s="2" t="str">
        <f>Tabela2[[#This Row],[Coluna4]]</f>
        <v>20/12/2025</v>
      </c>
      <c r="W1372" s="2" t="str">
        <f>Tabela2[[#This Row],[Coluna6]]</f>
        <v>20/12/2025</v>
      </c>
    </row>
    <row r="1373" spans="2:23" x14ac:dyDescent="0.2">
      <c r="B1373" t="s">
        <v>12</v>
      </c>
      <c r="C1373" t="s">
        <v>95</v>
      </c>
      <c r="D1373" t="s">
        <v>13</v>
      </c>
      <c r="E1373" s="8" t="s">
        <v>510</v>
      </c>
      <c r="F1373" t="s">
        <v>64</v>
      </c>
      <c r="G1373" s="8" t="s">
        <v>80</v>
      </c>
      <c r="H1373" t="s">
        <v>445</v>
      </c>
      <c r="I1373" t="e">
        <f>VLOOKUP(Tabela2[[#This Row],[Coluna7]],[1]!Tabela1[#All],2,0)</f>
        <v>#REF!</v>
      </c>
      <c r="J1373" t="s">
        <v>461</v>
      </c>
      <c r="L1373">
        <v>745.08</v>
      </c>
      <c r="Q1373" s="10" t="str">
        <f>Tabela2[[#This Row],[Coluna5]]</f>
        <v>12/2025</v>
      </c>
      <c r="R1373" s="10" t="str">
        <f>IF(Tabela2[[#This Row],[Coluna9]]&gt;0,"Entrada","Saída")</f>
        <v>Saída</v>
      </c>
      <c r="S1373" s="10" t="str">
        <f>Tabela2[[#This Row],[Coluna8]]</f>
        <v>E-AUDITORIA</v>
      </c>
      <c r="T1373" s="10" t="e">
        <f>Tabela2[[#This Row],[Coluna72]]</f>
        <v>#REF!</v>
      </c>
      <c r="U1373" s="10">
        <f>SUM(Tabela2[[#This Row],[Coluna9]],Tabela2[[#This Row],[Coluna10]])</f>
        <v>745.08</v>
      </c>
      <c r="V1373" s="2" t="str">
        <f>Tabela2[[#This Row],[Coluna4]]</f>
        <v>21/12/2025</v>
      </c>
      <c r="W1373" s="2" t="str">
        <f>Tabela2[[#This Row],[Coluna6]]</f>
        <v>23/12/2025</v>
      </c>
    </row>
    <row r="1374" spans="2:23" x14ac:dyDescent="0.2">
      <c r="B1374" t="s">
        <v>12</v>
      </c>
      <c r="C1374" t="s">
        <v>95</v>
      </c>
      <c r="D1374" t="s">
        <v>13</v>
      </c>
      <c r="E1374" s="8" t="s">
        <v>325</v>
      </c>
      <c r="F1374" t="s">
        <v>64</v>
      </c>
      <c r="G1374" s="8" t="s">
        <v>325</v>
      </c>
      <c r="H1374" t="s">
        <v>435</v>
      </c>
      <c r="I1374" t="e">
        <f>VLOOKUP(Tabela2[[#This Row],[Coluna7]],[1]!Tabela1[#All],2,0)</f>
        <v>#REF!</v>
      </c>
      <c r="J1374" t="s">
        <v>436</v>
      </c>
      <c r="L1374">
        <v>250</v>
      </c>
      <c r="Q1374" s="10" t="str">
        <f>Tabela2[[#This Row],[Coluna5]]</f>
        <v>12/2025</v>
      </c>
      <c r="R1374" s="10" t="str">
        <f>IF(Tabela2[[#This Row],[Coluna9]]&gt;0,"Entrada","Saída")</f>
        <v>Saída</v>
      </c>
      <c r="S1374" s="10" t="str">
        <f>Tabela2[[#This Row],[Coluna8]]</f>
        <v>FERNANDO SILVESTRE DE SOUZA</v>
      </c>
      <c r="T1374" s="10" t="e">
        <f>Tabela2[[#This Row],[Coluna72]]</f>
        <v>#REF!</v>
      </c>
      <c r="U1374" s="10">
        <f>SUM(Tabela2[[#This Row],[Coluna9]],Tabela2[[#This Row],[Coluna10]])</f>
        <v>250</v>
      </c>
      <c r="V1374" s="2" t="str">
        <f>Tabela2[[#This Row],[Coluna4]]</f>
        <v>22/12/2025</v>
      </c>
      <c r="W1374" s="2" t="str">
        <f>Tabela2[[#This Row],[Coluna6]]</f>
        <v>22/12/2025</v>
      </c>
    </row>
    <row r="1375" spans="2:23" x14ac:dyDescent="0.2">
      <c r="B1375" t="s">
        <v>12</v>
      </c>
      <c r="C1375" t="s">
        <v>95</v>
      </c>
      <c r="D1375" t="s">
        <v>13</v>
      </c>
      <c r="E1375" s="8" t="s">
        <v>325</v>
      </c>
      <c r="F1375" t="s">
        <v>64</v>
      </c>
      <c r="G1375" s="8" t="s">
        <v>325</v>
      </c>
      <c r="H1375" t="s">
        <v>488</v>
      </c>
      <c r="I1375" t="e">
        <f>VLOOKUP(Tabela2[[#This Row],[Coluna7]],[1]!Tabela1[#All],2,0)</f>
        <v>#REF!</v>
      </c>
      <c r="L1375">
        <v>250</v>
      </c>
      <c r="N1375" t="s">
        <v>499</v>
      </c>
      <c r="Q1375" s="10" t="str">
        <f>Tabela2[[#This Row],[Coluna5]]</f>
        <v>12/2025</v>
      </c>
      <c r="R1375" s="10" t="str">
        <f>IF(Tabela2[[#This Row],[Coluna9]]&gt;0,"Entrada","Saída")</f>
        <v>Saída</v>
      </c>
      <c r="S1375" s="10">
        <f>Tabela2[[#This Row],[Coluna8]]</f>
        <v>0</v>
      </c>
      <c r="T1375" s="10" t="e">
        <f>Tabela2[[#This Row],[Coluna72]]</f>
        <v>#REF!</v>
      </c>
      <c r="U1375" s="10">
        <f>SUM(Tabela2[[#This Row],[Coluna9]],Tabela2[[#This Row],[Coluna10]])</f>
        <v>250</v>
      </c>
      <c r="V1375" s="2" t="str">
        <f>Tabela2[[#This Row],[Coluna4]]</f>
        <v>22/12/2025</v>
      </c>
      <c r="W1375" s="2" t="str">
        <f>Tabela2[[#This Row],[Coluna6]]</f>
        <v>22/12/2025</v>
      </c>
    </row>
    <row r="1376" spans="2:23" x14ac:dyDescent="0.2">
      <c r="B1376" t="s">
        <v>12</v>
      </c>
      <c r="C1376" t="s">
        <v>95</v>
      </c>
      <c r="D1376" t="s">
        <v>13</v>
      </c>
      <c r="E1376" s="8" t="s">
        <v>80</v>
      </c>
      <c r="F1376" t="s">
        <v>64</v>
      </c>
      <c r="G1376" s="8" t="s">
        <v>80</v>
      </c>
      <c r="H1376" t="s">
        <v>445</v>
      </c>
      <c r="I1376" t="e">
        <f>VLOOKUP(Tabela2[[#This Row],[Coluna7]],[1]!Tabela1[#All],2,0)</f>
        <v>#REF!</v>
      </c>
      <c r="J1376" t="s">
        <v>511</v>
      </c>
      <c r="L1376">
        <v>397</v>
      </c>
      <c r="Q1376" s="10" t="str">
        <f>Tabela2[[#This Row],[Coluna5]]</f>
        <v>12/2025</v>
      </c>
      <c r="R1376" s="10" t="str">
        <f>IF(Tabela2[[#This Row],[Coluna9]]&gt;0,"Entrada","Saída")</f>
        <v>Saída</v>
      </c>
      <c r="S1376" s="10" t="str">
        <f>Tabela2[[#This Row],[Coluna8]]</f>
        <v>ZAPPY</v>
      </c>
      <c r="T1376" s="10" t="e">
        <f>Tabela2[[#This Row],[Coluna72]]</f>
        <v>#REF!</v>
      </c>
      <c r="U1376" s="10">
        <f>SUM(Tabela2[[#This Row],[Coluna9]],Tabela2[[#This Row],[Coluna10]])</f>
        <v>397</v>
      </c>
      <c r="V1376" s="2" t="str">
        <f>Tabela2[[#This Row],[Coluna4]]</f>
        <v>23/12/2025</v>
      </c>
      <c r="W1376" s="2" t="str">
        <f>Tabela2[[#This Row],[Coluna6]]</f>
        <v>23/12/2025</v>
      </c>
    </row>
    <row r="1377" spans="2:23" x14ac:dyDescent="0.2">
      <c r="B1377" t="s">
        <v>18</v>
      </c>
      <c r="C1377" t="s">
        <v>95</v>
      </c>
      <c r="D1377" t="s">
        <v>13</v>
      </c>
      <c r="E1377" s="8" t="s">
        <v>512</v>
      </c>
      <c r="F1377" t="s">
        <v>64</v>
      </c>
      <c r="G1377" s="8" t="s">
        <v>331</v>
      </c>
      <c r="H1377" t="s">
        <v>451</v>
      </c>
      <c r="I1377" t="e">
        <f>VLOOKUP(Tabela2[[#This Row],[Coluna7]],[1]!Tabela1[#All],2,0)</f>
        <v>#REF!</v>
      </c>
      <c r="J1377" t="s">
        <v>464</v>
      </c>
      <c r="L1377">
        <v>156.88</v>
      </c>
      <c r="Q1377" s="10" t="str">
        <f>Tabela2[[#This Row],[Coluna5]]</f>
        <v>12/2025</v>
      </c>
      <c r="R1377" s="10" t="str">
        <f>IF(Tabela2[[#This Row],[Coluna9]]&gt;0,"Entrada","Saída")</f>
        <v>Saída</v>
      </c>
      <c r="S1377" s="10" t="str">
        <f>Tabela2[[#This Row],[Coluna8]]</f>
        <v>BRISANET</v>
      </c>
      <c r="T1377" s="10" t="e">
        <f>Tabela2[[#This Row],[Coluna72]]</f>
        <v>#REF!</v>
      </c>
      <c r="U1377" s="10">
        <f>SUM(Tabela2[[#This Row],[Coluna9]],Tabela2[[#This Row],[Coluna10]])</f>
        <v>156.88</v>
      </c>
      <c r="V1377" s="2" t="str">
        <f>Tabela2[[#This Row],[Coluna4]]</f>
        <v>24/12/2025</v>
      </c>
      <c r="W1377" s="2" t="str">
        <f>Tabela2[[#This Row],[Coluna6]]</f>
        <v>29/12/2025</v>
      </c>
    </row>
    <row r="1378" spans="2:23" x14ac:dyDescent="0.2">
      <c r="B1378" t="s">
        <v>27</v>
      </c>
      <c r="C1378" t="s">
        <v>95</v>
      </c>
      <c r="D1378" t="s">
        <v>13</v>
      </c>
      <c r="E1378" s="8" t="s">
        <v>326</v>
      </c>
      <c r="F1378" t="s">
        <v>64</v>
      </c>
      <c r="G1378" s="8" t="s">
        <v>326</v>
      </c>
      <c r="H1378" t="s">
        <v>442</v>
      </c>
      <c r="I1378" t="e">
        <f>VLOOKUP(Tabela2[[#This Row],[Coluna7]],[1]!Tabela1[#All],2,0)</f>
        <v>#REF!</v>
      </c>
      <c r="J1378" t="s">
        <v>513</v>
      </c>
      <c r="L1378">
        <v>1030.9000000000001</v>
      </c>
      <c r="Q1378" s="10" t="str">
        <f>Tabela2[[#This Row],[Coluna5]]</f>
        <v>12/2025</v>
      </c>
      <c r="R1378" s="10" t="str">
        <f>IF(Tabela2[[#This Row],[Coluna9]]&gt;0,"Entrada","Saída")</f>
        <v>Saída</v>
      </c>
      <c r="S1378" s="10" t="str">
        <f>Tabela2[[#This Row],[Coluna8]]</f>
        <v>CAPITAL GIRO PARC 014/042</v>
      </c>
      <c r="T1378" s="10" t="e">
        <f>Tabela2[[#This Row],[Coluna72]]</f>
        <v>#REF!</v>
      </c>
      <c r="U1378" s="10">
        <f>SUM(Tabela2[[#This Row],[Coluna9]],Tabela2[[#This Row],[Coluna10]])</f>
        <v>1030.9000000000001</v>
      </c>
      <c r="V1378" s="2" t="str">
        <f>Tabela2[[#This Row],[Coluna4]]</f>
        <v>26/12/2025</v>
      </c>
      <c r="W1378" s="2" t="str">
        <f>Tabela2[[#This Row],[Coluna6]]</f>
        <v>26/12/2025</v>
      </c>
    </row>
    <row r="1379" spans="2:23" x14ac:dyDescent="0.2">
      <c r="B1379" t="s">
        <v>12</v>
      </c>
      <c r="C1379" t="s">
        <v>95</v>
      </c>
      <c r="D1379" t="s">
        <v>13</v>
      </c>
      <c r="E1379" s="8" t="s">
        <v>334</v>
      </c>
      <c r="F1379" t="s">
        <v>84</v>
      </c>
      <c r="G1379" s="8" t="s">
        <v>334</v>
      </c>
      <c r="H1379" t="s">
        <v>488</v>
      </c>
      <c r="I1379" t="e">
        <f>VLOOKUP(Tabela2[[#This Row],[Coluna7]],[1]!Tabela1[#All],2,0)</f>
        <v>#REF!</v>
      </c>
      <c r="L1379">
        <v>180</v>
      </c>
      <c r="N1379" t="s">
        <v>499</v>
      </c>
      <c r="Q1379" s="10" t="str">
        <f>Tabela2[[#This Row],[Coluna5]]</f>
        <v>01/2026</v>
      </c>
      <c r="R1379" s="10" t="str">
        <f>IF(Tabela2[[#This Row],[Coluna9]]&gt;0,"Entrada","Saída")</f>
        <v>Saída</v>
      </c>
      <c r="S1379" s="10">
        <f>Tabela2[[#This Row],[Coluna8]]</f>
        <v>0</v>
      </c>
      <c r="T1379" s="10" t="e">
        <f>Tabela2[[#This Row],[Coluna72]]</f>
        <v>#REF!</v>
      </c>
      <c r="U1379" s="10">
        <f>SUM(Tabela2[[#This Row],[Coluna9]],Tabela2[[#This Row],[Coluna10]])</f>
        <v>180</v>
      </c>
      <c r="V1379" s="2" t="str">
        <f>Tabela2[[#This Row],[Coluna4]]</f>
        <v>30/12/2025</v>
      </c>
      <c r="W1379" s="2" t="str">
        <f>Tabela2[[#This Row],[Coluna6]]</f>
        <v>30/12/2025</v>
      </c>
    </row>
    <row r="1380" spans="2:23" x14ac:dyDescent="0.2">
      <c r="B1380" t="s">
        <v>12</v>
      </c>
      <c r="C1380" t="s">
        <v>95</v>
      </c>
      <c r="D1380" t="s">
        <v>13</v>
      </c>
      <c r="E1380" s="8" t="s">
        <v>421</v>
      </c>
      <c r="F1380" t="s">
        <v>64</v>
      </c>
      <c r="G1380" s="8" t="s">
        <v>301</v>
      </c>
      <c r="H1380" t="s">
        <v>445</v>
      </c>
      <c r="I1380" t="e">
        <f>VLOOKUP(Tabela2[[#This Row],[Coluna7]],[1]!Tabela1[#All],2,0)</f>
        <v>#REF!</v>
      </c>
      <c r="J1380" t="s">
        <v>489</v>
      </c>
      <c r="L1380">
        <v>99</v>
      </c>
      <c r="Q1380" s="10" t="str">
        <f>Tabela2[[#This Row],[Coluna5]]</f>
        <v>12/2025</v>
      </c>
      <c r="R1380" s="10" t="str">
        <f>IF(Tabela2[[#This Row],[Coluna9]]&gt;0,"Entrada","Saída")</f>
        <v>Saída</v>
      </c>
      <c r="S1380" s="10" t="str">
        <f>Tabela2[[#This Row],[Coluna8]]</f>
        <v>ADAPTA IA ( REEMBOLSAR PATRICIA )</v>
      </c>
      <c r="T1380" s="10" t="e">
        <f>Tabela2[[#This Row],[Coluna72]]</f>
        <v>#REF!</v>
      </c>
      <c r="U1380" s="10">
        <f>SUM(Tabela2[[#This Row],[Coluna9]],Tabela2[[#This Row],[Coluna10]])</f>
        <v>99</v>
      </c>
      <c r="V1380" s="2" t="str">
        <f>Tabela2[[#This Row],[Coluna4]]</f>
        <v>31/12/2025</v>
      </c>
      <c r="W1380" s="2" t="str">
        <f>Tabela2[[#This Row],[Coluna6]]</f>
        <v>05/01/2026</v>
      </c>
    </row>
    <row r="1381" spans="2:23" x14ac:dyDescent="0.2">
      <c r="B1381" t="s">
        <v>18</v>
      </c>
      <c r="C1381" t="s">
        <v>95</v>
      </c>
      <c r="D1381" t="s">
        <v>13</v>
      </c>
      <c r="E1381" s="8" t="s">
        <v>338</v>
      </c>
      <c r="F1381" t="s">
        <v>84</v>
      </c>
      <c r="G1381" s="8" t="s">
        <v>89</v>
      </c>
      <c r="H1381" t="s">
        <v>490</v>
      </c>
      <c r="I1381" t="e">
        <f>VLOOKUP(Tabela2[[#This Row],[Coluna7]],[1]!Tabela1[#All],2,0)</f>
        <v>#REF!</v>
      </c>
      <c r="J1381" t="s">
        <v>491</v>
      </c>
      <c r="L1381">
        <v>45.24</v>
      </c>
      <c r="Q1381" s="10" t="str">
        <f>Tabela2[[#This Row],[Coluna5]]</f>
        <v>01/2026</v>
      </c>
      <c r="R1381" s="10" t="str">
        <f>IF(Tabela2[[#This Row],[Coluna9]]&gt;0,"Entrada","Saída")</f>
        <v>Saída</v>
      </c>
      <c r="S1381" s="10" t="str">
        <f>Tabela2[[#This Row],[Coluna8]]</f>
        <v>CLARO - JURÍDICO</v>
      </c>
      <c r="T1381" s="10" t="e">
        <f>Tabela2[[#This Row],[Coluna72]]</f>
        <v>#REF!</v>
      </c>
      <c r="U1381" s="10">
        <f>SUM(Tabela2[[#This Row],[Coluna9]],Tabela2[[#This Row],[Coluna10]])</f>
        <v>45.24</v>
      </c>
      <c r="V1381" s="2" t="str">
        <f>Tabela2[[#This Row],[Coluna4]]</f>
        <v>01/01/2026</v>
      </c>
      <c r="W1381" s="2" t="str">
        <f>Tabela2[[#This Row],[Coluna6]]</f>
        <v>15/01/2026</v>
      </c>
    </row>
    <row r="1382" spans="2:23" x14ac:dyDescent="0.2">
      <c r="B1382" t="s">
        <v>18</v>
      </c>
      <c r="C1382" t="s">
        <v>95</v>
      </c>
      <c r="D1382" t="s">
        <v>13</v>
      </c>
      <c r="E1382" s="8" t="s">
        <v>301</v>
      </c>
      <c r="F1382" t="s">
        <v>84</v>
      </c>
      <c r="G1382" s="8" t="s">
        <v>301</v>
      </c>
      <c r="H1382" t="s">
        <v>477</v>
      </c>
      <c r="I1382" t="e">
        <f>VLOOKUP(Tabela2[[#This Row],[Coluna7]],[1]!Tabela1[#All],2,0)</f>
        <v>#REF!</v>
      </c>
      <c r="J1382" t="s">
        <v>514</v>
      </c>
      <c r="L1382">
        <v>1600</v>
      </c>
      <c r="Q1382" s="10" t="str">
        <f>Tabela2[[#This Row],[Coluna5]]</f>
        <v>01/2026</v>
      </c>
      <c r="R1382" s="10" t="str">
        <f>IF(Tabela2[[#This Row],[Coluna9]]&gt;0,"Entrada","Saída")</f>
        <v>Saída</v>
      </c>
      <c r="S1382" s="10" t="str">
        <f>Tabela2[[#This Row],[Coluna8]]</f>
        <v>ALISSON TRAJANO - (13º E JANEIRO)</v>
      </c>
      <c r="T1382" s="10" t="e">
        <f>Tabela2[[#This Row],[Coluna72]]</f>
        <v>#REF!</v>
      </c>
      <c r="U1382" s="10">
        <f>SUM(Tabela2[[#This Row],[Coluna9]],Tabela2[[#This Row],[Coluna10]])</f>
        <v>1600</v>
      </c>
      <c r="V1382" s="2" t="str">
        <f>Tabela2[[#This Row],[Coluna4]]</f>
        <v>05/01/2026</v>
      </c>
      <c r="W1382" s="2" t="str">
        <f>Tabela2[[#This Row],[Coluna6]]</f>
        <v>05/01/2026</v>
      </c>
    </row>
    <row r="1383" spans="2:23" x14ac:dyDescent="0.2">
      <c r="B1383" t="s">
        <v>71</v>
      </c>
      <c r="C1383" t="s">
        <v>95</v>
      </c>
      <c r="D1383" t="s">
        <v>13</v>
      </c>
      <c r="E1383" s="8" t="s">
        <v>301</v>
      </c>
      <c r="F1383" t="s">
        <v>84</v>
      </c>
      <c r="G1383" s="8" t="s">
        <v>515</v>
      </c>
      <c r="H1383" t="s">
        <v>504</v>
      </c>
      <c r="I1383" t="e">
        <f>VLOOKUP(Tabela2[[#This Row],[Coluna7]],[1]!Tabela1[#All],2,0)</f>
        <v>#REF!</v>
      </c>
      <c r="L1383">
        <v>3000</v>
      </c>
      <c r="Q1383" s="10" t="str">
        <f>Tabela2[[#This Row],[Coluna5]]</f>
        <v>01/2026</v>
      </c>
      <c r="R1383" s="10" t="str">
        <f>IF(Tabela2[[#This Row],[Coluna9]]&gt;0,"Entrada","Saída")</f>
        <v>Saída</v>
      </c>
      <c r="S1383" s="10">
        <f>Tabela2[[#This Row],[Coluna8]]</f>
        <v>0</v>
      </c>
      <c r="T1383" s="10" t="e">
        <f>Tabela2[[#This Row],[Coluna72]]</f>
        <v>#REF!</v>
      </c>
      <c r="U1383" s="10">
        <f>SUM(Tabela2[[#This Row],[Coluna9]],Tabela2[[#This Row],[Coluna10]])</f>
        <v>3000</v>
      </c>
      <c r="V1383" s="2" t="str">
        <f>Tabela2[[#This Row],[Coluna4]]</f>
        <v>05/01/2026</v>
      </c>
      <c r="W1383" s="2" t="str">
        <f>Tabela2[[#This Row],[Coluna6]]</f>
        <v>17/01/2026</v>
      </c>
    </row>
    <row r="1384" spans="2:23" x14ac:dyDescent="0.2">
      <c r="B1384" t="s">
        <v>12</v>
      </c>
      <c r="C1384" t="s">
        <v>95</v>
      </c>
      <c r="D1384" t="s">
        <v>13</v>
      </c>
      <c r="E1384" s="8" t="s">
        <v>83</v>
      </c>
      <c r="F1384" t="s">
        <v>84</v>
      </c>
      <c r="G1384" s="8" t="s">
        <v>85</v>
      </c>
      <c r="H1384" t="s">
        <v>440</v>
      </c>
      <c r="I1384" t="e">
        <f>VLOOKUP(Tabela2[[#This Row],[Coluna7]],[1]!Tabela1[#All],2,0)</f>
        <v>#REF!</v>
      </c>
      <c r="J1384" t="s">
        <v>441</v>
      </c>
      <c r="L1384">
        <v>163</v>
      </c>
      <c r="Q1384" s="10" t="str">
        <f>Tabela2[[#This Row],[Coluna5]]</f>
        <v>01/2026</v>
      </c>
      <c r="R1384" s="10" t="str">
        <f>IF(Tabela2[[#This Row],[Coluna9]]&gt;0,"Entrada","Saída")</f>
        <v>Saída</v>
      </c>
      <c r="S1384" s="10" t="str">
        <f>Tabela2[[#This Row],[Coluna8]]</f>
        <v>ENERGISA</v>
      </c>
      <c r="T1384" s="10" t="e">
        <f>Tabela2[[#This Row],[Coluna72]]</f>
        <v>#REF!</v>
      </c>
      <c r="U1384" s="10">
        <f>SUM(Tabela2[[#This Row],[Coluna9]],Tabela2[[#This Row],[Coluna10]])</f>
        <v>163</v>
      </c>
      <c r="V1384" s="2" t="str">
        <f>Tabela2[[#This Row],[Coluna4]]</f>
        <v>06/01/2026</v>
      </c>
      <c r="W1384" s="2" t="str">
        <f>Tabela2[[#This Row],[Coluna6]]</f>
        <v>08/01/2026</v>
      </c>
    </row>
    <row r="1385" spans="2:23" x14ac:dyDescent="0.2">
      <c r="B1385" t="s">
        <v>12</v>
      </c>
      <c r="C1385" t="s">
        <v>95</v>
      </c>
      <c r="D1385" t="s">
        <v>13</v>
      </c>
      <c r="E1385" s="8" t="s">
        <v>83</v>
      </c>
      <c r="F1385" t="s">
        <v>84</v>
      </c>
      <c r="G1385" s="8" t="s">
        <v>83</v>
      </c>
      <c r="H1385" t="s">
        <v>443</v>
      </c>
      <c r="I1385" t="e">
        <f>VLOOKUP(Tabela2[[#This Row],[Coluna7]],[1]!Tabela1[#All],2,0)</f>
        <v>#REF!</v>
      </c>
      <c r="J1385" t="s">
        <v>444</v>
      </c>
      <c r="L1385">
        <v>249.66</v>
      </c>
      <c r="Q1385" s="10" t="str">
        <f>Tabela2[[#This Row],[Coluna5]]</f>
        <v>01/2026</v>
      </c>
      <c r="R1385" s="10" t="str">
        <f>IF(Tabela2[[#This Row],[Coluna9]]&gt;0,"Entrada","Saída")</f>
        <v>Saída</v>
      </c>
      <c r="S1385" s="10" t="str">
        <f>Tabela2[[#This Row],[Coluna8]]</f>
        <v>GELADEIRA LEGAL</v>
      </c>
      <c r="T1385" s="10" t="e">
        <f>Tabela2[[#This Row],[Coluna72]]</f>
        <v>#REF!</v>
      </c>
      <c r="U1385" s="10">
        <f>SUM(Tabela2[[#This Row],[Coluna9]],Tabela2[[#This Row],[Coluna10]])</f>
        <v>249.66</v>
      </c>
      <c r="V1385" s="2" t="str">
        <f>Tabela2[[#This Row],[Coluna4]]</f>
        <v>06/01/2026</v>
      </c>
      <c r="W1385" s="2" t="str">
        <f>Tabela2[[#This Row],[Coluna6]]</f>
        <v>06/01/2026</v>
      </c>
    </row>
    <row r="1386" spans="2:23" x14ac:dyDescent="0.2">
      <c r="B1386" t="s">
        <v>12</v>
      </c>
      <c r="C1386" t="s">
        <v>95</v>
      </c>
      <c r="D1386" t="s">
        <v>13</v>
      </c>
      <c r="E1386" s="8" t="s">
        <v>83</v>
      </c>
      <c r="F1386" t="s">
        <v>84</v>
      </c>
      <c r="G1386" s="8" t="s">
        <v>83</v>
      </c>
      <c r="H1386" t="s">
        <v>438</v>
      </c>
      <c r="I1386" t="e">
        <f>VLOOKUP(Tabela2[[#This Row],[Coluna7]],[1]!Tabela1[#All],2,0)</f>
        <v>#REF!</v>
      </c>
      <c r="J1386" t="s">
        <v>516</v>
      </c>
      <c r="L1386">
        <v>450</v>
      </c>
      <c r="Q1386" s="10" t="str">
        <f>Tabela2[[#This Row],[Coluna5]]</f>
        <v>01/2026</v>
      </c>
      <c r="R1386" s="10" t="str">
        <f>IF(Tabela2[[#This Row],[Coluna9]]&gt;0,"Entrada","Saída")</f>
        <v>Saída</v>
      </c>
      <c r="S1386" s="10" t="str">
        <f>Tabela2[[#This Row],[Coluna8]]</f>
        <v>EDEN DA SILVA - PC DE PATRÍCIA</v>
      </c>
      <c r="T1386" s="10" t="e">
        <f>Tabela2[[#This Row],[Coluna72]]</f>
        <v>#REF!</v>
      </c>
      <c r="U1386" s="10">
        <f>SUM(Tabela2[[#This Row],[Coluna9]],Tabela2[[#This Row],[Coluna10]])</f>
        <v>450</v>
      </c>
      <c r="V1386" s="2" t="str">
        <f>Tabela2[[#This Row],[Coluna4]]</f>
        <v>06/01/2026</v>
      </c>
      <c r="W1386" s="2" t="str">
        <f>Tabela2[[#This Row],[Coluna6]]</f>
        <v>06/01/2026</v>
      </c>
    </row>
    <row r="1387" spans="2:23" x14ac:dyDescent="0.2">
      <c r="B1387" t="s">
        <v>18</v>
      </c>
      <c r="C1387" t="s">
        <v>95</v>
      </c>
      <c r="D1387" t="s">
        <v>13</v>
      </c>
      <c r="E1387" s="8" t="s">
        <v>87</v>
      </c>
      <c r="F1387" t="s">
        <v>84</v>
      </c>
      <c r="G1387" s="8" t="s">
        <v>87</v>
      </c>
      <c r="H1387" t="s">
        <v>488</v>
      </c>
      <c r="I1387" t="e">
        <f>VLOOKUP(Tabela2[[#This Row],[Coluna7]],[1]!Tabela1[#All],2,0)</f>
        <v>#REF!</v>
      </c>
      <c r="L1387">
        <v>120</v>
      </c>
      <c r="N1387" t="s">
        <v>517</v>
      </c>
      <c r="Q1387" s="10" t="str">
        <f>Tabela2[[#This Row],[Coluna5]]</f>
        <v>01/2026</v>
      </c>
      <c r="R1387" s="10" t="str">
        <f>IF(Tabela2[[#This Row],[Coluna9]]&gt;0,"Entrada","Saída")</f>
        <v>Saída</v>
      </c>
      <c r="S1387" s="10">
        <f>Tabela2[[#This Row],[Coluna8]]</f>
        <v>0</v>
      </c>
      <c r="T1387" s="10" t="e">
        <f>Tabela2[[#This Row],[Coluna72]]</f>
        <v>#REF!</v>
      </c>
      <c r="U1387" s="10">
        <f>SUM(Tabela2[[#This Row],[Coluna9]],Tabela2[[#This Row],[Coluna10]])</f>
        <v>120</v>
      </c>
      <c r="V1387" s="2" t="str">
        <f>Tabela2[[#This Row],[Coluna4]]</f>
        <v>07/01/2026</v>
      </c>
      <c r="W1387" s="2" t="str">
        <f>Tabela2[[#This Row],[Coluna6]]</f>
        <v>07/01/2026</v>
      </c>
    </row>
    <row r="1388" spans="2:23" x14ac:dyDescent="0.2">
      <c r="B1388" t="s">
        <v>12</v>
      </c>
      <c r="C1388" t="s">
        <v>95</v>
      </c>
      <c r="D1388" t="s">
        <v>13</v>
      </c>
      <c r="E1388" s="8" t="s">
        <v>85</v>
      </c>
      <c r="F1388" t="s">
        <v>84</v>
      </c>
      <c r="G1388" s="8" t="s">
        <v>85</v>
      </c>
      <c r="H1388" t="s">
        <v>488</v>
      </c>
      <c r="I1388" t="e">
        <f>VLOOKUP(Tabela2[[#This Row],[Coluna7]],[1]!Tabela1[#All],2,0)</f>
        <v>#REF!</v>
      </c>
      <c r="L1388">
        <v>120</v>
      </c>
      <c r="N1388" t="s">
        <v>499</v>
      </c>
      <c r="Q1388" s="10" t="str">
        <f>Tabela2[[#This Row],[Coluna5]]</f>
        <v>01/2026</v>
      </c>
      <c r="R1388" s="10" t="str">
        <f>IF(Tabela2[[#This Row],[Coluna9]]&gt;0,"Entrada","Saída")</f>
        <v>Saída</v>
      </c>
      <c r="S1388" s="10">
        <f>Tabela2[[#This Row],[Coluna8]]</f>
        <v>0</v>
      </c>
      <c r="T1388" s="10" t="e">
        <f>Tabela2[[#This Row],[Coluna72]]</f>
        <v>#REF!</v>
      </c>
      <c r="U1388" s="10">
        <f>SUM(Tabela2[[#This Row],[Coluna9]],Tabela2[[#This Row],[Coluna10]])</f>
        <v>120</v>
      </c>
      <c r="V1388" s="2" t="str">
        <f>Tabela2[[#This Row],[Coluna4]]</f>
        <v>08/01/2026</v>
      </c>
      <c r="W1388" s="2" t="str">
        <f>Tabela2[[#This Row],[Coluna6]]</f>
        <v>08/01/2026</v>
      </c>
    </row>
    <row r="1389" spans="2:23" x14ac:dyDescent="0.2">
      <c r="B1389" t="s">
        <v>12</v>
      </c>
      <c r="C1389" t="s">
        <v>95</v>
      </c>
      <c r="D1389" t="s">
        <v>13</v>
      </c>
      <c r="E1389" s="8" t="s">
        <v>85</v>
      </c>
      <c r="F1389" t="s">
        <v>84</v>
      </c>
      <c r="G1389" s="8" t="s">
        <v>346</v>
      </c>
      <c r="H1389" t="s">
        <v>442</v>
      </c>
      <c r="I1389" t="e">
        <f>VLOOKUP(Tabela2[[#This Row],[Coluna7]],[1]!Tabela1[#All],2,0)</f>
        <v>#REF!</v>
      </c>
      <c r="J1389" t="s">
        <v>283</v>
      </c>
      <c r="L1389">
        <v>660.79</v>
      </c>
      <c r="Q1389" s="10" t="str">
        <f>Tabela2[[#This Row],[Coluna5]]</f>
        <v>01/2026</v>
      </c>
      <c r="R1389" s="10" t="str">
        <f>IF(Tabela2[[#This Row],[Coluna9]]&gt;0,"Entrada","Saída")</f>
        <v>Saída</v>
      </c>
      <c r="S1389" s="10" t="str">
        <f>Tabela2[[#This Row],[Coluna8]]</f>
        <v>1/10</v>
      </c>
      <c r="T1389" s="10" t="e">
        <f>Tabela2[[#This Row],[Coluna72]]</f>
        <v>#REF!</v>
      </c>
      <c r="U1389" s="10">
        <f>SUM(Tabela2[[#This Row],[Coluna9]],Tabela2[[#This Row],[Coluna10]])</f>
        <v>660.79</v>
      </c>
      <c r="V1389" s="2" t="str">
        <f>Tabela2[[#This Row],[Coluna4]]</f>
        <v>08/01/2026</v>
      </c>
      <c r="W1389" s="2" t="str">
        <f>Tabela2[[#This Row],[Coluna6]]</f>
        <v>12/01/2026</v>
      </c>
    </row>
    <row r="1390" spans="2:23" x14ac:dyDescent="0.2">
      <c r="B1390" t="s">
        <v>71</v>
      </c>
      <c r="C1390" t="s">
        <v>95</v>
      </c>
      <c r="D1390" t="s">
        <v>13</v>
      </c>
      <c r="E1390" s="8" t="s">
        <v>351</v>
      </c>
      <c r="F1390" t="s">
        <v>84</v>
      </c>
      <c r="G1390" s="8" t="s">
        <v>352</v>
      </c>
      <c r="H1390" t="s">
        <v>445</v>
      </c>
      <c r="I1390" t="e">
        <f>VLOOKUP(Tabela2[[#This Row],[Coluna7]],[1]!Tabela1[#All],2,0)</f>
        <v>#REF!</v>
      </c>
      <c r="J1390" t="s">
        <v>518</v>
      </c>
      <c r="L1390">
        <v>1500</v>
      </c>
      <c r="Q1390" s="10" t="str">
        <f>Tabela2[[#This Row],[Coluna5]]</f>
        <v>01/2026</v>
      </c>
      <c r="R1390" s="10" t="str">
        <f>IF(Tabela2[[#This Row],[Coluna9]]&gt;0,"Entrada","Saída")</f>
        <v>Saída</v>
      </c>
      <c r="S1390" s="10" t="str">
        <f>Tabela2[[#This Row],[Coluna8]]</f>
        <v>7/9 SISTEMA FINANCEIRO</v>
      </c>
      <c r="T1390" s="10" t="e">
        <f>Tabela2[[#This Row],[Coluna72]]</f>
        <v>#REF!</v>
      </c>
      <c r="U1390" s="10">
        <f>SUM(Tabela2[[#This Row],[Coluna9]],Tabela2[[#This Row],[Coluna10]])</f>
        <v>1500</v>
      </c>
      <c r="V1390" s="2" t="str">
        <f>Tabela2[[#This Row],[Coluna4]]</f>
        <v>10/01/2026</v>
      </c>
      <c r="W1390" s="2" t="str">
        <f>Tabela2[[#This Row],[Coluna6]]</f>
        <v>16/01/2026</v>
      </c>
    </row>
    <row r="1391" spans="2:23" x14ac:dyDescent="0.2">
      <c r="B1391" t="s">
        <v>12</v>
      </c>
      <c r="C1391" t="s">
        <v>95</v>
      </c>
      <c r="D1391" t="s">
        <v>13</v>
      </c>
      <c r="E1391" s="8" t="s">
        <v>351</v>
      </c>
      <c r="F1391" t="s">
        <v>84</v>
      </c>
      <c r="G1391" s="8" t="s">
        <v>351</v>
      </c>
      <c r="H1391" t="s">
        <v>443</v>
      </c>
      <c r="I1391" t="e">
        <f>VLOOKUP(Tabela2[[#This Row],[Coluna7]],[1]!Tabela1[#All],2,0)</f>
        <v>#REF!</v>
      </c>
      <c r="J1391" t="s">
        <v>519</v>
      </c>
      <c r="L1391">
        <v>17</v>
      </c>
      <c r="Q1391" s="10" t="str">
        <f>Tabela2[[#This Row],[Coluna5]]</f>
        <v>01/2026</v>
      </c>
      <c r="R1391" s="10" t="str">
        <f>IF(Tabela2[[#This Row],[Coluna9]]&gt;0,"Entrada","Saída")</f>
        <v>Saída</v>
      </c>
      <c r="S1391" s="10" t="str">
        <f>Tabela2[[#This Row],[Coluna8]]</f>
        <v>BOLO</v>
      </c>
      <c r="T1391" s="10" t="e">
        <f>Tabela2[[#This Row],[Coluna72]]</f>
        <v>#REF!</v>
      </c>
      <c r="U1391" s="10">
        <f>SUM(Tabela2[[#This Row],[Coluna9]],Tabela2[[#This Row],[Coluna10]])</f>
        <v>17</v>
      </c>
      <c r="V1391" s="2" t="str">
        <f>Tabela2[[#This Row],[Coluna4]]</f>
        <v>10/01/2026</v>
      </c>
      <c r="W1391" s="2" t="str">
        <f>Tabela2[[#This Row],[Coluna6]]</f>
        <v>10/01/2026</v>
      </c>
    </row>
    <row r="1392" spans="2:23" x14ac:dyDescent="0.2">
      <c r="B1392" t="s">
        <v>71</v>
      </c>
      <c r="C1392" t="s">
        <v>95</v>
      </c>
      <c r="D1392" t="s">
        <v>13</v>
      </c>
      <c r="E1392" s="8" t="s">
        <v>346</v>
      </c>
      <c r="F1392" t="s">
        <v>84</v>
      </c>
      <c r="G1392" s="8" t="s">
        <v>346</v>
      </c>
      <c r="H1392" t="s">
        <v>445</v>
      </c>
      <c r="I1392" t="e">
        <f>VLOOKUP(Tabela2[[#This Row],[Coluna7]],[1]!Tabela1[#All],2,0)</f>
        <v>#REF!</v>
      </c>
      <c r="J1392" t="s">
        <v>447</v>
      </c>
      <c r="L1392">
        <v>385</v>
      </c>
      <c r="Q1392" s="10" t="str">
        <f>Tabela2[[#This Row],[Coluna5]]</f>
        <v>01/2026</v>
      </c>
      <c r="R1392" s="10" t="str">
        <f>IF(Tabela2[[#This Row],[Coluna9]]&gt;0,"Entrada","Saída")</f>
        <v>Saída</v>
      </c>
      <c r="S1392" s="10" t="str">
        <f>Tabela2[[#This Row],[Coluna8]]</f>
        <v>LEGALMAIL</v>
      </c>
      <c r="T1392" s="10" t="e">
        <f>Tabela2[[#This Row],[Coluna72]]</f>
        <v>#REF!</v>
      </c>
      <c r="U1392" s="10">
        <f>SUM(Tabela2[[#This Row],[Coluna9]],Tabela2[[#This Row],[Coluna10]])</f>
        <v>385</v>
      </c>
      <c r="V1392" s="2" t="str">
        <f>Tabela2[[#This Row],[Coluna4]]</f>
        <v>12/01/2026</v>
      </c>
      <c r="W1392" s="2" t="str">
        <f>Tabela2[[#This Row],[Coluna6]]</f>
        <v>12/01/2026</v>
      </c>
    </row>
    <row r="1393" spans="2:23" x14ac:dyDescent="0.2">
      <c r="B1393" t="s">
        <v>12</v>
      </c>
      <c r="C1393" t="s">
        <v>95</v>
      </c>
      <c r="D1393" t="s">
        <v>13</v>
      </c>
      <c r="E1393" s="8" t="s">
        <v>346</v>
      </c>
      <c r="F1393" t="s">
        <v>84</v>
      </c>
      <c r="G1393" s="8" t="s">
        <v>346</v>
      </c>
      <c r="H1393" t="s">
        <v>451</v>
      </c>
      <c r="I1393" t="e">
        <f>VLOOKUP(Tabela2[[#This Row],[Coluna7]],[1]!Tabela1[#All],2,0)</f>
        <v>#REF!</v>
      </c>
      <c r="J1393" t="s">
        <v>452</v>
      </c>
      <c r="L1393">
        <v>154.76</v>
      </c>
      <c r="Q1393" s="10" t="str">
        <f>Tabela2[[#This Row],[Coluna5]]</f>
        <v>01/2026</v>
      </c>
      <c r="R1393" s="10" t="str">
        <f>IF(Tabela2[[#This Row],[Coluna9]]&gt;0,"Entrada","Saída")</f>
        <v>Saída</v>
      </c>
      <c r="S1393" s="10" t="str">
        <f>Tabela2[[#This Row],[Coluna8]]</f>
        <v>CLARO</v>
      </c>
      <c r="T1393" s="10" t="e">
        <f>Tabela2[[#This Row],[Coluna72]]</f>
        <v>#REF!</v>
      </c>
      <c r="U1393" s="10">
        <f>SUM(Tabela2[[#This Row],[Coluna9]],Tabela2[[#This Row],[Coluna10]])</f>
        <v>154.76</v>
      </c>
      <c r="V1393" s="2" t="str">
        <f>Tabela2[[#This Row],[Coluna4]]</f>
        <v>12/01/2026</v>
      </c>
      <c r="W1393" s="2" t="str">
        <f>Tabela2[[#This Row],[Coluna6]]</f>
        <v>12/01/2026</v>
      </c>
    </row>
    <row r="1394" spans="2:23" x14ac:dyDescent="0.2">
      <c r="B1394" t="s">
        <v>12</v>
      </c>
      <c r="C1394" t="s">
        <v>95</v>
      </c>
      <c r="D1394" t="s">
        <v>13</v>
      </c>
      <c r="E1394" s="8" t="s">
        <v>346</v>
      </c>
      <c r="F1394" t="s">
        <v>84</v>
      </c>
      <c r="G1394" s="8" t="s">
        <v>346</v>
      </c>
      <c r="H1394" t="s">
        <v>488</v>
      </c>
      <c r="I1394" t="e">
        <f>VLOOKUP(Tabela2[[#This Row],[Coluna7]],[1]!Tabela1[#All],2,0)</f>
        <v>#REF!</v>
      </c>
      <c r="J1394" t="s">
        <v>520</v>
      </c>
      <c r="L1394">
        <v>30</v>
      </c>
      <c r="N1394" t="s">
        <v>517</v>
      </c>
      <c r="Q1394" s="10" t="str">
        <f>Tabela2[[#This Row],[Coluna5]]</f>
        <v>01/2026</v>
      </c>
      <c r="R1394" s="10" t="str">
        <f>IF(Tabela2[[#This Row],[Coluna9]]&gt;0,"Entrada","Saída")</f>
        <v>Saída</v>
      </c>
      <c r="S1394" s="10" t="str">
        <f>Tabela2[[#This Row],[Coluna8]]</f>
        <v>ATENDIMENTO</v>
      </c>
      <c r="T1394" s="10" t="e">
        <f>Tabela2[[#This Row],[Coluna72]]</f>
        <v>#REF!</v>
      </c>
      <c r="U1394" s="10">
        <f>SUM(Tabela2[[#This Row],[Coluna9]],Tabela2[[#This Row],[Coluna10]])</f>
        <v>30</v>
      </c>
      <c r="V1394" s="2" t="str">
        <f>Tabela2[[#This Row],[Coluna4]]</f>
        <v>12/01/2026</v>
      </c>
      <c r="W1394" s="2" t="str">
        <f>Tabela2[[#This Row],[Coluna6]]</f>
        <v>12/01/2026</v>
      </c>
    </row>
    <row r="1395" spans="2:23" x14ac:dyDescent="0.2">
      <c r="B1395" t="s">
        <v>12</v>
      </c>
      <c r="C1395" t="s">
        <v>95</v>
      </c>
      <c r="D1395" t="s">
        <v>13</v>
      </c>
      <c r="E1395" s="8" t="s">
        <v>346</v>
      </c>
      <c r="F1395" t="s">
        <v>84</v>
      </c>
      <c r="G1395" s="8" t="s">
        <v>346</v>
      </c>
      <c r="H1395" t="s">
        <v>469</v>
      </c>
      <c r="I1395" t="e">
        <f>VLOOKUP(Tabela2[[#This Row],[Coluna7]],[1]!Tabela1[#All],2,0)</f>
        <v>#REF!</v>
      </c>
      <c r="J1395" t="s">
        <v>521</v>
      </c>
      <c r="L1395">
        <v>58</v>
      </c>
      <c r="Q1395" s="10" t="str">
        <f>Tabela2[[#This Row],[Coluna5]]</f>
        <v>01/2026</v>
      </c>
      <c r="R1395" s="10" t="str">
        <f>IF(Tabela2[[#This Row],[Coluna9]]&gt;0,"Entrada","Saída")</f>
        <v>Saída</v>
      </c>
      <c r="S1395" s="10" t="str">
        <f>Tabela2[[#This Row],[Coluna8]]</f>
        <v>RESMAS (VICTOR LUIS)</v>
      </c>
      <c r="T1395" s="10" t="e">
        <f>Tabela2[[#This Row],[Coluna72]]</f>
        <v>#REF!</v>
      </c>
      <c r="U1395" s="10">
        <f>SUM(Tabela2[[#This Row],[Coluna9]],Tabela2[[#This Row],[Coluna10]])</f>
        <v>58</v>
      </c>
      <c r="V1395" s="2" t="str">
        <f>Tabela2[[#This Row],[Coluna4]]</f>
        <v>12/01/2026</v>
      </c>
      <c r="W1395" s="2" t="str">
        <f>Tabela2[[#This Row],[Coluna6]]</f>
        <v>12/01/2026</v>
      </c>
    </row>
    <row r="1396" spans="2:23" x14ac:dyDescent="0.2">
      <c r="B1396" t="s">
        <v>71</v>
      </c>
      <c r="C1396" t="s">
        <v>95</v>
      </c>
      <c r="D1396" t="s">
        <v>13</v>
      </c>
      <c r="E1396" s="8" t="s">
        <v>346</v>
      </c>
      <c r="F1396" t="s">
        <v>84</v>
      </c>
      <c r="G1396" s="8" t="s">
        <v>346</v>
      </c>
      <c r="H1396" t="s">
        <v>488</v>
      </c>
      <c r="I1396" t="e">
        <f>VLOOKUP(Tabela2[[#This Row],[Coluna7]],[1]!Tabela1[#All],2,0)</f>
        <v>#REF!</v>
      </c>
      <c r="J1396" t="s">
        <v>522</v>
      </c>
      <c r="L1396">
        <v>150</v>
      </c>
      <c r="N1396" t="s">
        <v>523</v>
      </c>
      <c r="Q1396" s="10" t="str">
        <f>Tabela2[[#This Row],[Coluna5]]</f>
        <v>01/2026</v>
      </c>
      <c r="R1396" s="10" t="str">
        <f>IF(Tabela2[[#This Row],[Coluna9]]&gt;0,"Entrada","Saída")</f>
        <v>Saída</v>
      </c>
      <c r="S1396" s="10" t="str">
        <f>Tabela2[[#This Row],[Coluna8]]</f>
        <v>SEMANAL DE GASOLINA</v>
      </c>
      <c r="T1396" s="10" t="e">
        <f>Tabela2[[#This Row],[Coluna72]]</f>
        <v>#REF!</v>
      </c>
      <c r="U1396" s="10">
        <f>SUM(Tabela2[[#This Row],[Coluna9]],Tabela2[[#This Row],[Coluna10]])</f>
        <v>150</v>
      </c>
      <c r="V1396" s="2" t="str">
        <f>Tabela2[[#This Row],[Coluna4]]</f>
        <v>12/01/2026</v>
      </c>
      <c r="W1396" s="2" t="str">
        <f>Tabela2[[#This Row],[Coluna6]]</f>
        <v>12/01/2026</v>
      </c>
    </row>
    <row r="1397" spans="2:23" x14ac:dyDescent="0.2">
      <c r="B1397" t="s">
        <v>27</v>
      </c>
      <c r="C1397" t="s">
        <v>95</v>
      </c>
      <c r="D1397" t="s">
        <v>13</v>
      </c>
      <c r="E1397" s="8" t="s">
        <v>86</v>
      </c>
      <c r="F1397" t="s">
        <v>84</v>
      </c>
      <c r="G1397" s="8" t="s">
        <v>86</v>
      </c>
      <c r="H1397" t="s">
        <v>442</v>
      </c>
      <c r="I1397" t="e">
        <f>VLOOKUP(Tabela2[[#This Row],[Coluna7]],[1]!Tabela1[#All],2,0)</f>
        <v>#REF!</v>
      </c>
      <c r="J1397" t="s">
        <v>453</v>
      </c>
      <c r="L1397">
        <v>1032.21</v>
      </c>
      <c r="Q1397" s="10" t="str">
        <f>Tabela2[[#This Row],[Coluna5]]</f>
        <v>01/2026</v>
      </c>
      <c r="R1397" s="10" t="str">
        <f>IF(Tabela2[[#This Row],[Coluna9]]&gt;0,"Entrada","Saída")</f>
        <v>Saída</v>
      </c>
      <c r="S1397" s="10" t="str">
        <f>Tabela2[[#This Row],[Coluna8]]</f>
        <v>CAPITAL DE GIRO</v>
      </c>
      <c r="T1397" s="10" t="e">
        <f>Tabela2[[#This Row],[Coluna72]]</f>
        <v>#REF!</v>
      </c>
      <c r="U1397" s="10">
        <f>SUM(Tabela2[[#This Row],[Coluna9]],Tabela2[[#This Row],[Coluna10]])</f>
        <v>1032.21</v>
      </c>
      <c r="V1397" s="2" t="str">
        <f>Tabela2[[#This Row],[Coluna4]]</f>
        <v>13/01/2026</v>
      </c>
      <c r="W1397" s="2" t="str">
        <f>Tabela2[[#This Row],[Coluna6]]</f>
        <v>13/01/2026</v>
      </c>
    </row>
    <row r="1398" spans="2:23" x14ac:dyDescent="0.2">
      <c r="B1398" t="s">
        <v>27</v>
      </c>
      <c r="C1398" t="s">
        <v>95</v>
      </c>
      <c r="D1398" t="s">
        <v>13</v>
      </c>
      <c r="E1398" s="8" t="s">
        <v>88</v>
      </c>
      <c r="F1398" t="s">
        <v>84</v>
      </c>
      <c r="G1398" s="8" t="s">
        <v>88</v>
      </c>
      <c r="H1398" t="s">
        <v>445</v>
      </c>
      <c r="I1398" t="e">
        <f>VLOOKUP(Tabela2[[#This Row],[Coluna7]],[1]!Tabela1[#All],2,0)</f>
        <v>#REF!</v>
      </c>
      <c r="J1398" t="s">
        <v>456</v>
      </c>
      <c r="L1398">
        <v>397</v>
      </c>
      <c r="Q1398" s="10" t="str">
        <f>Tabela2[[#This Row],[Coluna5]]</f>
        <v>01/2026</v>
      </c>
      <c r="R1398" s="10" t="str">
        <f>IF(Tabela2[[#This Row],[Coluna9]]&gt;0,"Entrada","Saída")</f>
        <v>Saída</v>
      </c>
      <c r="S1398" s="10" t="str">
        <f>Tabela2[[#This Row],[Coluna8]]</f>
        <v>ZAP</v>
      </c>
      <c r="T1398" s="10" t="e">
        <f>Tabela2[[#This Row],[Coluna72]]</f>
        <v>#REF!</v>
      </c>
      <c r="U1398" s="10">
        <f>SUM(Tabela2[[#This Row],[Coluna9]],Tabela2[[#This Row],[Coluna10]])</f>
        <v>397</v>
      </c>
      <c r="V1398" s="2" t="str">
        <f>Tabela2[[#This Row],[Coluna4]]</f>
        <v>14/01/2026</v>
      </c>
      <c r="W1398" s="2" t="str">
        <f>Tabela2[[#This Row],[Coluna6]]</f>
        <v>14/01/2026</v>
      </c>
    </row>
    <row r="1399" spans="2:23" x14ac:dyDescent="0.2">
      <c r="B1399" t="s">
        <v>71</v>
      </c>
      <c r="C1399" t="s">
        <v>95</v>
      </c>
      <c r="D1399" t="s">
        <v>13</v>
      </c>
      <c r="E1399" s="8" t="s">
        <v>88</v>
      </c>
      <c r="F1399" t="s">
        <v>84</v>
      </c>
      <c r="G1399" s="8" t="s">
        <v>88</v>
      </c>
      <c r="H1399" t="s">
        <v>438</v>
      </c>
      <c r="I1399" t="e">
        <f>VLOOKUP(Tabela2[[#This Row],[Coluna7]],[1]!Tabela1[#All],2,0)</f>
        <v>#REF!</v>
      </c>
      <c r="J1399" t="s">
        <v>524</v>
      </c>
      <c r="L1399">
        <v>1000</v>
      </c>
      <c r="Q1399" s="10" t="str">
        <f>Tabela2[[#This Row],[Coluna5]]</f>
        <v>01/2026</v>
      </c>
      <c r="R1399" s="10" t="str">
        <f>IF(Tabela2[[#This Row],[Coluna9]]&gt;0,"Entrada","Saída")</f>
        <v>Saída</v>
      </c>
      <c r="S1399" s="10" t="str">
        <f>Tabela2[[#This Row],[Coluna8]]</f>
        <v>INSTALAÇÃO E MANUTENÇÃO</v>
      </c>
      <c r="T1399" s="10" t="e">
        <f>Tabela2[[#This Row],[Coluna72]]</f>
        <v>#REF!</v>
      </c>
      <c r="U1399" s="10">
        <f>SUM(Tabela2[[#This Row],[Coluna9]],Tabela2[[#This Row],[Coluna10]])</f>
        <v>1000</v>
      </c>
      <c r="V1399" s="2" t="str">
        <f>Tabela2[[#This Row],[Coluna4]]</f>
        <v>14/01/2026</v>
      </c>
      <c r="W1399" s="2" t="str">
        <f>Tabela2[[#This Row],[Coluna6]]</f>
        <v>14/01/2026</v>
      </c>
    </row>
    <row r="1400" spans="2:23" x14ac:dyDescent="0.2">
      <c r="B1400" t="s">
        <v>18</v>
      </c>
      <c r="C1400" t="s">
        <v>95</v>
      </c>
      <c r="D1400" t="s">
        <v>13</v>
      </c>
      <c r="E1400" s="8" t="s">
        <v>88</v>
      </c>
      <c r="F1400" t="s">
        <v>84</v>
      </c>
      <c r="G1400" s="8" t="s">
        <v>88</v>
      </c>
      <c r="H1400" t="s">
        <v>438</v>
      </c>
      <c r="I1400" t="e">
        <f>VLOOKUP(Tabela2[[#This Row],[Coluna7]],[1]!Tabela1[#All],2,0)</f>
        <v>#REF!</v>
      </c>
      <c r="J1400" t="s">
        <v>525</v>
      </c>
      <c r="L1400">
        <v>90</v>
      </c>
      <c r="Q1400" s="10" t="str">
        <f>Tabela2[[#This Row],[Coluna5]]</f>
        <v>01/2026</v>
      </c>
      <c r="R1400" s="10" t="str">
        <f>IF(Tabela2[[#This Row],[Coluna9]]&gt;0,"Entrada","Saída")</f>
        <v>Saída</v>
      </c>
      <c r="S1400" s="10" t="str">
        <f>Tabela2[[#This Row],[Coluna8]]</f>
        <v>EDEN - FORMATAÇÃO DE PC</v>
      </c>
      <c r="T1400" s="10" t="e">
        <f>Tabela2[[#This Row],[Coluna72]]</f>
        <v>#REF!</v>
      </c>
      <c r="U1400" s="10">
        <f>SUM(Tabela2[[#This Row],[Coluna9]],Tabela2[[#This Row],[Coluna10]])</f>
        <v>90</v>
      </c>
      <c r="V1400" s="2" t="str">
        <f>Tabela2[[#This Row],[Coluna4]]</f>
        <v>14/01/2026</v>
      </c>
      <c r="W1400" s="2" t="str">
        <f>Tabela2[[#This Row],[Coluna6]]</f>
        <v>14/01/2026</v>
      </c>
    </row>
    <row r="1401" spans="2:23" x14ac:dyDescent="0.2">
      <c r="B1401" t="s">
        <v>27</v>
      </c>
      <c r="C1401" t="s">
        <v>95</v>
      </c>
      <c r="D1401" t="s">
        <v>13</v>
      </c>
      <c r="E1401" s="8" t="s">
        <v>352</v>
      </c>
      <c r="F1401" t="s">
        <v>84</v>
      </c>
      <c r="G1401" s="8" t="s">
        <v>352</v>
      </c>
      <c r="H1401" t="s">
        <v>488</v>
      </c>
      <c r="I1401" t="e">
        <f>VLOOKUP(Tabela2[[#This Row],[Coluna7]],[1]!Tabela1[#All],2,0)</f>
        <v>#REF!</v>
      </c>
      <c r="L1401">
        <v>200</v>
      </c>
      <c r="N1401" t="s">
        <v>499</v>
      </c>
      <c r="Q1401" s="10" t="str">
        <f>Tabela2[[#This Row],[Coluna5]]</f>
        <v>01/2026</v>
      </c>
      <c r="R1401" s="10" t="str">
        <f>IF(Tabela2[[#This Row],[Coluna9]]&gt;0,"Entrada","Saída")</f>
        <v>Saída</v>
      </c>
      <c r="S1401" s="10">
        <f>Tabela2[[#This Row],[Coluna8]]</f>
        <v>0</v>
      </c>
      <c r="T1401" s="10" t="e">
        <f>Tabela2[[#This Row],[Coluna72]]</f>
        <v>#REF!</v>
      </c>
      <c r="U1401" s="10">
        <f>SUM(Tabela2[[#This Row],[Coluna9]],Tabela2[[#This Row],[Coluna10]])</f>
        <v>200</v>
      </c>
      <c r="V1401" s="2" t="str">
        <f>Tabela2[[#This Row],[Coluna4]]</f>
        <v>16/01/2026</v>
      </c>
      <c r="W1401" s="2" t="str">
        <f>Tabela2[[#This Row],[Coluna6]]</f>
        <v>16/01/2026</v>
      </c>
    </row>
    <row r="1402" spans="2:23" x14ac:dyDescent="0.2">
      <c r="B1402" t="s">
        <v>18</v>
      </c>
      <c r="C1402" t="s">
        <v>95</v>
      </c>
      <c r="D1402" t="s">
        <v>13</v>
      </c>
      <c r="E1402" s="8" t="s">
        <v>352</v>
      </c>
      <c r="F1402" t="s">
        <v>84</v>
      </c>
      <c r="G1402" s="8" t="s">
        <v>352</v>
      </c>
      <c r="H1402" t="s">
        <v>449</v>
      </c>
      <c r="I1402" t="e">
        <f>VLOOKUP(Tabela2[[#This Row],[Coluna7]],[1]!Tabela1[#All],2,0)</f>
        <v>#REF!</v>
      </c>
      <c r="J1402" t="s">
        <v>484</v>
      </c>
      <c r="L1402">
        <v>2384</v>
      </c>
      <c r="Q1402" s="10" t="str">
        <f>Tabela2[[#This Row],[Coluna5]]</f>
        <v>01/2026</v>
      </c>
      <c r="R1402" s="10" t="str">
        <f>IF(Tabela2[[#This Row],[Coluna9]]&gt;0,"Entrada","Saída")</f>
        <v>Saída</v>
      </c>
      <c r="S1402" s="10" t="str">
        <f>Tabela2[[#This Row],[Coluna8]]</f>
        <v>BERRY</v>
      </c>
      <c r="T1402" s="10" t="e">
        <f>Tabela2[[#This Row],[Coluna72]]</f>
        <v>#REF!</v>
      </c>
      <c r="U1402" s="10">
        <f>SUM(Tabela2[[#This Row],[Coluna9]],Tabela2[[#This Row],[Coluna10]])</f>
        <v>2384</v>
      </c>
      <c r="V1402" s="2" t="str">
        <f>Tabela2[[#This Row],[Coluna4]]</f>
        <v>16/01/2026</v>
      </c>
      <c r="W1402" s="2" t="str">
        <f>Tabela2[[#This Row],[Coluna6]]</f>
        <v>16/01/2026</v>
      </c>
    </row>
    <row r="1403" spans="2:23" x14ac:dyDescent="0.2">
      <c r="B1403" t="s">
        <v>18</v>
      </c>
      <c r="C1403" t="s">
        <v>95</v>
      </c>
      <c r="D1403" t="s">
        <v>13</v>
      </c>
      <c r="E1403" s="8" t="s">
        <v>90</v>
      </c>
      <c r="F1403" t="s">
        <v>84</v>
      </c>
      <c r="H1403" t="s">
        <v>504</v>
      </c>
      <c r="I1403" t="e">
        <f>VLOOKUP(Tabela2[[#This Row],[Coluna7]],[1]!Tabela1[#All],2,0)</f>
        <v>#REF!</v>
      </c>
      <c r="L1403">
        <v>3000</v>
      </c>
      <c r="N1403" t="s">
        <v>526</v>
      </c>
      <c r="Q1403" s="10" t="str">
        <f>Tabela2[[#This Row],[Coluna5]]</f>
        <v>01/2026</v>
      </c>
      <c r="R1403" s="10" t="str">
        <f>IF(Tabela2[[#This Row],[Coluna9]]&gt;0,"Entrada","Saída")</f>
        <v>Saída</v>
      </c>
      <c r="S1403" s="10">
        <f>Tabela2[[#This Row],[Coluna8]]</f>
        <v>0</v>
      </c>
      <c r="T1403" s="10" t="e">
        <f>Tabela2[[#This Row],[Coluna72]]</f>
        <v>#REF!</v>
      </c>
      <c r="U1403" s="10">
        <f>SUM(Tabela2[[#This Row],[Coluna9]],Tabela2[[#This Row],[Coluna10]])</f>
        <v>3000</v>
      </c>
      <c r="V1403" s="2" t="str">
        <f>Tabela2[[#This Row],[Coluna4]]</f>
        <v>19/01/2026</v>
      </c>
      <c r="W1403" s="2">
        <f>Tabela2[[#This Row],[Coluna6]]</f>
        <v>0</v>
      </c>
    </row>
    <row r="1404" spans="2:23" x14ac:dyDescent="0.2">
      <c r="B1404" t="s">
        <v>27</v>
      </c>
      <c r="C1404" t="s">
        <v>95</v>
      </c>
      <c r="D1404" t="s">
        <v>13</v>
      </c>
      <c r="E1404" s="8" t="s">
        <v>356</v>
      </c>
      <c r="F1404" t="s">
        <v>84</v>
      </c>
      <c r="G1404" s="8" t="s">
        <v>90</v>
      </c>
      <c r="H1404" t="s">
        <v>445</v>
      </c>
      <c r="I1404" t="e">
        <f>VLOOKUP(Tabela2[[#This Row],[Coluna7]],[1]!Tabela1[#All],2,0)</f>
        <v>#REF!</v>
      </c>
      <c r="J1404" t="s">
        <v>461</v>
      </c>
      <c r="L1404">
        <v>730</v>
      </c>
      <c r="Q1404" s="10" t="str">
        <f>Tabela2[[#This Row],[Coluna5]]</f>
        <v>01/2026</v>
      </c>
      <c r="R1404" s="10" t="str">
        <f>IF(Tabela2[[#This Row],[Coluna9]]&gt;0,"Entrada","Saída")</f>
        <v>Saída</v>
      </c>
      <c r="S1404" s="10" t="str">
        <f>Tabela2[[#This Row],[Coluna8]]</f>
        <v>E-AUDITORIA</v>
      </c>
      <c r="T1404" s="10" t="e">
        <f>Tabela2[[#This Row],[Coluna72]]</f>
        <v>#REF!</v>
      </c>
      <c r="U1404" s="10">
        <f>SUM(Tabela2[[#This Row],[Coluna9]],Tabela2[[#This Row],[Coluna10]])</f>
        <v>730</v>
      </c>
      <c r="V1404" s="2" t="str">
        <f>Tabela2[[#This Row],[Coluna4]]</f>
        <v>21/01/2026</v>
      </c>
      <c r="W1404" s="2" t="str">
        <f>Tabela2[[#This Row],[Coluna6]]</f>
        <v>19/01/2026</v>
      </c>
    </row>
    <row r="1405" spans="2:23" x14ac:dyDescent="0.2">
      <c r="B1405" t="s">
        <v>18</v>
      </c>
      <c r="C1405" t="s">
        <v>95</v>
      </c>
      <c r="D1405" t="s">
        <v>13</v>
      </c>
      <c r="E1405" s="8" t="s">
        <v>356</v>
      </c>
      <c r="F1405" t="s">
        <v>84</v>
      </c>
      <c r="G1405" s="8" t="s">
        <v>356</v>
      </c>
      <c r="H1405" t="s">
        <v>443</v>
      </c>
      <c r="I1405" t="e">
        <f>VLOOKUP(Tabela2[[#This Row],[Coluna7]],[1]!Tabela1[#All],2,0)</f>
        <v>#REF!</v>
      </c>
      <c r="J1405" t="s">
        <v>527</v>
      </c>
      <c r="L1405">
        <v>22</v>
      </c>
      <c r="Q1405" s="10" t="str">
        <f>Tabela2[[#This Row],[Coluna5]]</f>
        <v>01/2026</v>
      </c>
      <c r="R1405" s="10" t="str">
        <f>IF(Tabela2[[#This Row],[Coluna9]]&gt;0,"Entrada","Saída")</f>
        <v>Saída</v>
      </c>
      <c r="S1405" s="10" t="str">
        <f>Tabela2[[#This Row],[Coluna8]]</f>
        <v>THIAGO</v>
      </c>
      <c r="T1405" s="10" t="e">
        <f>Tabela2[[#This Row],[Coluna72]]</f>
        <v>#REF!</v>
      </c>
      <c r="U1405" s="10">
        <f>SUM(Tabela2[[#This Row],[Coluna9]],Tabela2[[#This Row],[Coluna10]])</f>
        <v>22</v>
      </c>
      <c r="V1405" s="2" t="str">
        <f>Tabela2[[#This Row],[Coluna4]]</f>
        <v>21/01/2026</v>
      </c>
      <c r="W1405" s="2" t="str">
        <f>Tabela2[[#This Row],[Coluna6]]</f>
        <v>21/01/2026</v>
      </c>
    </row>
    <row r="1406" spans="2:23" x14ac:dyDescent="0.2">
      <c r="B1406" t="s">
        <v>12</v>
      </c>
      <c r="C1406" t="s">
        <v>95</v>
      </c>
      <c r="D1406" t="s">
        <v>13</v>
      </c>
      <c r="E1406" s="8" t="s">
        <v>356</v>
      </c>
      <c r="F1406" t="s">
        <v>84</v>
      </c>
      <c r="G1406" s="8" t="s">
        <v>356</v>
      </c>
      <c r="H1406" t="s">
        <v>528</v>
      </c>
      <c r="I1406" t="e">
        <f>VLOOKUP(Tabela2[[#This Row],[Coluna7]],[1]!Tabela1[#All],2,0)</f>
        <v>#REF!</v>
      </c>
      <c r="J1406" t="s">
        <v>529</v>
      </c>
      <c r="L1406">
        <v>319.57</v>
      </c>
      <c r="Q1406" s="10" t="str">
        <f>Tabela2[[#This Row],[Coluna5]]</f>
        <v>01/2026</v>
      </c>
      <c r="R1406" s="10" t="str">
        <f>IF(Tabela2[[#This Row],[Coluna9]]&gt;0,"Entrada","Saída")</f>
        <v>Saída</v>
      </c>
      <c r="S1406" s="10" t="str">
        <f>Tabela2[[#This Row],[Coluna8]]</f>
        <v>HOSTGATOR</v>
      </c>
      <c r="T1406" s="10" t="e">
        <f>Tabela2[[#This Row],[Coluna72]]</f>
        <v>#REF!</v>
      </c>
      <c r="U1406" s="10">
        <f>SUM(Tabela2[[#This Row],[Coluna9]],Tabela2[[#This Row],[Coluna10]])</f>
        <v>319.57</v>
      </c>
      <c r="V1406" s="2" t="str">
        <f>Tabela2[[#This Row],[Coluna4]]</f>
        <v>21/01/2026</v>
      </c>
      <c r="W1406" s="2" t="str">
        <f>Tabela2[[#This Row],[Coluna6]]</f>
        <v>21/01/2026</v>
      </c>
    </row>
    <row r="1407" spans="2:23" x14ac:dyDescent="0.2">
      <c r="B1407" t="s">
        <v>18</v>
      </c>
      <c r="C1407" t="s">
        <v>95</v>
      </c>
      <c r="D1407" t="s">
        <v>13</v>
      </c>
      <c r="E1407" s="8" t="s">
        <v>92</v>
      </c>
      <c r="F1407" t="s">
        <v>84</v>
      </c>
      <c r="G1407" s="8" t="s">
        <v>92</v>
      </c>
      <c r="H1407" t="s">
        <v>488</v>
      </c>
      <c r="I1407" t="e">
        <f>VLOOKUP(Tabela2[[#This Row],[Coluna7]],[1]!Tabela1[#All],2,0)</f>
        <v>#REF!</v>
      </c>
      <c r="L1407">
        <v>300</v>
      </c>
      <c r="N1407" t="s">
        <v>499</v>
      </c>
      <c r="Q1407" s="10" t="str">
        <f>Tabela2[[#This Row],[Coluna5]]</f>
        <v>01/2026</v>
      </c>
      <c r="R1407" s="10" t="str">
        <f>IF(Tabela2[[#This Row],[Coluna9]]&gt;0,"Entrada","Saída")</f>
        <v>Saída</v>
      </c>
      <c r="S1407" s="10">
        <f>Tabela2[[#This Row],[Coluna8]]</f>
        <v>0</v>
      </c>
      <c r="T1407" s="10" t="e">
        <f>Tabela2[[#This Row],[Coluna72]]</f>
        <v>#REF!</v>
      </c>
      <c r="U1407" s="10">
        <f>SUM(Tabela2[[#This Row],[Coluna9]],Tabela2[[#This Row],[Coluna10]])</f>
        <v>300</v>
      </c>
      <c r="V1407" s="2" t="str">
        <f>Tabela2[[#This Row],[Coluna4]]</f>
        <v>22/01/2026</v>
      </c>
      <c r="W1407" s="2" t="str">
        <f>Tabela2[[#This Row],[Coluna6]]</f>
        <v>22/01/2026</v>
      </c>
    </row>
    <row r="1408" spans="2:23" x14ac:dyDescent="0.2">
      <c r="B1408" t="s">
        <v>18</v>
      </c>
      <c r="C1408" t="s">
        <v>95</v>
      </c>
      <c r="D1408" t="s">
        <v>13</v>
      </c>
      <c r="E1408" s="8" t="s">
        <v>92</v>
      </c>
      <c r="F1408" t="s">
        <v>84</v>
      </c>
      <c r="G1408" s="8" t="s">
        <v>92</v>
      </c>
      <c r="H1408" t="s">
        <v>443</v>
      </c>
      <c r="I1408" t="e">
        <f>VLOOKUP(Tabela2[[#This Row],[Coluna7]],[1]!Tabela1[#All],2,0)</f>
        <v>#REF!</v>
      </c>
      <c r="J1408" t="s">
        <v>530</v>
      </c>
      <c r="L1408">
        <v>29</v>
      </c>
      <c r="Q1408" s="10" t="str">
        <f>Tabela2[[#This Row],[Coluna5]]</f>
        <v>01/2026</v>
      </c>
      <c r="R1408" s="10" t="str">
        <f>IF(Tabela2[[#This Row],[Coluna9]]&gt;0,"Entrada","Saída")</f>
        <v>Saída</v>
      </c>
      <c r="S1408" s="10" t="str">
        <f>Tabela2[[#This Row],[Coluna8]]</f>
        <v>PICUI</v>
      </c>
      <c r="T1408" s="10" t="e">
        <f>Tabela2[[#This Row],[Coluna72]]</f>
        <v>#REF!</v>
      </c>
      <c r="U1408" s="10">
        <f>SUM(Tabela2[[#This Row],[Coluna9]],Tabela2[[#This Row],[Coluna10]])</f>
        <v>29</v>
      </c>
      <c r="V1408" s="2" t="str">
        <f>Tabela2[[#This Row],[Coluna4]]</f>
        <v>22/01/2026</v>
      </c>
      <c r="W1408" s="2" t="str">
        <f>Tabela2[[#This Row],[Coluna6]]</f>
        <v>22/01/2026</v>
      </c>
    </row>
    <row r="1409" spans="2:23" x14ac:dyDescent="0.2">
      <c r="B1409" t="s">
        <v>27</v>
      </c>
      <c r="C1409" t="s">
        <v>95</v>
      </c>
      <c r="D1409" t="s">
        <v>13</v>
      </c>
      <c r="E1409" s="8" t="s">
        <v>92</v>
      </c>
      <c r="F1409" t="s">
        <v>84</v>
      </c>
      <c r="G1409" s="8" t="s">
        <v>92</v>
      </c>
      <c r="H1409" t="s">
        <v>445</v>
      </c>
      <c r="I1409" t="e">
        <f>VLOOKUP(Tabela2[[#This Row],[Coluna7]],[1]!Tabela1[#All],2,0)</f>
        <v>#REF!</v>
      </c>
      <c r="J1409" t="s">
        <v>531</v>
      </c>
      <c r="L1409">
        <v>899.01</v>
      </c>
      <c r="Q1409" s="10" t="str">
        <f>Tabela2[[#This Row],[Coluna5]]</f>
        <v>01/2026</v>
      </c>
      <c r="R1409" s="10" t="str">
        <f>IF(Tabela2[[#This Row],[Coluna9]]&gt;0,"Entrada","Saída")</f>
        <v>Saída</v>
      </c>
      <c r="S1409" s="10" t="str">
        <f>Tabela2[[#This Row],[Coluna8]]</f>
        <v>IMPOSTOGRAMA</v>
      </c>
      <c r="T1409" s="10" t="e">
        <f>Tabela2[[#This Row],[Coluna72]]</f>
        <v>#REF!</v>
      </c>
      <c r="U1409" s="10">
        <f>SUM(Tabela2[[#This Row],[Coluna9]],Tabela2[[#This Row],[Coluna10]])</f>
        <v>899.01</v>
      </c>
      <c r="V1409" s="2" t="str">
        <f>Tabela2[[#This Row],[Coluna4]]</f>
        <v>22/01/2026</v>
      </c>
      <c r="W1409" s="2" t="str">
        <f>Tabela2[[#This Row],[Coluna6]]</f>
        <v>22/01/2026</v>
      </c>
    </row>
    <row r="1410" spans="2:23" x14ac:dyDescent="0.2">
      <c r="B1410" t="s">
        <v>27</v>
      </c>
      <c r="C1410" t="s">
        <v>95</v>
      </c>
      <c r="D1410" t="s">
        <v>13</v>
      </c>
      <c r="E1410" s="8" t="s">
        <v>532</v>
      </c>
      <c r="F1410" t="s">
        <v>84</v>
      </c>
      <c r="G1410" s="8" t="s">
        <v>90</v>
      </c>
      <c r="H1410" t="s">
        <v>451</v>
      </c>
      <c r="I1410" t="e">
        <f>VLOOKUP(Tabela2[[#This Row],[Coluna7]],[1]!Tabela1[#All],2,0)</f>
        <v>#REF!</v>
      </c>
      <c r="J1410" t="s">
        <v>464</v>
      </c>
      <c r="L1410">
        <v>160.22999999999999</v>
      </c>
      <c r="Q1410" s="10" t="str">
        <f>Tabela2[[#This Row],[Coluna5]]</f>
        <v>01/2026</v>
      </c>
      <c r="R1410" s="10" t="str">
        <f>IF(Tabela2[[#This Row],[Coluna9]]&gt;0,"Entrada","Saída")</f>
        <v>Saída</v>
      </c>
      <c r="S1410" s="10" t="str">
        <f>Tabela2[[#This Row],[Coluna8]]</f>
        <v>BRISANET</v>
      </c>
      <c r="T1410" s="10" t="e">
        <f>Tabela2[[#This Row],[Coluna72]]</f>
        <v>#REF!</v>
      </c>
      <c r="U1410" s="10">
        <f>SUM(Tabela2[[#This Row],[Coluna9]],Tabela2[[#This Row],[Coluna10]])</f>
        <v>160.22999999999999</v>
      </c>
      <c r="V1410" s="2" t="str">
        <f>Tabela2[[#This Row],[Coluna4]]</f>
        <v>24/01/2026</v>
      </c>
      <c r="W1410" s="2" t="str">
        <f>Tabela2[[#This Row],[Coluna6]]</f>
        <v>19/01/2026</v>
      </c>
    </row>
    <row r="1411" spans="2:23" x14ac:dyDescent="0.2">
      <c r="B1411" t="s">
        <v>18</v>
      </c>
      <c r="C1411" t="s">
        <v>95</v>
      </c>
      <c r="D1411" t="s">
        <v>13</v>
      </c>
      <c r="E1411" s="8" t="s">
        <v>93</v>
      </c>
      <c r="F1411" t="s">
        <v>84</v>
      </c>
      <c r="G1411" s="8" t="s">
        <v>93</v>
      </c>
      <c r="H1411" t="s">
        <v>443</v>
      </c>
      <c r="I1411" t="e">
        <f>VLOOKUP(Tabela2[[#This Row],[Coluna7]],[1]!Tabela1[#All],2,0)</f>
        <v>#REF!</v>
      </c>
      <c r="J1411" t="s">
        <v>530</v>
      </c>
      <c r="L1411">
        <v>22</v>
      </c>
      <c r="Q1411" s="10" t="str">
        <f>Tabela2[[#This Row],[Coluna5]]</f>
        <v>01/2026</v>
      </c>
      <c r="R1411" s="10" t="str">
        <f>IF(Tabela2[[#This Row],[Coluna9]]&gt;0,"Entrada","Saída")</f>
        <v>Saída</v>
      </c>
      <c r="S1411" s="10" t="str">
        <f>Tabela2[[#This Row],[Coluna8]]</f>
        <v>PICUI</v>
      </c>
      <c r="T1411" s="10" t="e">
        <f>Tabela2[[#This Row],[Coluna72]]</f>
        <v>#REF!</v>
      </c>
      <c r="U1411" s="10">
        <f>SUM(Tabela2[[#This Row],[Coluna9]],Tabela2[[#This Row],[Coluna10]])</f>
        <v>22</v>
      </c>
      <c r="V1411" s="2" t="str">
        <f>Tabela2[[#This Row],[Coluna4]]</f>
        <v>26/01/2026</v>
      </c>
      <c r="W1411" s="2" t="str">
        <f>Tabela2[[#This Row],[Coluna6]]</f>
        <v>26/01/2026</v>
      </c>
    </row>
    <row r="1412" spans="2:23" x14ac:dyDescent="0.2">
      <c r="B1412" t="s">
        <v>27</v>
      </c>
      <c r="C1412" t="s">
        <v>95</v>
      </c>
      <c r="D1412" t="s">
        <v>13</v>
      </c>
      <c r="E1412" s="8" t="s">
        <v>93</v>
      </c>
      <c r="F1412" t="s">
        <v>84</v>
      </c>
      <c r="G1412" s="8" t="s">
        <v>93</v>
      </c>
      <c r="H1412" t="s">
        <v>442</v>
      </c>
      <c r="I1412" t="e">
        <f>VLOOKUP(Tabela2[[#This Row],[Coluna7]],[1]!Tabela1[#All],2,0)</f>
        <v>#REF!</v>
      </c>
      <c r="J1412" t="s">
        <v>453</v>
      </c>
      <c r="L1412">
        <v>1042.33</v>
      </c>
      <c r="Q1412" s="10" t="str">
        <f>Tabela2[[#This Row],[Coluna5]]</f>
        <v>01/2026</v>
      </c>
      <c r="R1412" s="10" t="str">
        <f>IF(Tabela2[[#This Row],[Coluna9]]&gt;0,"Entrada","Saída")</f>
        <v>Saída</v>
      </c>
      <c r="S1412" s="10" t="str">
        <f>Tabela2[[#This Row],[Coluna8]]</f>
        <v>CAPITAL DE GIRO</v>
      </c>
      <c r="T1412" s="10" t="e">
        <f>Tabela2[[#This Row],[Coluna72]]</f>
        <v>#REF!</v>
      </c>
      <c r="U1412" s="10">
        <f>SUM(Tabela2[[#This Row],[Coluna9]],Tabela2[[#This Row],[Coluna10]])</f>
        <v>1042.33</v>
      </c>
      <c r="V1412" s="2" t="str">
        <f>Tabela2[[#This Row],[Coluna4]]</f>
        <v>26/01/2026</v>
      </c>
      <c r="W1412" s="2" t="str">
        <f>Tabela2[[#This Row],[Coluna6]]</f>
        <v>26/01/2026</v>
      </c>
    </row>
    <row r="1413" spans="2:23" x14ac:dyDescent="0.2">
      <c r="B1413" t="s">
        <v>18</v>
      </c>
      <c r="C1413" t="s">
        <v>95</v>
      </c>
      <c r="D1413" t="s">
        <v>13</v>
      </c>
      <c r="E1413" s="8" t="s">
        <v>358</v>
      </c>
      <c r="F1413" t="s">
        <v>84</v>
      </c>
      <c r="G1413" s="8" t="s">
        <v>358</v>
      </c>
      <c r="H1413" t="s">
        <v>443</v>
      </c>
      <c r="I1413" t="e">
        <f>VLOOKUP(Tabela2[[#This Row],[Coluna7]],[1]!Tabela1[#All],2,0)</f>
        <v>#REF!</v>
      </c>
      <c r="J1413" t="s">
        <v>530</v>
      </c>
      <c r="L1413">
        <v>22</v>
      </c>
      <c r="Q1413" s="10" t="str">
        <f>Tabela2[[#This Row],[Coluna5]]</f>
        <v>01/2026</v>
      </c>
      <c r="R1413" s="10" t="str">
        <f>IF(Tabela2[[#This Row],[Coluna9]]&gt;0,"Entrada","Saída")</f>
        <v>Saída</v>
      </c>
      <c r="S1413" s="10" t="str">
        <f>Tabela2[[#This Row],[Coluna8]]</f>
        <v>PICUI</v>
      </c>
      <c r="T1413" s="10" t="e">
        <f>Tabela2[[#This Row],[Coluna72]]</f>
        <v>#REF!</v>
      </c>
      <c r="U1413" s="10">
        <f>SUM(Tabela2[[#This Row],[Coluna9]],Tabela2[[#This Row],[Coluna10]])</f>
        <v>22</v>
      </c>
      <c r="V1413" s="2" t="str">
        <f>Tabela2[[#This Row],[Coluna4]]</f>
        <v>27/01/2026</v>
      </c>
      <c r="W1413" s="2" t="str">
        <f>Tabela2[[#This Row],[Coluna6]]</f>
        <v>27/01/2026</v>
      </c>
    </row>
    <row r="1414" spans="2:23" x14ac:dyDescent="0.2">
      <c r="B1414" t="s">
        <v>18</v>
      </c>
      <c r="C1414" t="s">
        <v>95</v>
      </c>
      <c r="D1414" t="s">
        <v>13</v>
      </c>
      <c r="E1414" s="8" t="s">
        <v>359</v>
      </c>
      <c r="F1414" t="s">
        <v>84</v>
      </c>
      <c r="G1414" s="8" t="s">
        <v>359</v>
      </c>
      <c r="H1414" t="s">
        <v>443</v>
      </c>
      <c r="I1414" t="e">
        <f>VLOOKUP(Tabela2[[#This Row],[Coluna7]],[1]!Tabela1[#All],2,0)</f>
        <v>#REF!</v>
      </c>
      <c r="J1414" t="s">
        <v>454</v>
      </c>
      <c r="L1414">
        <v>22</v>
      </c>
      <c r="Q1414" s="10" t="str">
        <f>Tabela2[[#This Row],[Coluna5]]</f>
        <v>01/2026</v>
      </c>
      <c r="R1414" s="10" t="str">
        <f>IF(Tabela2[[#This Row],[Coluna9]]&gt;0,"Entrada","Saída")</f>
        <v>Saída</v>
      </c>
      <c r="S1414" s="10" t="str">
        <f>Tabela2[[#This Row],[Coluna8]]</f>
        <v>ALMOÇO</v>
      </c>
      <c r="T1414" s="10" t="e">
        <f>Tabela2[[#This Row],[Coluna72]]</f>
        <v>#REF!</v>
      </c>
      <c r="U1414" s="10">
        <f>SUM(Tabela2[[#This Row],[Coluna9]],Tabela2[[#This Row],[Coluna10]])</f>
        <v>22</v>
      </c>
      <c r="V1414" s="2" t="str">
        <f>Tabela2[[#This Row],[Coluna4]]</f>
        <v>28/01/2026</v>
      </c>
      <c r="W1414" s="2" t="str">
        <f>Tabela2[[#This Row],[Coluna6]]</f>
        <v>28/01/2026</v>
      </c>
    </row>
    <row r="1415" spans="2:23" x14ac:dyDescent="0.2">
      <c r="B1415" t="s">
        <v>18</v>
      </c>
      <c r="C1415" t="s">
        <v>95</v>
      </c>
      <c r="D1415" t="s">
        <v>13</v>
      </c>
      <c r="E1415" s="8" t="s">
        <v>359</v>
      </c>
      <c r="F1415" t="s">
        <v>84</v>
      </c>
      <c r="G1415" s="8" t="s">
        <v>359</v>
      </c>
      <c r="H1415" t="s">
        <v>490</v>
      </c>
      <c r="I1415" t="e">
        <f>VLOOKUP(Tabela2[[#This Row],[Coluna7]],[1]!Tabela1[#All],2,0)</f>
        <v>#REF!</v>
      </c>
      <c r="J1415" t="s">
        <v>533</v>
      </c>
      <c r="L1415">
        <v>20</v>
      </c>
      <c r="Q1415" s="10" t="str">
        <f>Tabela2[[#This Row],[Coluna5]]</f>
        <v>01/2026</v>
      </c>
      <c r="R1415" s="10" t="str">
        <f>IF(Tabela2[[#This Row],[Coluna9]]&gt;0,"Entrada","Saída")</f>
        <v>Saída</v>
      </c>
      <c r="S1415" s="10" t="str">
        <f>Tabela2[[#This Row],[Coluna8]]</f>
        <v>CELULAR FINANCEIRO</v>
      </c>
      <c r="T1415" s="10" t="e">
        <f>Tabela2[[#This Row],[Coluna72]]</f>
        <v>#REF!</v>
      </c>
      <c r="U1415" s="10">
        <f>SUM(Tabela2[[#This Row],[Coluna9]],Tabela2[[#This Row],[Coluna10]])</f>
        <v>20</v>
      </c>
      <c r="V1415" s="2" t="str">
        <f>Tabela2[[#This Row],[Coluna4]]</f>
        <v>28/01/2026</v>
      </c>
      <c r="W1415" s="2" t="str">
        <f>Tabela2[[#This Row],[Coluna6]]</f>
        <v>28/01/2026</v>
      </c>
    </row>
    <row r="1416" spans="2:23" x14ac:dyDescent="0.2">
      <c r="B1416" t="s">
        <v>18</v>
      </c>
      <c r="C1416" t="s">
        <v>95</v>
      </c>
      <c r="D1416" t="s">
        <v>13</v>
      </c>
      <c r="E1416" s="8" t="s">
        <v>94</v>
      </c>
      <c r="F1416" t="s">
        <v>84</v>
      </c>
      <c r="G1416" s="8" t="s">
        <v>94</v>
      </c>
      <c r="H1416" t="s">
        <v>443</v>
      </c>
      <c r="I1416" t="e">
        <f>VLOOKUP(Tabela2[[#This Row],[Coluna7]],[1]!Tabela1[#All],2,0)</f>
        <v>#REF!</v>
      </c>
      <c r="J1416" t="s">
        <v>454</v>
      </c>
      <c r="L1416">
        <v>22</v>
      </c>
      <c r="Q1416" s="10" t="str">
        <f>Tabela2[[#This Row],[Coluna5]]</f>
        <v>01/2026</v>
      </c>
      <c r="R1416" s="10" t="str">
        <f>IF(Tabela2[[#This Row],[Coluna9]]&gt;0,"Entrada","Saída")</f>
        <v>Saída</v>
      </c>
      <c r="S1416" s="10" t="str">
        <f>Tabela2[[#This Row],[Coluna8]]</f>
        <v>ALMOÇO</v>
      </c>
      <c r="T1416" s="10" t="e">
        <f>Tabela2[[#This Row],[Coluna72]]</f>
        <v>#REF!</v>
      </c>
      <c r="U1416" s="10">
        <f>SUM(Tabela2[[#This Row],[Coluna9]],Tabela2[[#This Row],[Coluna10]])</f>
        <v>22</v>
      </c>
      <c r="V1416" s="2" t="str">
        <f>Tabela2[[#This Row],[Coluna4]]</f>
        <v>29/01/2026</v>
      </c>
      <c r="W1416" s="2" t="str">
        <f>Tabela2[[#This Row],[Coluna6]]</f>
        <v>29/01/2026</v>
      </c>
    </row>
    <row r="1417" spans="2:23" x14ac:dyDescent="0.2">
      <c r="B1417" t="s">
        <v>18</v>
      </c>
      <c r="C1417" t="s">
        <v>95</v>
      </c>
      <c r="D1417" t="s">
        <v>13</v>
      </c>
      <c r="E1417" s="8" t="s">
        <v>360</v>
      </c>
      <c r="F1417" t="s">
        <v>84</v>
      </c>
      <c r="G1417" s="8" t="s">
        <v>360</v>
      </c>
      <c r="H1417" t="s">
        <v>488</v>
      </c>
      <c r="I1417" t="e">
        <f>VLOOKUP(Tabela2[[#This Row],[Coluna7]],[1]!Tabela1[#All],2,0)</f>
        <v>#REF!</v>
      </c>
      <c r="L1417">
        <v>70</v>
      </c>
      <c r="N1417" t="s">
        <v>381</v>
      </c>
      <c r="Q1417" s="10" t="str">
        <f>Tabela2[[#This Row],[Coluna5]]</f>
        <v>01/2026</v>
      </c>
      <c r="R1417" s="10" t="str">
        <f>IF(Tabela2[[#This Row],[Coluna9]]&gt;0,"Entrada","Saída")</f>
        <v>Saída</v>
      </c>
      <c r="S1417" s="10">
        <f>Tabela2[[#This Row],[Coluna8]]</f>
        <v>0</v>
      </c>
      <c r="T1417" s="10" t="e">
        <f>Tabela2[[#This Row],[Coluna72]]</f>
        <v>#REF!</v>
      </c>
      <c r="U1417" s="10">
        <f>SUM(Tabela2[[#This Row],[Coluna9]],Tabela2[[#This Row],[Coluna10]])</f>
        <v>70</v>
      </c>
      <c r="V1417" s="2" t="str">
        <f>Tabela2[[#This Row],[Coluna4]]</f>
        <v>30/01/2026</v>
      </c>
      <c r="W1417" s="2" t="str">
        <f>Tabela2[[#This Row],[Coluna6]]</f>
        <v>30/01/2026</v>
      </c>
    </row>
    <row r="1418" spans="2:23" x14ac:dyDescent="0.2">
      <c r="B1418" t="s">
        <v>18</v>
      </c>
      <c r="C1418" t="s">
        <v>95</v>
      </c>
      <c r="D1418" t="s">
        <v>13</v>
      </c>
      <c r="E1418" s="8" t="s">
        <v>534</v>
      </c>
      <c r="F1418" t="s">
        <v>84</v>
      </c>
      <c r="H1418" t="s">
        <v>445</v>
      </c>
      <c r="I1418" t="e">
        <f>VLOOKUP(Tabela2[[#This Row],[Coluna7]],[1]!Tabela1[#All],2,0)</f>
        <v>#REF!</v>
      </c>
      <c r="J1418" t="s">
        <v>489</v>
      </c>
      <c r="L1418">
        <v>99</v>
      </c>
      <c r="Q1418" s="10" t="str">
        <f>Tabela2[[#This Row],[Coluna5]]</f>
        <v>01/2026</v>
      </c>
      <c r="R1418" s="10" t="str">
        <f>IF(Tabela2[[#This Row],[Coluna9]]&gt;0,"Entrada","Saída")</f>
        <v>Saída</v>
      </c>
      <c r="S1418" s="10" t="str">
        <f>Tabela2[[#This Row],[Coluna8]]</f>
        <v>ADAPTA IA ( REEMBOLSAR PATRICIA )</v>
      </c>
      <c r="T1418" s="10" t="e">
        <f>Tabela2[[#This Row],[Coluna72]]</f>
        <v>#REF!</v>
      </c>
      <c r="U1418" s="10">
        <f>SUM(Tabela2[[#This Row],[Coluna9]],Tabela2[[#This Row],[Coluna10]])</f>
        <v>99</v>
      </c>
      <c r="V1418" s="2" t="str">
        <f>Tabela2[[#This Row],[Coluna4]]</f>
        <v>31/01/2026</v>
      </c>
      <c r="W1418" s="2">
        <f>Tabela2[[#This Row],[Coluna6]]</f>
        <v>0</v>
      </c>
    </row>
    <row r="1419" spans="2:23" x14ac:dyDescent="0.2">
      <c r="B1419" t="s">
        <v>18</v>
      </c>
      <c r="C1419" t="s">
        <v>95</v>
      </c>
      <c r="D1419" t="s">
        <v>13</v>
      </c>
      <c r="E1419" s="8" t="s">
        <v>14</v>
      </c>
      <c r="F1419" t="s">
        <v>15</v>
      </c>
      <c r="G1419" s="8" t="s">
        <v>14</v>
      </c>
      <c r="H1419" t="s">
        <v>535</v>
      </c>
      <c r="I1419" t="e">
        <f>VLOOKUP(Tabela2[[#This Row],[Coluna7]],[1]!Tabela1[#All],2,0)</f>
        <v>#REF!</v>
      </c>
      <c r="J1419" t="s">
        <v>536</v>
      </c>
      <c r="L1419">
        <v>60</v>
      </c>
      <c r="Q1419" s="10" t="str">
        <f>Tabela2[[#This Row],[Coluna5]]</f>
        <v>10/2025</v>
      </c>
      <c r="R1419" s="10" t="str">
        <f>IF(Tabela2[[#This Row],[Coluna9]]&gt;0,"Entrada","Saída")</f>
        <v>Saída</v>
      </c>
      <c r="S1419" s="10" t="str">
        <f>Tabela2[[#This Row],[Coluna8]]</f>
        <v>ANIVERSÁRIO DE DR. THIAGO -  BOLO DE ANIVERSÁRIO</v>
      </c>
      <c r="T1419" s="10" t="e">
        <f>Tabela2[[#This Row],[Coluna72]]</f>
        <v>#REF!</v>
      </c>
      <c r="U1419" s="10">
        <f>SUM(Tabela2[[#This Row],[Coluna9]],Tabela2[[#This Row],[Coluna10]])</f>
        <v>60</v>
      </c>
      <c r="V1419" s="2" t="str">
        <f>Tabela2[[#This Row],[Coluna4]]</f>
        <v>01/10/2025</v>
      </c>
      <c r="W1419" s="2" t="str">
        <f>Tabela2[[#This Row],[Coluna6]]</f>
        <v>01/10/2025</v>
      </c>
    </row>
    <row r="1420" spans="2:23" x14ac:dyDescent="0.2">
      <c r="B1420" t="s">
        <v>18</v>
      </c>
      <c r="C1420" t="s">
        <v>95</v>
      </c>
      <c r="D1420" t="s">
        <v>13</v>
      </c>
      <c r="E1420" s="8" t="s">
        <v>14</v>
      </c>
      <c r="F1420" t="s">
        <v>15</v>
      </c>
      <c r="G1420" s="8" t="s">
        <v>14</v>
      </c>
      <c r="H1420" t="s">
        <v>535</v>
      </c>
      <c r="I1420" t="e">
        <f>VLOOKUP(Tabela2[[#This Row],[Coluna7]],[1]!Tabela1[#All],2,0)</f>
        <v>#REF!</v>
      </c>
      <c r="J1420" t="s">
        <v>537</v>
      </c>
      <c r="L1420">
        <v>10.29</v>
      </c>
      <c r="Q1420" s="10" t="str">
        <f>Tabela2[[#This Row],[Coluna5]]</f>
        <v>10/2025</v>
      </c>
      <c r="R1420" s="10" t="str">
        <f>IF(Tabela2[[#This Row],[Coluna9]]&gt;0,"Entrada","Saída")</f>
        <v>Saída</v>
      </c>
      <c r="S1420" s="10" t="str">
        <f>Tabela2[[#This Row],[Coluna8]]</f>
        <v>ANIVERSÁRIO DR. THIAGO -  REFRIGENTE 2L ( COCA ZERO - LATORRE )</v>
      </c>
      <c r="T1420" s="10" t="e">
        <f>Tabela2[[#This Row],[Coluna72]]</f>
        <v>#REF!</v>
      </c>
      <c r="U1420" s="10">
        <f>SUM(Tabela2[[#This Row],[Coluna9]],Tabela2[[#This Row],[Coluna10]])</f>
        <v>10.29</v>
      </c>
      <c r="V1420" s="2" t="str">
        <f>Tabela2[[#This Row],[Coluna4]]</f>
        <v>01/10/2025</v>
      </c>
      <c r="W1420" s="2" t="str">
        <f>Tabela2[[#This Row],[Coluna6]]</f>
        <v>01/10/2025</v>
      </c>
    </row>
    <row r="1421" spans="2:23" x14ac:dyDescent="0.2">
      <c r="B1421" t="s">
        <v>18</v>
      </c>
      <c r="C1421" t="s">
        <v>95</v>
      </c>
      <c r="D1421" t="s">
        <v>13</v>
      </c>
      <c r="E1421" s="8" t="s">
        <v>14</v>
      </c>
      <c r="F1421" t="s">
        <v>15</v>
      </c>
      <c r="G1421" s="8" t="s">
        <v>14</v>
      </c>
      <c r="H1421" t="s">
        <v>538</v>
      </c>
      <c r="I1421" t="e">
        <f>VLOOKUP(Tabela2[[#This Row],[Coluna7]],[1]!Tabela1[#All],2,0)</f>
        <v>#REF!</v>
      </c>
      <c r="J1421" t="s">
        <v>539</v>
      </c>
      <c r="L1421">
        <v>100</v>
      </c>
      <c r="Q1421" s="10" t="str">
        <f>Tabela2[[#This Row],[Coluna5]]</f>
        <v>10/2025</v>
      </c>
      <c r="R1421" s="10" t="str">
        <f>IF(Tabela2[[#This Row],[Coluna9]]&gt;0,"Entrada","Saída")</f>
        <v>Saída</v>
      </c>
      <c r="S1421" s="10" t="str">
        <f>Tabela2[[#This Row],[Coluna8]]</f>
        <v>GASOLINA PARA ELIEL</v>
      </c>
      <c r="T1421" s="10" t="e">
        <f>Tabela2[[#This Row],[Coluna72]]</f>
        <v>#REF!</v>
      </c>
      <c r="U1421" s="10">
        <f>SUM(Tabela2[[#This Row],[Coluna9]],Tabela2[[#This Row],[Coluna10]])</f>
        <v>100</v>
      </c>
      <c r="V1421" s="2" t="str">
        <f>Tabela2[[#This Row],[Coluna4]]</f>
        <v>01/10/2025</v>
      </c>
      <c r="W1421" s="2" t="str">
        <f>Tabela2[[#This Row],[Coluna6]]</f>
        <v>01/10/2025</v>
      </c>
    </row>
    <row r="1422" spans="2:23" x14ac:dyDescent="0.2">
      <c r="B1422" t="s">
        <v>18</v>
      </c>
      <c r="C1422" t="s">
        <v>95</v>
      </c>
      <c r="D1422" t="s">
        <v>13</v>
      </c>
      <c r="E1422" s="8" t="s">
        <v>114</v>
      </c>
      <c r="F1422" t="s">
        <v>15</v>
      </c>
      <c r="G1422" s="8" t="s">
        <v>114</v>
      </c>
      <c r="H1422" t="s">
        <v>540</v>
      </c>
      <c r="I1422" t="e">
        <f>VLOOKUP(Tabela2[[#This Row],[Coluna7]],[1]!Tabela1[#All],2,0)</f>
        <v>#REF!</v>
      </c>
      <c r="J1422" t="s">
        <v>541</v>
      </c>
      <c r="L1422">
        <v>350</v>
      </c>
      <c r="Q1422" s="10" t="str">
        <f>Tabela2[[#This Row],[Coluna5]]</f>
        <v>10/2025</v>
      </c>
      <c r="R1422" s="10" t="str">
        <f>IF(Tabela2[[#This Row],[Coluna9]]&gt;0,"Entrada","Saída")</f>
        <v>Saída</v>
      </c>
      <c r="S1422" s="10" t="str">
        <f>Tabela2[[#This Row],[Coluna8]]</f>
        <v>AÇÃO DIA DAS CRIANÇAS - SACOLINHAS E REFRIGERANTE ( PIX PARA FRANCIELE CALIXTO DA SILVA )</v>
      </c>
      <c r="T1422" s="10" t="e">
        <f>Tabela2[[#This Row],[Coluna72]]</f>
        <v>#REF!</v>
      </c>
      <c r="U1422" s="10">
        <f>SUM(Tabela2[[#This Row],[Coluna9]],Tabela2[[#This Row],[Coluna10]])</f>
        <v>350</v>
      </c>
      <c r="V1422" s="2" t="str">
        <f>Tabela2[[#This Row],[Coluna4]]</f>
        <v>02/10/2025</v>
      </c>
      <c r="W1422" s="2" t="str">
        <f>Tabela2[[#This Row],[Coluna6]]</f>
        <v>02/10/2025</v>
      </c>
    </row>
    <row r="1423" spans="2:23" x14ac:dyDescent="0.2">
      <c r="B1423" t="s">
        <v>18</v>
      </c>
      <c r="C1423" t="s">
        <v>95</v>
      </c>
      <c r="D1423" t="s">
        <v>13</v>
      </c>
      <c r="E1423" s="8" t="s">
        <v>114</v>
      </c>
      <c r="F1423" t="s">
        <v>15</v>
      </c>
      <c r="G1423" s="8" t="s">
        <v>114</v>
      </c>
      <c r="H1423" t="s">
        <v>542</v>
      </c>
      <c r="I1423" t="e">
        <f>VLOOKUP(Tabela2[[#This Row],[Coluna7]],[1]!Tabela1[#All],2,0)</f>
        <v>#REF!</v>
      </c>
      <c r="J1423" t="s">
        <v>543</v>
      </c>
      <c r="L1423">
        <v>300</v>
      </c>
      <c r="Q1423" s="10" t="str">
        <f>Tabela2[[#This Row],[Coluna5]]</f>
        <v>10/2025</v>
      </c>
      <c r="R1423" s="10" t="str">
        <f>IF(Tabela2[[#This Row],[Coluna9]]&gt;0,"Entrada","Saída")</f>
        <v>Saída</v>
      </c>
      <c r="S1423" s="10" t="str">
        <f>Tabela2[[#This Row],[Coluna8]]</f>
        <v>DINHO - JOSE SEVERINO SALES DA SILVA</v>
      </c>
      <c r="T1423" s="10" t="e">
        <f>Tabela2[[#This Row],[Coluna72]]</f>
        <v>#REF!</v>
      </c>
      <c r="U1423" s="10">
        <f>SUM(Tabela2[[#This Row],[Coluna9]],Tabela2[[#This Row],[Coluna10]])</f>
        <v>300</v>
      </c>
      <c r="V1423" s="2" t="str">
        <f>Tabela2[[#This Row],[Coluna4]]</f>
        <v>02/10/2025</v>
      </c>
      <c r="W1423" s="2" t="str">
        <f>Tabela2[[#This Row],[Coluna6]]</f>
        <v>02/10/2025</v>
      </c>
    </row>
    <row r="1424" spans="2:23" x14ac:dyDescent="0.2">
      <c r="B1424" t="s">
        <v>18</v>
      </c>
      <c r="C1424" t="s">
        <v>95</v>
      </c>
      <c r="D1424" t="s">
        <v>13</v>
      </c>
      <c r="E1424" s="8" t="s">
        <v>122</v>
      </c>
      <c r="F1424" t="s">
        <v>15</v>
      </c>
      <c r="G1424" s="8" t="s">
        <v>122</v>
      </c>
      <c r="H1424" t="s">
        <v>443</v>
      </c>
      <c r="I1424" t="e">
        <f>VLOOKUP(Tabela2[[#This Row],[Coluna7]],[1]!Tabela1[#All],2,0)</f>
        <v>#REF!</v>
      </c>
      <c r="J1424" t="s">
        <v>545</v>
      </c>
      <c r="L1424">
        <v>17.3</v>
      </c>
      <c r="Q1424" s="10" t="str">
        <f>Tabela2[[#This Row],[Coluna5]]</f>
        <v>10/2025</v>
      </c>
      <c r="R1424" s="10" t="str">
        <f>IF(Tabela2[[#This Row],[Coluna9]]&gt;0,"Entrada","Saída")</f>
        <v>Saída</v>
      </c>
      <c r="S1424" s="10" t="str">
        <f>Tabela2[[#This Row],[Coluna8]]</f>
        <v>ALMOÇO PATRÍCIA</v>
      </c>
      <c r="T1424" s="10" t="e">
        <f>Tabela2[[#This Row],[Coluna72]]</f>
        <v>#REF!</v>
      </c>
      <c r="U1424" s="10">
        <f>SUM(Tabela2[[#This Row],[Coluna9]],Tabela2[[#This Row],[Coluna10]])</f>
        <v>17.3</v>
      </c>
      <c r="V1424" s="2" t="str">
        <f>Tabela2[[#This Row],[Coluna4]]</f>
        <v>03/10/2025</v>
      </c>
      <c r="W1424" s="2" t="str">
        <f>Tabela2[[#This Row],[Coluna6]]</f>
        <v>03/10/2025</v>
      </c>
    </row>
    <row r="1425" spans="2:23" x14ac:dyDescent="0.2">
      <c r="B1425" t="s">
        <v>18</v>
      </c>
      <c r="C1425" t="s">
        <v>95</v>
      </c>
      <c r="D1425" t="s">
        <v>13</v>
      </c>
      <c r="E1425" s="8" t="s">
        <v>122</v>
      </c>
      <c r="F1425" t="s">
        <v>15</v>
      </c>
      <c r="G1425" s="8" t="s">
        <v>122</v>
      </c>
      <c r="H1425" t="s">
        <v>546</v>
      </c>
      <c r="I1425" t="e">
        <f>VLOOKUP(Tabela2[[#This Row],[Coluna7]],[1]!Tabela1[#All],2,0)</f>
        <v>#REF!</v>
      </c>
      <c r="J1425" t="s">
        <v>547</v>
      </c>
      <c r="L1425">
        <v>200</v>
      </c>
      <c r="Q1425" s="10" t="str">
        <f>Tabela2[[#This Row],[Coluna5]]</f>
        <v>10/2025</v>
      </c>
      <c r="R1425" s="10" t="str">
        <f>IF(Tabela2[[#This Row],[Coluna9]]&gt;0,"Entrada","Saída")</f>
        <v>Saída</v>
      </c>
      <c r="S1425" s="10" t="str">
        <f>Tabela2[[#This Row],[Coluna8]]</f>
        <v>LEANDRO JOAO BATISTA DOS SANTOS</v>
      </c>
      <c r="T1425" s="10" t="e">
        <f>Tabela2[[#This Row],[Coluna72]]</f>
        <v>#REF!</v>
      </c>
      <c r="U1425" s="10">
        <f>SUM(Tabela2[[#This Row],[Coluna9]],Tabela2[[#This Row],[Coluna10]])</f>
        <v>200</v>
      </c>
      <c r="V1425" s="2" t="str">
        <f>Tabela2[[#This Row],[Coluna4]]</f>
        <v>03/10/2025</v>
      </c>
      <c r="W1425" s="2" t="str">
        <f>Tabela2[[#This Row],[Coluna6]]</f>
        <v>03/10/2025</v>
      </c>
    </row>
    <row r="1426" spans="2:23" x14ac:dyDescent="0.2">
      <c r="B1426" t="s">
        <v>18</v>
      </c>
      <c r="C1426" t="s">
        <v>95</v>
      </c>
      <c r="D1426" t="s">
        <v>13</v>
      </c>
      <c r="E1426" s="8" t="s">
        <v>126</v>
      </c>
      <c r="F1426" t="s">
        <v>15</v>
      </c>
      <c r="G1426" s="8" t="s">
        <v>126</v>
      </c>
      <c r="H1426" t="s">
        <v>546</v>
      </c>
      <c r="I1426" t="e">
        <f>VLOOKUP(Tabela2[[#This Row],[Coluna7]],[1]!Tabela1[#All],2,0)</f>
        <v>#REF!</v>
      </c>
      <c r="J1426" t="s">
        <v>548</v>
      </c>
      <c r="L1426">
        <v>1100</v>
      </c>
      <c r="Q1426" s="10" t="str">
        <f>Tabela2[[#This Row],[Coluna5]]</f>
        <v>10/2025</v>
      </c>
      <c r="R1426" s="10" t="str">
        <f>IF(Tabela2[[#This Row],[Coluna9]]&gt;0,"Entrada","Saída")</f>
        <v>Saída</v>
      </c>
      <c r="S1426" s="10" t="str">
        <f>Tabela2[[#This Row],[Coluna8]]</f>
        <v>ELIEL - R$ 500,00 | LEANDRO R$ 600,00</v>
      </c>
      <c r="T1426" s="10" t="e">
        <f>Tabela2[[#This Row],[Coluna72]]</f>
        <v>#REF!</v>
      </c>
      <c r="U1426" s="10">
        <f>SUM(Tabela2[[#This Row],[Coluna9]],Tabela2[[#This Row],[Coluna10]])</f>
        <v>1100</v>
      </c>
      <c r="V1426" s="2" t="str">
        <f>Tabela2[[#This Row],[Coluna4]]</f>
        <v>04/10/2025</v>
      </c>
      <c r="W1426" s="2" t="str">
        <f>Tabela2[[#This Row],[Coluna6]]</f>
        <v>04/10/2025</v>
      </c>
    </row>
    <row r="1427" spans="2:23" x14ac:dyDescent="0.2">
      <c r="B1427" t="s">
        <v>18</v>
      </c>
      <c r="C1427" t="s">
        <v>95</v>
      </c>
      <c r="D1427" t="s">
        <v>13</v>
      </c>
      <c r="E1427" s="8" t="s">
        <v>21</v>
      </c>
      <c r="F1427" t="s">
        <v>15</v>
      </c>
      <c r="G1427" s="8" t="s">
        <v>21</v>
      </c>
      <c r="H1427" t="s">
        <v>542</v>
      </c>
      <c r="I1427" t="e">
        <f>VLOOKUP(Tabela2[[#This Row],[Coluna7]],[1]!Tabela1[#All],2,0)</f>
        <v>#REF!</v>
      </c>
      <c r="J1427" t="s">
        <v>549</v>
      </c>
      <c r="L1427">
        <v>900</v>
      </c>
      <c r="Q1427" s="10" t="str">
        <f>Tabela2[[#This Row],[Coluna5]]</f>
        <v>10/2025</v>
      </c>
      <c r="R1427" s="10" t="str">
        <f>IF(Tabela2[[#This Row],[Coluna9]]&gt;0,"Entrada","Saída")</f>
        <v>Saída</v>
      </c>
      <c r="S1427" s="10" t="str">
        <f>Tabela2[[#This Row],[Coluna8]]</f>
        <v>LINDA - MARIA DAS GRAÇAS FORTUNATO CALIXTO</v>
      </c>
      <c r="T1427" s="10" t="e">
        <f>Tabela2[[#This Row],[Coluna72]]</f>
        <v>#REF!</v>
      </c>
      <c r="U1427" s="10">
        <f>SUM(Tabela2[[#This Row],[Coluna9]],Tabela2[[#This Row],[Coluna10]])</f>
        <v>900</v>
      </c>
      <c r="V1427" s="2" t="str">
        <f>Tabela2[[#This Row],[Coluna4]]</f>
        <v>06/10/2025</v>
      </c>
      <c r="W1427" s="2" t="str">
        <f>Tabela2[[#This Row],[Coluna6]]</f>
        <v>06/10/2025</v>
      </c>
    </row>
    <row r="1428" spans="2:23" x14ac:dyDescent="0.2">
      <c r="B1428" t="s">
        <v>18</v>
      </c>
      <c r="C1428" t="s">
        <v>95</v>
      </c>
      <c r="D1428" t="s">
        <v>13</v>
      </c>
      <c r="E1428" s="8" t="s">
        <v>21</v>
      </c>
      <c r="F1428" t="s">
        <v>15</v>
      </c>
      <c r="G1428" s="8" t="s">
        <v>21</v>
      </c>
      <c r="H1428" t="s">
        <v>443</v>
      </c>
      <c r="I1428" t="e">
        <f>VLOOKUP(Tabela2[[#This Row],[Coluna7]],[1]!Tabela1[#All],2,0)</f>
        <v>#REF!</v>
      </c>
      <c r="J1428" t="s">
        <v>550</v>
      </c>
      <c r="L1428">
        <v>22</v>
      </c>
      <c r="Q1428" s="10" t="str">
        <f>Tabela2[[#This Row],[Coluna5]]</f>
        <v>10/2025</v>
      </c>
      <c r="R1428" s="10" t="str">
        <f>IF(Tabela2[[#This Row],[Coluna9]]&gt;0,"Entrada","Saída")</f>
        <v>Saída</v>
      </c>
      <c r="S1428" s="10" t="str">
        <f>Tabela2[[#This Row],[Coluna8]]</f>
        <v>ALMOÇO THIAGO</v>
      </c>
      <c r="T1428" s="10" t="e">
        <f>Tabela2[[#This Row],[Coluna72]]</f>
        <v>#REF!</v>
      </c>
      <c r="U1428" s="10">
        <f>SUM(Tabela2[[#This Row],[Coluna9]],Tabela2[[#This Row],[Coluna10]])</f>
        <v>22</v>
      </c>
      <c r="V1428" s="2" t="str">
        <f>Tabela2[[#This Row],[Coluna4]]</f>
        <v>06/10/2025</v>
      </c>
      <c r="W1428" s="2" t="str">
        <f>Tabela2[[#This Row],[Coluna6]]</f>
        <v>06/10/2025</v>
      </c>
    </row>
    <row r="1429" spans="2:23" x14ac:dyDescent="0.2">
      <c r="B1429" t="s">
        <v>18</v>
      </c>
      <c r="C1429" t="s">
        <v>95</v>
      </c>
      <c r="D1429" t="s">
        <v>13</v>
      </c>
      <c r="E1429" s="8" t="s">
        <v>142</v>
      </c>
      <c r="F1429" t="s">
        <v>15</v>
      </c>
      <c r="G1429" s="8" t="s">
        <v>142</v>
      </c>
      <c r="H1429" t="s">
        <v>551</v>
      </c>
      <c r="I1429" t="e">
        <f>VLOOKUP(Tabela2[[#This Row],[Coluna7]],[1]!Tabela1[#All],2,0)</f>
        <v>#REF!</v>
      </c>
      <c r="J1429" t="s">
        <v>552</v>
      </c>
      <c r="L1429">
        <v>50</v>
      </c>
      <c r="M1429" t="s">
        <v>553</v>
      </c>
      <c r="N1429" t="s">
        <v>554</v>
      </c>
      <c r="Q1429" s="10" t="str">
        <f>Tabela2[[#This Row],[Coluna5]]</f>
        <v>10/2025</v>
      </c>
      <c r="R1429" s="10" t="str">
        <f>IF(Tabela2[[#This Row],[Coluna9]]&gt;0,"Entrada","Saída")</f>
        <v>Saída</v>
      </c>
      <c r="S1429" s="10" t="str">
        <f>Tabela2[[#This Row],[Coluna8]]</f>
        <v>DILIGENCIA - DOCUMENTO</v>
      </c>
      <c r="T1429" s="10" t="e">
        <f>Tabela2[[#This Row],[Coluna72]]</f>
        <v>#REF!</v>
      </c>
      <c r="U1429" s="10">
        <f>SUM(Tabela2[[#This Row],[Coluna9]],Tabela2[[#This Row],[Coluna10]])</f>
        <v>50</v>
      </c>
      <c r="V1429" s="2" t="str">
        <f>Tabela2[[#This Row],[Coluna4]]</f>
        <v>07/10/2025</v>
      </c>
      <c r="W1429" s="2" t="str">
        <f>Tabela2[[#This Row],[Coluna6]]</f>
        <v>07/10/2025</v>
      </c>
    </row>
    <row r="1430" spans="2:23" x14ac:dyDescent="0.2">
      <c r="B1430" t="s">
        <v>18</v>
      </c>
      <c r="C1430" t="s">
        <v>95</v>
      </c>
      <c r="D1430" t="s">
        <v>13</v>
      </c>
      <c r="E1430" s="8" t="s">
        <v>24</v>
      </c>
      <c r="F1430" t="s">
        <v>15</v>
      </c>
      <c r="G1430" s="8" t="s">
        <v>24</v>
      </c>
      <c r="H1430" t="s">
        <v>540</v>
      </c>
      <c r="I1430" t="e">
        <f>VLOOKUP(Tabela2[[#This Row],[Coluna7]],[1]!Tabela1[#All],2,0)</f>
        <v>#REF!</v>
      </c>
      <c r="J1430" t="s">
        <v>555</v>
      </c>
      <c r="L1430">
        <v>208</v>
      </c>
      <c r="Q1430" s="10" t="str">
        <f>Tabela2[[#This Row],[Coluna5]]</f>
        <v>10/2025</v>
      </c>
      <c r="R1430" s="10" t="str">
        <f>IF(Tabela2[[#This Row],[Coluna9]]&gt;0,"Entrada","Saída")</f>
        <v>Saída</v>
      </c>
      <c r="S1430" s="10" t="str">
        <f>Tabela2[[#This Row],[Coluna8]]</f>
        <v>COMPRAS DIA DAS CRIANÇAS ( CACHORRO QUENTE )</v>
      </c>
      <c r="T1430" s="10" t="e">
        <f>Tabela2[[#This Row],[Coluna72]]</f>
        <v>#REF!</v>
      </c>
      <c r="U1430" s="10">
        <f>SUM(Tabela2[[#This Row],[Coluna9]],Tabela2[[#This Row],[Coluna10]])</f>
        <v>208</v>
      </c>
      <c r="V1430" s="2" t="str">
        <f>Tabela2[[#This Row],[Coluna4]]</f>
        <v>08/10/2025</v>
      </c>
      <c r="W1430" s="2" t="str">
        <f>Tabela2[[#This Row],[Coluna6]]</f>
        <v>08/10/2025</v>
      </c>
    </row>
    <row r="1431" spans="2:23" x14ac:dyDescent="0.2">
      <c r="B1431" t="s">
        <v>18</v>
      </c>
      <c r="C1431" t="s">
        <v>95</v>
      </c>
      <c r="D1431" t="s">
        <v>13</v>
      </c>
      <c r="E1431" s="8" t="s">
        <v>24</v>
      </c>
      <c r="F1431" t="s">
        <v>15</v>
      </c>
      <c r="G1431" s="8" t="s">
        <v>24</v>
      </c>
      <c r="H1431" t="s">
        <v>538</v>
      </c>
      <c r="I1431" t="e">
        <f>VLOOKUP(Tabela2[[#This Row],[Coluna7]],[1]!Tabela1[#All],2,0)</f>
        <v>#REF!</v>
      </c>
      <c r="J1431" t="s">
        <v>556</v>
      </c>
      <c r="L1431">
        <v>50</v>
      </c>
      <c r="Q1431" s="10" t="str">
        <f>Tabela2[[#This Row],[Coluna5]]</f>
        <v>10/2025</v>
      </c>
      <c r="R1431" s="10" t="str">
        <f>IF(Tabela2[[#This Row],[Coluna9]]&gt;0,"Entrada","Saída")</f>
        <v>Saída</v>
      </c>
      <c r="S1431" s="10" t="str">
        <f>Tabela2[[#This Row],[Coluna8]]</f>
        <v>A DEFINIR - LEANDRO JOAO BATISTA ( GASOLINA )</v>
      </c>
      <c r="T1431" s="10" t="e">
        <f>Tabela2[[#This Row],[Coluna72]]</f>
        <v>#REF!</v>
      </c>
      <c r="U1431" s="10">
        <f>SUM(Tabela2[[#This Row],[Coluna9]],Tabela2[[#This Row],[Coluna10]])</f>
        <v>50</v>
      </c>
      <c r="V1431" s="2" t="str">
        <f>Tabela2[[#This Row],[Coluna4]]</f>
        <v>08/10/2025</v>
      </c>
      <c r="W1431" s="2" t="str">
        <f>Tabela2[[#This Row],[Coluna6]]</f>
        <v>08/10/2025</v>
      </c>
    </row>
    <row r="1432" spans="2:23" x14ac:dyDescent="0.2">
      <c r="B1432" t="s">
        <v>18</v>
      </c>
      <c r="C1432" t="s">
        <v>95</v>
      </c>
      <c r="D1432" t="s">
        <v>13</v>
      </c>
      <c r="E1432" s="8" t="s">
        <v>24</v>
      </c>
      <c r="F1432" t="s">
        <v>15</v>
      </c>
      <c r="G1432" s="8" t="s">
        <v>24</v>
      </c>
      <c r="H1432" t="s">
        <v>546</v>
      </c>
      <c r="I1432" t="e">
        <f>VLOOKUP(Tabela2[[#This Row],[Coluna7]],[1]!Tabela1[#All],2,0)</f>
        <v>#REF!</v>
      </c>
      <c r="J1432" t="s">
        <v>381</v>
      </c>
      <c r="L1432">
        <v>150</v>
      </c>
      <c r="Q1432" s="10" t="str">
        <f>Tabela2[[#This Row],[Coluna5]]</f>
        <v>10/2025</v>
      </c>
      <c r="R1432" s="10" t="str">
        <f>IF(Tabela2[[#This Row],[Coluna9]]&gt;0,"Entrada","Saída")</f>
        <v>Saída</v>
      </c>
      <c r="S1432" s="10" t="str">
        <f>Tabela2[[#This Row],[Coluna8]]</f>
        <v>ALISSON DA SILVA SANTOS</v>
      </c>
      <c r="T1432" s="10" t="e">
        <f>Tabela2[[#This Row],[Coluna72]]</f>
        <v>#REF!</v>
      </c>
      <c r="U1432" s="10">
        <f>SUM(Tabela2[[#This Row],[Coluna9]],Tabela2[[#This Row],[Coluna10]])</f>
        <v>150</v>
      </c>
      <c r="V1432" s="2" t="str">
        <f>Tabela2[[#This Row],[Coluna4]]</f>
        <v>08/10/2025</v>
      </c>
      <c r="W1432" s="2" t="str">
        <f>Tabela2[[#This Row],[Coluna6]]</f>
        <v>08/10/2025</v>
      </c>
    </row>
    <row r="1433" spans="2:23" x14ac:dyDescent="0.2">
      <c r="B1433" t="s">
        <v>18</v>
      </c>
      <c r="C1433" t="s">
        <v>95</v>
      </c>
      <c r="D1433" t="s">
        <v>13</v>
      </c>
      <c r="E1433" s="8" t="s">
        <v>24</v>
      </c>
      <c r="F1433" t="s">
        <v>15</v>
      </c>
      <c r="G1433" s="8" t="s">
        <v>24</v>
      </c>
      <c r="H1433" t="s">
        <v>557</v>
      </c>
      <c r="I1433" t="e">
        <f>VLOOKUP(Tabela2[[#This Row],[Coluna7]],[1]!Tabela1[#All],2,0)</f>
        <v>#REF!</v>
      </c>
      <c r="J1433" t="s">
        <v>558</v>
      </c>
      <c r="L1433">
        <v>205</v>
      </c>
      <c r="Q1433" s="10" t="str">
        <f>Tabela2[[#This Row],[Coluna5]]</f>
        <v>10/2025</v>
      </c>
      <c r="R1433" s="10" t="str">
        <f>IF(Tabela2[[#This Row],[Coluna9]]&gt;0,"Entrada","Saída")</f>
        <v>Saída</v>
      </c>
      <c r="S1433" s="10" t="str">
        <f>Tabela2[[#This Row],[Coluna8]]</f>
        <v>REEMBOLSO THIAGO</v>
      </c>
      <c r="T1433" s="10" t="e">
        <f>Tabela2[[#This Row],[Coluna72]]</f>
        <v>#REF!</v>
      </c>
      <c r="U1433" s="10">
        <f>SUM(Tabela2[[#This Row],[Coluna9]],Tabela2[[#This Row],[Coluna10]])</f>
        <v>205</v>
      </c>
      <c r="V1433" s="2" t="str">
        <f>Tabela2[[#This Row],[Coluna4]]</f>
        <v>08/10/2025</v>
      </c>
      <c r="W1433" s="2" t="str">
        <f>Tabela2[[#This Row],[Coluna6]]</f>
        <v>08/10/2025</v>
      </c>
    </row>
    <row r="1434" spans="2:23" x14ac:dyDescent="0.2">
      <c r="B1434" t="s">
        <v>18</v>
      </c>
      <c r="C1434" t="s">
        <v>95</v>
      </c>
      <c r="D1434" t="s">
        <v>13</v>
      </c>
      <c r="E1434" s="8" t="s">
        <v>148</v>
      </c>
      <c r="F1434" t="s">
        <v>15</v>
      </c>
      <c r="G1434" s="8" t="s">
        <v>148</v>
      </c>
      <c r="H1434" t="s">
        <v>540</v>
      </c>
      <c r="I1434" t="e">
        <f>VLOOKUP(Tabela2[[#This Row],[Coluna7]],[1]!Tabela1[#All],2,0)</f>
        <v>#REF!</v>
      </c>
      <c r="J1434" t="s">
        <v>559</v>
      </c>
      <c r="L1434">
        <v>222</v>
      </c>
      <c r="Q1434" s="10" t="str">
        <f>Tabela2[[#This Row],[Coluna5]]</f>
        <v>10/2025</v>
      </c>
      <c r="R1434" s="10" t="str">
        <f>IF(Tabela2[[#This Row],[Coluna9]]&gt;0,"Entrada","Saída")</f>
        <v>Saída</v>
      </c>
      <c r="S1434" s="10" t="str">
        <f>Tabela2[[#This Row],[Coluna8]]</f>
        <v>COMPRAS - AÇÃO DIA DAS CRIANÇAS</v>
      </c>
      <c r="T1434" s="10" t="e">
        <f>Tabela2[[#This Row],[Coluna72]]</f>
        <v>#REF!</v>
      </c>
      <c r="U1434" s="10">
        <f>SUM(Tabela2[[#This Row],[Coluna9]],Tabela2[[#This Row],[Coluna10]])</f>
        <v>222</v>
      </c>
      <c r="V1434" s="2" t="str">
        <f>Tabela2[[#This Row],[Coluna4]]</f>
        <v>09/10/2025</v>
      </c>
      <c r="W1434" s="2" t="str">
        <f>Tabela2[[#This Row],[Coluna6]]</f>
        <v>09/10/2025</v>
      </c>
    </row>
    <row r="1435" spans="2:23" x14ac:dyDescent="0.2">
      <c r="B1435" t="s">
        <v>18</v>
      </c>
      <c r="C1435" t="s">
        <v>95</v>
      </c>
      <c r="D1435" t="s">
        <v>13</v>
      </c>
      <c r="E1435" s="8" t="s">
        <v>148</v>
      </c>
      <c r="F1435" t="s">
        <v>15</v>
      </c>
      <c r="G1435" s="8" t="s">
        <v>148</v>
      </c>
      <c r="H1435" t="s">
        <v>538</v>
      </c>
      <c r="I1435" t="e">
        <f>VLOOKUP(Tabela2[[#This Row],[Coluna7]],[1]!Tabela1[#All],2,0)</f>
        <v>#REF!</v>
      </c>
      <c r="J1435" t="s">
        <v>560</v>
      </c>
      <c r="L1435">
        <v>100</v>
      </c>
      <c r="Q1435" s="10" t="str">
        <f>Tabela2[[#This Row],[Coluna5]]</f>
        <v>10/2025</v>
      </c>
      <c r="R1435" s="10" t="str">
        <f>IF(Tabela2[[#This Row],[Coluna9]]&gt;0,"Entrada","Saída")</f>
        <v>Saída</v>
      </c>
      <c r="S1435" s="10" t="str">
        <f>Tabela2[[#This Row],[Coluna8]]</f>
        <v>A DEFINIR - ELIEL ANTONIO - GASOLINA</v>
      </c>
      <c r="T1435" s="10" t="e">
        <f>Tabela2[[#This Row],[Coluna72]]</f>
        <v>#REF!</v>
      </c>
      <c r="U1435" s="10">
        <f>SUM(Tabela2[[#This Row],[Coluna9]],Tabela2[[#This Row],[Coluna10]])</f>
        <v>100</v>
      </c>
      <c r="V1435" s="2" t="str">
        <f>Tabela2[[#This Row],[Coluna4]]</f>
        <v>09/10/2025</v>
      </c>
      <c r="W1435" s="2" t="str">
        <f>Tabela2[[#This Row],[Coluna6]]</f>
        <v>09/10/2025</v>
      </c>
    </row>
    <row r="1436" spans="2:23" x14ac:dyDescent="0.2">
      <c r="B1436" t="s">
        <v>18</v>
      </c>
      <c r="C1436" t="s">
        <v>95</v>
      </c>
      <c r="D1436" t="s">
        <v>13</v>
      </c>
      <c r="E1436" s="8" t="s">
        <v>158</v>
      </c>
      <c r="F1436" t="s">
        <v>15</v>
      </c>
      <c r="G1436" s="8" t="s">
        <v>158</v>
      </c>
      <c r="H1436" t="s">
        <v>561</v>
      </c>
      <c r="I1436" t="e">
        <f>VLOOKUP(Tabela2[[#This Row],[Coluna7]],[1]!Tabela1[#All],2,0)</f>
        <v>#REF!</v>
      </c>
      <c r="J1436" t="s">
        <v>562</v>
      </c>
      <c r="L1436">
        <v>87.17</v>
      </c>
      <c r="Q1436" s="10" t="str">
        <f>Tabela2[[#This Row],[Coluna5]]</f>
        <v>10/2025</v>
      </c>
      <c r="R1436" s="10" t="str">
        <f>IF(Tabela2[[#This Row],[Coluna9]]&gt;0,"Entrada","Saída")</f>
        <v>Saída</v>
      </c>
      <c r="S1436" s="10" t="str">
        <f>Tabela2[[#This Row],[Coluna8]]</f>
        <v>MAMANGUAPE 30/09 - VICTOR LIMEIRA</v>
      </c>
      <c r="T1436" s="10" t="e">
        <f>Tabela2[[#This Row],[Coluna72]]</f>
        <v>#REF!</v>
      </c>
      <c r="U1436" s="10">
        <f>SUM(Tabela2[[#This Row],[Coluna9]],Tabela2[[#This Row],[Coluna10]])</f>
        <v>87.17</v>
      </c>
      <c r="V1436" s="2" t="str">
        <f>Tabela2[[#This Row],[Coluna4]]</f>
        <v>10/10/2025</v>
      </c>
      <c r="W1436" s="2" t="str">
        <f>Tabela2[[#This Row],[Coluna6]]</f>
        <v>10/10/2025</v>
      </c>
    </row>
    <row r="1437" spans="2:23" x14ac:dyDescent="0.2">
      <c r="B1437" t="s">
        <v>18</v>
      </c>
      <c r="C1437" t="s">
        <v>95</v>
      </c>
      <c r="D1437" t="s">
        <v>13</v>
      </c>
      <c r="E1437" s="8" t="s">
        <v>158</v>
      </c>
      <c r="F1437" t="s">
        <v>15</v>
      </c>
      <c r="G1437" s="8" t="s">
        <v>158</v>
      </c>
      <c r="H1437" t="s">
        <v>443</v>
      </c>
      <c r="I1437" t="e">
        <f>VLOOKUP(Tabela2[[#This Row],[Coluna7]],[1]!Tabela1[#All],2,0)</f>
        <v>#REF!</v>
      </c>
      <c r="J1437" t="s">
        <v>454</v>
      </c>
      <c r="L1437">
        <v>22</v>
      </c>
      <c r="Q1437" s="10" t="str">
        <f>Tabela2[[#This Row],[Coluna5]]</f>
        <v>10/2025</v>
      </c>
      <c r="R1437" s="10" t="str">
        <f>IF(Tabela2[[#This Row],[Coluna9]]&gt;0,"Entrada","Saída")</f>
        <v>Saída</v>
      </c>
      <c r="S1437" s="10" t="str">
        <f>Tabela2[[#This Row],[Coluna8]]</f>
        <v>ALMOÇO</v>
      </c>
      <c r="T1437" s="10" t="e">
        <f>Tabela2[[#This Row],[Coluna72]]</f>
        <v>#REF!</v>
      </c>
      <c r="U1437" s="10">
        <f>SUM(Tabela2[[#This Row],[Coluna9]],Tabela2[[#This Row],[Coluna10]])</f>
        <v>22</v>
      </c>
      <c r="V1437" s="2" t="str">
        <f>Tabela2[[#This Row],[Coluna4]]</f>
        <v>10/10/2025</v>
      </c>
      <c r="W1437" s="2" t="str">
        <f>Tabela2[[#This Row],[Coluna6]]</f>
        <v>10/10/2025</v>
      </c>
    </row>
    <row r="1438" spans="2:23" x14ac:dyDescent="0.2">
      <c r="B1438" t="s">
        <v>18</v>
      </c>
      <c r="C1438" t="s">
        <v>95</v>
      </c>
      <c r="D1438" t="s">
        <v>13</v>
      </c>
      <c r="E1438" s="8" t="s">
        <v>158</v>
      </c>
      <c r="F1438" t="s">
        <v>15</v>
      </c>
      <c r="G1438" s="8" t="s">
        <v>158</v>
      </c>
      <c r="H1438" t="s">
        <v>540</v>
      </c>
      <c r="I1438" t="e">
        <f>VLOOKUP(Tabela2[[#This Row],[Coluna7]],[1]!Tabela1[#All],2,0)</f>
        <v>#REF!</v>
      </c>
      <c r="J1438" t="s">
        <v>563</v>
      </c>
      <c r="L1438">
        <v>42</v>
      </c>
      <c r="Q1438" s="10" t="str">
        <f>Tabela2[[#This Row],[Coluna5]]</f>
        <v>10/2025</v>
      </c>
      <c r="R1438" s="10" t="str">
        <f>IF(Tabela2[[#This Row],[Coluna9]]&gt;0,"Entrada","Saída")</f>
        <v>Saída</v>
      </c>
      <c r="S1438" s="10" t="str">
        <f>Tabela2[[#This Row],[Coluna8]]</f>
        <v>DIA DAS CRIANÇAS - BOLO</v>
      </c>
      <c r="T1438" s="10" t="e">
        <f>Tabela2[[#This Row],[Coluna72]]</f>
        <v>#REF!</v>
      </c>
      <c r="U1438" s="10">
        <f>SUM(Tabela2[[#This Row],[Coluna9]],Tabela2[[#This Row],[Coluna10]])</f>
        <v>42</v>
      </c>
      <c r="V1438" s="2" t="str">
        <f>Tabela2[[#This Row],[Coluna4]]</f>
        <v>10/10/2025</v>
      </c>
      <c r="W1438" s="2" t="str">
        <f>Tabela2[[#This Row],[Coluna6]]</f>
        <v>10/10/2025</v>
      </c>
    </row>
    <row r="1439" spans="2:23" x14ac:dyDescent="0.2">
      <c r="B1439" t="s">
        <v>18</v>
      </c>
      <c r="C1439" t="s">
        <v>95</v>
      </c>
      <c r="D1439" t="s">
        <v>13</v>
      </c>
      <c r="E1439" s="8" t="s">
        <v>158</v>
      </c>
      <c r="F1439" t="s">
        <v>15</v>
      </c>
      <c r="G1439" s="8" t="s">
        <v>158</v>
      </c>
      <c r="H1439" t="s">
        <v>546</v>
      </c>
      <c r="I1439" t="e">
        <f>VLOOKUP(Tabela2[[#This Row],[Coluna7]],[1]!Tabela1[#All],2,0)</f>
        <v>#REF!</v>
      </c>
      <c r="J1439" t="s">
        <v>564</v>
      </c>
      <c r="L1439">
        <v>400</v>
      </c>
      <c r="Q1439" s="10" t="str">
        <f>Tabela2[[#This Row],[Coluna5]]</f>
        <v>10/2025</v>
      </c>
      <c r="R1439" s="10" t="str">
        <f>IF(Tabela2[[#This Row],[Coluna9]]&gt;0,"Entrada","Saída")</f>
        <v>Saída</v>
      </c>
      <c r="S1439" s="10" t="str">
        <f>Tabela2[[#This Row],[Coluna8]]</f>
        <v>ELIEL ANTONIO ( WILMA )</v>
      </c>
      <c r="T1439" s="10" t="e">
        <f>Tabela2[[#This Row],[Coluna72]]</f>
        <v>#REF!</v>
      </c>
      <c r="U1439" s="10">
        <f>SUM(Tabela2[[#This Row],[Coluna9]],Tabela2[[#This Row],[Coluna10]])</f>
        <v>400</v>
      </c>
      <c r="V1439" s="2" t="str">
        <f>Tabela2[[#This Row],[Coluna4]]</f>
        <v>10/10/2025</v>
      </c>
      <c r="W1439" s="2" t="str">
        <f>Tabela2[[#This Row],[Coluna6]]</f>
        <v>10/10/2025</v>
      </c>
    </row>
    <row r="1440" spans="2:23" x14ac:dyDescent="0.2">
      <c r="B1440" t="s">
        <v>18</v>
      </c>
      <c r="C1440" t="s">
        <v>95</v>
      </c>
      <c r="D1440" t="s">
        <v>13</v>
      </c>
      <c r="E1440" s="8" t="s">
        <v>158</v>
      </c>
      <c r="F1440" t="s">
        <v>15</v>
      </c>
      <c r="G1440" s="8" t="s">
        <v>158</v>
      </c>
      <c r="H1440" t="s">
        <v>546</v>
      </c>
      <c r="I1440" t="e">
        <f>VLOOKUP(Tabela2[[#This Row],[Coluna7]],[1]!Tabela1[#All],2,0)</f>
        <v>#REF!</v>
      </c>
      <c r="J1440" t="s">
        <v>565</v>
      </c>
      <c r="L1440">
        <v>100</v>
      </c>
      <c r="Q1440" s="10" t="str">
        <f>Tabela2[[#This Row],[Coluna5]]</f>
        <v>10/2025</v>
      </c>
      <c r="R1440" s="10" t="str">
        <f>IF(Tabela2[[#This Row],[Coluna9]]&gt;0,"Entrada","Saída")</f>
        <v>Saída</v>
      </c>
      <c r="S1440" s="10" t="str">
        <f>Tabela2[[#This Row],[Coluna8]]</f>
        <v>LEANDRO JOAO BATISTA</v>
      </c>
      <c r="T1440" s="10" t="e">
        <f>Tabela2[[#This Row],[Coluna72]]</f>
        <v>#REF!</v>
      </c>
      <c r="U1440" s="10">
        <f>SUM(Tabela2[[#This Row],[Coluna9]],Tabela2[[#This Row],[Coluna10]])</f>
        <v>100</v>
      </c>
      <c r="V1440" s="2" t="str">
        <f>Tabela2[[#This Row],[Coluna4]]</f>
        <v>10/10/2025</v>
      </c>
      <c r="W1440" s="2" t="str">
        <f>Tabela2[[#This Row],[Coluna6]]</f>
        <v>10/10/2025</v>
      </c>
    </row>
    <row r="1441" spans="2:23" x14ac:dyDescent="0.2">
      <c r="B1441" t="s">
        <v>18</v>
      </c>
      <c r="C1441" t="s">
        <v>95</v>
      </c>
      <c r="D1441" t="s">
        <v>13</v>
      </c>
      <c r="E1441" s="8" t="s">
        <v>566</v>
      </c>
      <c r="F1441" t="s">
        <v>15</v>
      </c>
      <c r="G1441" s="8" t="s">
        <v>566</v>
      </c>
      <c r="H1441" t="s">
        <v>540</v>
      </c>
      <c r="I1441" t="e">
        <f>VLOOKUP(Tabela2[[#This Row],[Coluna7]],[1]!Tabela1[#All],2,0)</f>
        <v>#REF!</v>
      </c>
      <c r="J1441" t="s">
        <v>567</v>
      </c>
      <c r="L1441">
        <v>250</v>
      </c>
      <c r="Q1441" s="10" t="str">
        <f>Tabela2[[#This Row],[Coluna5]]</f>
        <v>10/2025</v>
      </c>
      <c r="R1441" s="10" t="str">
        <f>IF(Tabela2[[#This Row],[Coluna9]]&gt;0,"Entrada","Saída")</f>
        <v>Saída</v>
      </c>
      <c r="S1441" s="10" t="str">
        <f>Tabela2[[#This Row],[Coluna8]]</f>
        <v>DIA DAS CRIANÇAS - COMPLEMENTO COMPRAS</v>
      </c>
      <c r="T1441" s="10" t="e">
        <f>Tabela2[[#This Row],[Coluna72]]</f>
        <v>#REF!</v>
      </c>
      <c r="U1441" s="10">
        <f>SUM(Tabela2[[#This Row],[Coluna9]],Tabela2[[#This Row],[Coluna10]])</f>
        <v>250</v>
      </c>
      <c r="V1441" s="2" t="str">
        <f>Tabela2[[#This Row],[Coluna4]]</f>
        <v>11/10/2025</v>
      </c>
      <c r="W1441" s="2" t="str">
        <f>Tabela2[[#This Row],[Coluna6]]</f>
        <v>11/10/2025</v>
      </c>
    </row>
    <row r="1442" spans="2:23" x14ac:dyDescent="0.2">
      <c r="B1442" t="s">
        <v>18</v>
      </c>
      <c r="C1442" t="s">
        <v>95</v>
      </c>
      <c r="D1442" t="s">
        <v>13</v>
      </c>
      <c r="E1442" s="8" t="s">
        <v>566</v>
      </c>
      <c r="F1442" t="s">
        <v>15</v>
      </c>
      <c r="G1442" s="8" t="s">
        <v>566</v>
      </c>
      <c r="H1442" t="s">
        <v>546</v>
      </c>
      <c r="I1442" t="e">
        <f>VLOOKUP(Tabela2[[#This Row],[Coluna7]],[1]!Tabela1[#All],2,0)</f>
        <v>#REF!</v>
      </c>
      <c r="J1442" t="s">
        <v>568</v>
      </c>
      <c r="L1442">
        <v>1500</v>
      </c>
      <c r="Q1442" s="10" t="str">
        <f>Tabela2[[#This Row],[Coluna5]]</f>
        <v>10/2025</v>
      </c>
      <c r="R1442" s="10" t="str">
        <f>IF(Tabela2[[#This Row],[Coluna9]]&gt;0,"Entrada","Saída")</f>
        <v>Saída</v>
      </c>
      <c r="S1442" s="10" t="str">
        <f>Tabela2[[#This Row],[Coluna8]]</f>
        <v>ELIEL ANTONIO</v>
      </c>
      <c r="T1442" s="10" t="e">
        <f>Tabela2[[#This Row],[Coluna72]]</f>
        <v>#REF!</v>
      </c>
      <c r="U1442" s="10">
        <f>SUM(Tabela2[[#This Row],[Coluna9]],Tabela2[[#This Row],[Coluna10]])</f>
        <v>1500</v>
      </c>
      <c r="V1442" s="2" t="str">
        <f>Tabela2[[#This Row],[Coluna4]]</f>
        <v>11/10/2025</v>
      </c>
      <c r="W1442" s="2" t="str">
        <f>Tabela2[[#This Row],[Coluna6]]</f>
        <v>11/10/2025</v>
      </c>
    </row>
    <row r="1443" spans="2:23" x14ac:dyDescent="0.2">
      <c r="B1443" t="s">
        <v>18</v>
      </c>
      <c r="C1443" t="s">
        <v>95</v>
      </c>
      <c r="D1443" t="s">
        <v>13</v>
      </c>
      <c r="E1443" s="8" t="s">
        <v>566</v>
      </c>
      <c r="F1443" t="s">
        <v>15</v>
      </c>
      <c r="G1443" s="8" t="s">
        <v>566</v>
      </c>
      <c r="H1443" t="s">
        <v>546</v>
      </c>
      <c r="I1443" t="e">
        <f>VLOOKUP(Tabela2[[#This Row],[Coluna7]],[1]!Tabela1[#All],2,0)</f>
        <v>#REF!</v>
      </c>
      <c r="J1443" t="s">
        <v>569</v>
      </c>
      <c r="L1443">
        <v>550</v>
      </c>
      <c r="Q1443" s="10" t="str">
        <f>Tabela2[[#This Row],[Coluna5]]</f>
        <v>10/2025</v>
      </c>
      <c r="R1443" s="10" t="str">
        <f>IF(Tabela2[[#This Row],[Coluna9]]&gt;0,"Entrada","Saída")</f>
        <v>Saída</v>
      </c>
      <c r="S1443" s="10" t="str">
        <f>Tabela2[[#This Row],[Coluna8]]</f>
        <v>LEANDRO JOÃO BATISTA</v>
      </c>
      <c r="T1443" s="10" t="e">
        <f>Tabela2[[#This Row],[Coluna72]]</f>
        <v>#REF!</v>
      </c>
      <c r="U1443" s="10">
        <f>SUM(Tabela2[[#This Row],[Coluna9]],Tabela2[[#This Row],[Coluna10]])</f>
        <v>550</v>
      </c>
      <c r="V1443" s="2" t="str">
        <f>Tabela2[[#This Row],[Coluna4]]</f>
        <v>11/10/2025</v>
      </c>
      <c r="W1443" s="2" t="str">
        <f>Tabela2[[#This Row],[Coluna6]]</f>
        <v>11/10/2025</v>
      </c>
    </row>
    <row r="1444" spans="2:23" x14ac:dyDescent="0.2">
      <c r="B1444" t="s">
        <v>12</v>
      </c>
      <c r="C1444" t="s">
        <v>95</v>
      </c>
      <c r="D1444" t="s">
        <v>13</v>
      </c>
      <c r="E1444" s="8" t="s">
        <v>566</v>
      </c>
      <c r="F1444" t="s">
        <v>15</v>
      </c>
      <c r="G1444" s="8" t="s">
        <v>566</v>
      </c>
      <c r="H1444" t="s">
        <v>570</v>
      </c>
      <c r="I1444" t="e">
        <f>VLOOKUP(Tabela2[[#This Row],[Coluna7]],[1]!Tabela1[#All],2,0)</f>
        <v>#REF!</v>
      </c>
      <c r="J1444" t="s">
        <v>571</v>
      </c>
      <c r="L1444">
        <v>68.58</v>
      </c>
      <c r="Q1444" s="10" t="str">
        <f>Tabela2[[#This Row],[Coluna5]]</f>
        <v>10/2025</v>
      </c>
      <c r="R1444" s="10" t="str">
        <f>IF(Tabela2[[#This Row],[Coluna9]]&gt;0,"Entrada","Saída")</f>
        <v>Saída</v>
      </c>
      <c r="S1444" s="10" t="str">
        <f>Tabela2[[#This Row],[Coluna8]]</f>
        <v>MATEC</v>
      </c>
      <c r="T1444" s="10" t="e">
        <f>Tabela2[[#This Row],[Coluna72]]</f>
        <v>#REF!</v>
      </c>
      <c r="U1444" s="10">
        <f>SUM(Tabela2[[#This Row],[Coluna9]],Tabela2[[#This Row],[Coluna10]])</f>
        <v>68.58</v>
      </c>
      <c r="V1444" s="2" t="str">
        <f>Tabela2[[#This Row],[Coluna4]]</f>
        <v>11/10/2025</v>
      </c>
      <c r="W1444" s="2" t="str">
        <f>Tabela2[[#This Row],[Coluna6]]</f>
        <v>11/10/2025</v>
      </c>
    </row>
    <row r="1445" spans="2:23" x14ac:dyDescent="0.2">
      <c r="B1445" t="s">
        <v>18</v>
      </c>
      <c r="C1445" t="s">
        <v>95</v>
      </c>
      <c r="D1445" t="s">
        <v>13</v>
      </c>
      <c r="E1445" s="8" t="s">
        <v>143</v>
      </c>
      <c r="F1445" t="s">
        <v>15</v>
      </c>
      <c r="G1445" s="8" t="s">
        <v>143</v>
      </c>
      <c r="H1445" t="s">
        <v>542</v>
      </c>
      <c r="I1445" t="e">
        <f>VLOOKUP(Tabela2[[#This Row],[Coluna7]],[1]!Tabela1[#All],2,0)</f>
        <v>#REF!</v>
      </c>
      <c r="J1445" t="s">
        <v>572</v>
      </c>
      <c r="L1445">
        <v>1520</v>
      </c>
      <c r="Q1445" s="10" t="str">
        <f>Tabela2[[#This Row],[Coluna5]]</f>
        <v>10/2025</v>
      </c>
      <c r="R1445" s="10" t="str">
        <f>IF(Tabela2[[#This Row],[Coluna9]]&gt;0,"Entrada","Saída")</f>
        <v>Saída</v>
      </c>
      <c r="S1445" s="10" t="str">
        <f>Tabela2[[#This Row],[Coluna8]]</f>
        <v>DIEGO AIRES AMORENO</v>
      </c>
      <c r="T1445" s="10" t="e">
        <f>Tabela2[[#This Row],[Coluna72]]</f>
        <v>#REF!</v>
      </c>
      <c r="U1445" s="10">
        <f>SUM(Tabela2[[#This Row],[Coluna9]],Tabela2[[#This Row],[Coluna10]])</f>
        <v>1520</v>
      </c>
      <c r="V1445" s="2" t="str">
        <f>Tabela2[[#This Row],[Coluna4]]</f>
        <v>13/10/2025</v>
      </c>
      <c r="W1445" s="2" t="str">
        <f>Tabela2[[#This Row],[Coluna6]]</f>
        <v>13/10/2025</v>
      </c>
    </row>
    <row r="1446" spans="2:23" x14ac:dyDescent="0.2">
      <c r="B1446" t="s">
        <v>18</v>
      </c>
      <c r="C1446" t="s">
        <v>95</v>
      </c>
      <c r="D1446" t="s">
        <v>13</v>
      </c>
      <c r="E1446" s="8" t="s">
        <v>167</v>
      </c>
      <c r="F1446" t="s">
        <v>15</v>
      </c>
      <c r="G1446" s="8" t="s">
        <v>167</v>
      </c>
      <c r="H1446" t="s">
        <v>551</v>
      </c>
      <c r="I1446" t="e">
        <f>VLOOKUP(Tabela2[[#This Row],[Coluna7]],[1]!Tabela1[#All],2,0)</f>
        <v>#REF!</v>
      </c>
      <c r="J1446" t="s">
        <v>573</v>
      </c>
      <c r="L1446">
        <v>237.91</v>
      </c>
      <c r="M1446" t="s">
        <v>574</v>
      </c>
      <c r="N1446" t="s">
        <v>575</v>
      </c>
      <c r="Q1446" s="10" t="str">
        <f>Tabela2[[#This Row],[Coluna5]]</f>
        <v>10/2025</v>
      </c>
      <c r="R1446" s="10" t="str">
        <f>IF(Tabela2[[#This Row],[Coluna9]]&gt;0,"Entrada","Saída")</f>
        <v>Saída</v>
      </c>
      <c r="S1446" s="10" t="str">
        <f>Tabela2[[#This Row],[Coluna8]]</f>
        <v>CUSTO CTPS</v>
      </c>
      <c r="T1446" s="10" t="e">
        <f>Tabela2[[#This Row],[Coluna72]]</f>
        <v>#REF!</v>
      </c>
      <c r="U1446" s="10">
        <f>SUM(Tabela2[[#This Row],[Coluna9]],Tabela2[[#This Row],[Coluna10]])</f>
        <v>237.91</v>
      </c>
      <c r="V1446" s="2" t="str">
        <f>Tabela2[[#This Row],[Coluna4]]</f>
        <v>14/10/2025</v>
      </c>
      <c r="W1446" s="2" t="str">
        <f>Tabela2[[#This Row],[Coluna6]]</f>
        <v>14/10/2025</v>
      </c>
    </row>
    <row r="1447" spans="2:23" x14ac:dyDescent="0.2">
      <c r="B1447" t="s">
        <v>18</v>
      </c>
      <c r="C1447" t="s">
        <v>95</v>
      </c>
      <c r="D1447" t="s">
        <v>13</v>
      </c>
      <c r="E1447" s="8" t="s">
        <v>167</v>
      </c>
      <c r="F1447" t="s">
        <v>15</v>
      </c>
      <c r="G1447" s="8" t="s">
        <v>167</v>
      </c>
      <c r="H1447" t="s">
        <v>443</v>
      </c>
      <c r="I1447" t="e">
        <f>VLOOKUP(Tabela2[[#This Row],[Coluna7]],[1]!Tabela1[#All],2,0)</f>
        <v>#REF!</v>
      </c>
      <c r="J1447" t="s">
        <v>454</v>
      </c>
      <c r="L1447">
        <v>22</v>
      </c>
      <c r="Q1447" s="10" t="str">
        <f>Tabela2[[#This Row],[Coluna5]]</f>
        <v>10/2025</v>
      </c>
      <c r="R1447" s="10" t="str">
        <f>IF(Tabela2[[#This Row],[Coluna9]]&gt;0,"Entrada","Saída")</f>
        <v>Saída</v>
      </c>
      <c r="S1447" s="10" t="str">
        <f>Tabela2[[#This Row],[Coluna8]]</f>
        <v>ALMOÇO</v>
      </c>
      <c r="T1447" s="10" t="e">
        <f>Tabela2[[#This Row],[Coluna72]]</f>
        <v>#REF!</v>
      </c>
      <c r="U1447" s="10">
        <f>SUM(Tabela2[[#This Row],[Coluna9]],Tabela2[[#This Row],[Coluna10]])</f>
        <v>22</v>
      </c>
      <c r="V1447" s="2" t="str">
        <f>Tabela2[[#This Row],[Coluna4]]</f>
        <v>14/10/2025</v>
      </c>
      <c r="W1447" s="2" t="str">
        <f>Tabela2[[#This Row],[Coluna6]]</f>
        <v>14/10/2025</v>
      </c>
    </row>
    <row r="1448" spans="2:23" x14ac:dyDescent="0.2">
      <c r="B1448" t="s">
        <v>18</v>
      </c>
      <c r="C1448" t="s">
        <v>95</v>
      </c>
      <c r="D1448" t="s">
        <v>13</v>
      </c>
      <c r="E1448" s="8" t="s">
        <v>28</v>
      </c>
      <c r="F1448" t="s">
        <v>15</v>
      </c>
      <c r="G1448" s="8" t="s">
        <v>28</v>
      </c>
      <c r="H1448" t="s">
        <v>443</v>
      </c>
      <c r="I1448" t="e">
        <f>VLOOKUP(Tabela2[[#This Row],[Coluna7]],[1]!Tabela1[#All],2,0)</f>
        <v>#REF!</v>
      </c>
      <c r="J1448" t="s">
        <v>454</v>
      </c>
      <c r="L1448">
        <v>22</v>
      </c>
      <c r="Q1448" s="10" t="str">
        <f>Tabela2[[#This Row],[Coluna5]]</f>
        <v>10/2025</v>
      </c>
      <c r="R1448" s="10" t="str">
        <f>IF(Tabela2[[#This Row],[Coluna9]]&gt;0,"Entrada","Saída")</f>
        <v>Saída</v>
      </c>
      <c r="S1448" s="10" t="str">
        <f>Tabela2[[#This Row],[Coluna8]]</f>
        <v>ALMOÇO</v>
      </c>
      <c r="T1448" s="10" t="e">
        <f>Tabela2[[#This Row],[Coluna72]]</f>
        <v>#REF!</v>
      </c>
      <c r="U1448" s="10">
        <f>SUM(Tabela2[[#This Row],[Coluna9]],Tabela2[[#This Row],[Coluna10]])</f>
        <v>22</v>
      </c>
      <c r="V1448" s="2" t="str">
        <f>Tabela2[[#This Row],[Coluna4]]</f>
        <v>15/10/2025</v>
      </c>
      <c r="W1448" s="2" t="str">
        <f>Tabela2[[#This Row],[Coluna6]]</f>
        <v>15/10/2025</v>
      </c>
    </row>
    <row r="1449" spans="2:23" x14ac:dyDescent="0.2">
      <c r="B1449" t="s">
        <v>27</v>
      </c>
      <c r="C1449" t="s">
        <v>95</v>
      </c>
      <c r="D1449" t="s">
        <v>13</v>
      </c>
      <c r="E1449" s="8" t="s">
        <v>28</v>
      </c>
      <c r="F1449" t="s">
        <v>15</v>
      </c>
      <c r="G1449" s="8" t="s">
        <v>28</v>
      </c>
      <c r="H1449" t="s">
        <v>538</v>
      </c>
      <c r="I1449" t="e">
        <f>VLOOKUP(Tabela2[[#This Row],[Coluna7]],[1]!Tabela1[#All],2,0)</f>
        <v>#REF!</v>
      </c>
      <c r="J1449" t="s">
        <v>576</v>
      </c>
      <c r="L1449">
        <v>930.16</v>
      </c>
      <c r="Q1449" s="10" t="str">
        <f>Tabela2[[#This Row],[Coluna5]]</f>
        <v>10/2025</v>
      </c>
      <c r="R1449" s="10" t="str">
        <f>IF(Tabela2[[#This Row],[Coluna9]]&gt;0,"Entrada","Saída")</f>
        <v>Saída</v>
      </c>
      <c r="S1449" s="10" t="str">
        <f>Tabela2[[#This Row],[Coluna8]]</f>
        <v>CARTÃO DÉBITO - BRADESCO</v>
      </c>
      <c r="T1449" s="10" t="e">
        <f>Tabela2[[#This Row],[Coluna72]]</f>
        <v>#REF!</v>
      </c>
      <c r="U1449" s="10">
        <f>SUM(Tabela2[[#This Row],[Coluna9]],Tabela2[[#This Row],[Coluna10]])</f>
        <v>930.16</v>
      </c>
      <c r="V1449" s="2" t="str">
        <f>Tabela2[[#This Row],[Coluna4]]</f>
        <v>15/10/2025</v>
      </c>
      <c r="W1449" s="2" t="str">
        <f>Tabela2[[#This Row],[Coluna6]]</f>
        <v>15/10/2025</v>
      </c>
    </row>
    <row r="1450" spans="2:23" x14ac:dyDescent="0.2">
      <c r="B1450" t="s">
        <v>18</v>
      </c>
      <c r="C1450" t="s">
        <v>95</v>
      </c>
      <c r="D1450" t="s">
        <v>13</v>
      </c>
      <c r="E1450" s="8" t="s">
        <v>28</v>
      </c>
      <c r="F1450" t="s">
        <v>15</v>
      </c>
      <c r="G1450" s="8" t="s">
        <v>28</v>
      </c>
      <c r="H1450" t="s">
        <v>546</v>
      </c>
      <c r="I1450" t="e">
        <f>VLOOKUP(Tabela2[[#This Row],[Coluna7]],[1]!Tabela1[#All],2,0)</f>
        <v>#REF!</v>
      </c>
      <c r="J1450" t="s">
        <v>577</v>
      </c>
      <c r="L1450">
        <v>700</v>
      </c>
      <c r="Q1450" s="10" t="str">
        <f>Tabela2[[#This Row],[Coluna5]]</f>
        <v>10/2025</v>
      </c>
      <c r="R1450" s="10" t="str">
        <f>IF(Tabela2[[#This Row],[Coluna9]]&gt;0,"Entrada","Saída")</f>
        <v>Saída</v>
      </c>
      <c r="S1450" s="10" t="str">
        <f>Tabela2[[#This Row],[Coluna8]]</f>
        <v>ELIEL ANTONIO - PIX PARA WILMA</v>
      </c>
      <c r="T1450" s="10" t="e">
        <f>Tabela2[[#This Row],[Coluna72]]</f>
        <v>#REF!</v>
      </c>
      <c r="U1450" s="10">
        <f>SUM(Tabela2[[#This Row],[Coluna9]],Tabela2[[#This Row],[Coluna10]])</f>
        <v>700</v>
      </c>
      <c r="V1450" s="2" t="str">
        <f>Tabela2[[#This Row],[Coluna4]]</f>
        <v>15/10/2025</v>
      </c>
      <c r="W1450" s="2" t="str">
        <f>Tabela2[[#This Row],[Coluna6]]</f>
        <v>15/10/2025</v>
      </c>
    </row>
    <row r="1451" spans="2:23" x14ac:dyDescent="0.2">
      <c r="B1451" t="s">
        <v>18</v>
      </c>
      <c r="C1451" t="s">
        <v>125</v>
      </c>
      <c r="D1451" t="s">
        <v>13</v>
      </c>
      <c r="E1451" s="8" t="s">
        <v>29</v>
      </c>
      <c r="F1451" t="s">
        <v>15</v>
      </c>
      <c r="G1451" s="8" t="s">
        <v>29</v>
      </c>
      <c r="H1451" t="s">
        <v>551</v>
      </c>
      <c r="I1451" t="e">
        <f>VLOOKUP(Tabela2[[#This Row],[Coluna7]],[1]!Tabela1[#All],2,0)</f>
        <v>#REF!</v>
      </c>
      <c r="J1451" t="s">
        <v>578</v>
      </c>
      <c r="L1451">
        <v>42</v>
      </c>
      <c r="Q1451" s="10" t="str">
        <f>Tabela2[[#This Row],[Coluna5]]</f>
        <v>10/2025</v>
      </c>
      <c r="R1451" s="10" t="str">
        <f>IF(Tabela2[[#This Row],[Coluna9]]&gt;0,"Entrada","Saída")</f>
        <v>Saída</v>
      </c>
      <c r="S1451" s="10" t="str">
        <f>Tabela2[[#This Row],[Coluna8]]</f>
        <v>REEMBOLSO INSS</v>
      </c>
      <c r="T1451" s="10" t="e">
        <f>Tabela2[[#This Row],[Coluna72]]</f>
        <v>#REF!</v>
      </c>
      <c r="U1451" s="10">
        <f>SUM(Tabela2[[#This Row],[Coluna9]],Tabela2[[#This Row],[Coluna10]])</f>
        <v>42</v>
      </c>
      <c r="V1451" s="2" t="str">
        <f>Tabela2[[#This Row],[Coluna4]]</f>
        <v>16/10/2025</v>
      </c>
      <c r="W1451" s="2" t="str">
        <f>Tabela2[[#This Row],[Coluna6]]</f>
        <v>16/10/2025</v>
      </c>
    </row>
    <row r="1452" spans="2:23" x14ac:dyDescent="0.2">
      <c r="B1452" t="s">
        <v>18</v>
      </c>
      <c r="C1452" t="s">
        <v>95</v>
      </c>
      <c r="D1452" t="s">
        <v>13</v>
      </c>
      <c r="E1452" s="8" t="s">
        <v>29</v>
      </c>
      <c r="F1452" t="s">
        <v>15</v>
      </c>
      <c r="G1452" s="8" t="s">
        <v>29</v>
      </c>
      <c r="H1452" t="s">
        <v>538</v>
      </c>
      <c r="I1452" t="e">
        <f>VLOOKUP(Tabela2[[#This Row],[Coluna7]],[1]!Tabela1[#All],2,0)</f>
        <v>#REF!</v>
      </c>
      <c r="J1452" t="s">
        <v>579</v>
      </c>
      <c r="L1452">
        <v>35</v>
      </c>
      <c r="Q1452" s="10" t="str">
        <f>Tabela2[[#This Row],[Coluna5]]</f>
        <v>10/2025</v>
      </c>
      <c r="R1452" s="10" t="str">
        <f>IF(Tabela2[[#This Row],[Coluna9]]&gt;0,"Entrada","Saída")</f>
        <v>Saída</v>
      </c>
      <c r="S1452" s="10" t="str">
        <f>Tabela2[[#This Row],[Coluna8]]</f>
        <v>COMPRAS</v>
      </c>
      <c r="T1452" s="10" t="e">
        <f>Tabela2[[#This Row],[Coluna72]]</f>
        <v>#REF!</v>
      </c>
      <c r="U1452" s="10">
        <f>SUM(Tabela2[[#This Row],[Coluna9]],Tabela2[[#This Row],[Coluna10]])</f>
        <v>35</v>
      </c>
      <c r="V1452" s="2" t="str">
        <f>Tabela2[[#This Row],[Coluna4]]</f>
        <v>16/10/2025</v>
      </c>
      <c r="W1452" s="2" t="str">
        <f>Tabela2[[#This Row],[Coluna6]]</f>
        <v>16/10/2025</v>
      </c>
    </row>
    <row r="1453" spans="2:23" x14ac:dyDescent="0.2">
      <c r="B1453" t="s">
        <v>18</v>
      </c>
      <c r="C1453" t="s">
        <v>95</v>
      </c>
      <c r="D1453" t="s">
        <v>13</v>
      </c>
      <c r="E1453" s="8" t="s">
        <v>31</v>
      </c>
      <c r="F1453" t="s">
        <v>15</v>
      </c>
      <c r="G1453" s="8" t="s">
        <v>31</v>
      </c>
      <c r="H1453" t="s">
        <v>443</v>
      </c>
      <c r="I1453" t="e">
        <f>VLOOKUP(Tabela2[[#This Row],[Coluna7]],[1]!Tabela1[#All],2,0)</f>
        <v>#REF!</v>
      </c>
      <c r="J1453" t="s">
        <v>550</v>
      </c>
      <c r="L1453">
        <v>22</v>
      </c>
      <c r="Q1453" s="10" t="str">
        <f>Tabela2[[#This Row],[Coluna5]]</f>
        <v>10/2025</v>
      </c>
      <c r="R1453" s="10" t="str">
        <f>IF(Tabela2[[#This Row],[Coluna9]]&gt;0,"Entrada","Saída")</f>
        <v>Saída</v>
      </c>
      <c r="S1453" s="10" t="str">
        <f>Tabela2[[#This Row],[Coluna8]]</f>
        <v>ALMOÇO THIAGO</v>
      </c>
      <c r="T1453" s="10" t="e">
        <f>Tabela2[[#This Row],[Coluna72]]</f>
        <v>#REF!</v>
      </c>
      <c r="U1453" s="10">
        <f>SUM(Tabela2[[#This Row],[Coluna9]],Tabela2[[#This Row],[Coluna10]])</f>
        <v>22</v>
      </c>
      <c r="V1453" s="2" t="str">
        <f>Tabela2[[#This Row],[Coluna4]]</f>
        <v>17/10/2025</v>
      </c>
      <c r="W1453" s="2" t="str">
        <f>Tabela2[[#This Row],[Coluna6]]</f>
        <v>17/10/2025</v>
      </c>
    </row>
    <row r="1454" spans="2:23" x14ac:dyDescent="0.2">
      <c r="B1454" t="s">
        <v>18</v>
      </c>
      <c r="C1454" t="s">
        <v>95</v>
      </c>
      <c r="D1454" t="s">
        <v>13</v>
      </c>
      <c r="E1454" s="8" t="s">
        <v>31</v>
      </c>
      <c r="F1454" t="s">
        <v>15</v>
      </c>
      <c r="G1454" s="8" t="s">
        <v>31</v>
      </c>
      <c r="H1454" t="s">
        <v>580</v>
      </c>
      <c r="I1454" t="e">
        <f>VLOOKUP(Tabela2[[#This Row],[Coluna7]],[1]!Tabela1[#All],2,0)</f>
        <v>#REF!</v>
      </c>
      <c r="J1454" t="s">
        <v>581</v>
      </c>
      <c r="L1454">
        <v>712</v>
      </c>
      <c r="Q1454" s="10" t="str">
        <f>Tabela2[[#This Row],[Coluna5]]</f>
        <v>10/2025</v>
      </c>
      <c r="R1454" s="10" t="str">
        <f>IF(Tabela2[[#This Row],[Coluna9]]&gt;0,"Entrada","Saída")</f>
        <v>Saída</v>
      </c>
      <c r="S1454" s="10" t="str">
        <f>Tabela2[[#This Row],[Coluna8]]</f>
        <v>ARTHUR PONCIANO PEREIRA</v>
      </c>
      <c r="T1454" s="10" t="e">
        <f>Tabela2[[#This Row],[Coluna72]]</f>
        <v>#REF!</v>
      </c>
      <c r="U1454" s="10">
        <f>SUM(Tabela2[[#This Row],[Coluna9]],Tabela2[[#This Row],[Coluna10]])</f>
        <v>712</v>
      </c>
      <c r="V1454" s="2" t="str">
        <f>Tabela2[[#This Row],[Coluna4]]</f>
        <v>17/10/2025</v>
      </c>
      <c r="W1454" s="2" t="str">
        <f>Tabela2[[#This Row],[Coluna6]]</f>
        <v>17/10/2025</v>
      </c>
    </row>
    <row r="1455" spans="2:23" x14ac:dyDescent="0.2">
      <c r="B1455" t="s">
        <v>18</v>
      </c>
      <c r="C1455" t="s">
        <v>95</v>
      </c>
      <c r="D1455" t="s">
        <v>13</v>
      </c>
      <c r="E1455" s="8" t="s">
        <v>31</v>
      </c>
      <c r="F1455" t="s">
        <v>15</v>
      </c>
      <c r="G1455" s="8" t="s">
        <v>31</v>
      </c>
      <c r="H1455" t="s">
        <v>551</v>
      </c>
      <c r="I1455" t="e">
        <f>VLOOKUP(Tabela2[[#This Row],[Coluna7]],[1]!Tabela1[#All],2,0)</f>
        <v>#REF!</v>
      </c>
      <c r="L1455">
        <v>50</v>
      </c>
      <c r="N1455" t="s">
        <v>582</v>
      </c>
      <c r="Q1455" s="10" t="str">
        <f>Tabela2[[#This Row],[Coluna5]]</f>
        <v>10/2025</v>
      </c>
      <c r="R1455" s="10" t="str">
        <f>IF(Tabela2[[#This Row],[Coluna9]]&gt;0,"Entrada","Saída")</f>
        <v>Saída</v>
      </c>
      <c r="S1455" s="10">
        <f>Tabela2[[#This Row],[Coluna8]]</f>
        <v>0</v>
      </c>
      <c r="T1455" s="10" t="e">
        <f>Tabela2[[#This Row],[Coluna72]]</f>
        <v>#REF!</v>
      </c>
      <c r="U1455" s="10">
        <f>SUM(Tabela2[[#This Row],[Coluna9]],Tabela2[[#This Row],[Coluna10]])</f>
        <v>50</v>
      </c>
      <c r="V1455" s="2" t="str">
        <f>Tabela2[[#This Row],[Coluna4]]</f>
        <v>17/10/2025</v>
      </c>
      <c r="W1455" s="2" t="str">
        <f>Tabela2[[#This Row],[Coluna6]]</f>
        <v>17/10/2025</v>
      </c>
    </row>
    <row r="1456" spans="2:23" x14ac:dyDescent="0.2">
      <c r="B1456" t="s">
        <v>18</v>
      </c>
      <c r="C1456" t="s">
        <v>95</v>
      </c>
      <c r="D1456" t="s">
        <v>13</v>
      </c>
      <c r="E1456" s="8" t="s">
        <v>31</v>
      </c>
      <c r="F1456" t="s">
        <v>15</v>
      </c>
      <c r="G1456" s="8" t="s">
        <v>31</v>
      </c>
      <c r="H1456" t="s">
        <v>580</v>
      </c>
      <c r="I1456" t="e">
        <f>VLOOKUP(Tabela2[[#This Row],[Coluna7]],[1]!Tabela1[#All],2,0)</f>
        <v>#REF!</v>
      </c>
      <c r="J1456" t="s">
        <v>583</v>
      </c>
      <c r="L1456">
        <v>5000</v>
      </c>
      <c r="Q1456" s="10" t="str">
        <f>Tabela2[[#This Row],[Coluna5]]</f>
        <v>10/2025</v>
      </c>
      <c r="R1456" s="10" t="str">
        <f>IF(Tabela2[[#This Row],[Coluna9]]&gt;0,"Entrada","Saída")</f>
        <v>Saída</v>
      </c>
      <c r="S1456" s="10" t="str">
        <f>Tabela2[[#This Row],[Coluna8]]</f>
        <v>DIEGO AIRES MORENO</v>
      </c>
      <c r="T1456" s="10" t="e">
        <f>Tabela2[[#This Row],[Coluna72]]</f>
        <v>#REF!</v>
      </c>
      <c r="U1456" s="10">
        <f>SUM(Tabela2[[#This Row],[Coluna9]],Tabela2[[#This Row],[Coluna10]])</f>
        <v>5000</v>
      </c>
      <c r="V1456" s="2" t="str">
        <f>Tabela2[[#This Row],[Coluna4]]</f>
        <v>17/10/2025</v>
      </c>
      <c r="W1456" s="2" t="str">
        <f>Tabela2[[#This Row],[Coluna6]]</f>
        <v>17/10/2025</v>
      </c>
    </row>
    <row r="1457" spans="2:23" x14ac:dyDescent="0.2">
      <c r="B1457" t="s">
        <v>18</v>
      </c>
      <c r="C1457" t="s">
        <v>95</v>
      </c>
      <c r="D1457" t="s">
        <v>13</v>
      </c>
      <c r="E1457" s="8" t="s">
        <v>31</v>
      </c>
      <c r="F1457" t="s">
        <v>15</v>
      </c>
      <c r="G1457" s="8" t="s">
        <v>31</v>
      </c>
      <c r="H1457" t="s">
        <v>538</v>
      </c>
      <c r="I1457" t="e">
        <f>VLOOKUP(Tabela2[[#This Row],[Coluna7]],[1]!Tabela1[#All],2,0)</f>
        <v>#REF!</v>
      </c>
      <c r="J1457" t="s">
        <v>460</v>
      </c>
      <c r="L1457">
        <v>100</v>
      </c>
      <c r="Q1457" s="10" t="str">
        <f>Tabela2[[#This Row],[Coluna5]]</f>
        <v>10/2025</v>
      </c>
      <c r="R1457" s="10" t="str">
        <f>IF(Tabela2[[#This Row],[Coluna9]]&gt;0,"Entrada","Saída")</f>
        <v>Saída</v>
      </c>
      <c r="S1457" s="10" t="str">
        <f>Tabela2[[#This Row],[Coluna8]]</f>
        <v>GASOLINA ELIEL</v>
      </c>
      <c r="T1457" s="10" t="e">
        <f>Tabela2[[#This Row],[Coluna72]]</f>
        <v>#REF!</v>
      </c>
      <c r="U1457" s="10">
        <f>SUM(Tabela2[[#This Row],[Coluna9]],Tabela2[[#This Row],[Coluna10]])</f>
        <v>100</v>
      </c>
      <c r="V1457" s="2" t="str">
        <f>Tabela2[[#This Row],[Coluna4]]</f>
        <v>17/10/2025</v>
      </c>
      <c r="W1457" s="2" t="str">
        <f>Tabela2[[#This Row],[Coluna6]]</f>
        <v>17/10/2025</v>
      </c>
    </row>
    <row r="1458" spans="2:23" x14ac:dyDescent="0.2">
      <c r="B1458" t="s">
        <v>18</v>
      </c>
      <c r="C1458" t="s">
        <v>95</v>
      </c>
      <c r="D1458" t="s">
        <v>13</v>
      </c>
      <c r="E1458" s="8" t="s">
        <v>31</v>
      </c>
      <c r="F1458" t="s">
        <v>15</v>
      </c>
      <c r="G1458" s="8" t="s">
        <v>31</v>
      </c>
      <c r="H1458" t="s">
        <v>546</v>
      </c>
      <c r="I1458" t="e">
        <f>VLOOKUP(Tabela2[[#This Row],[Coluna7]],[1]!Tabela1[#All],2,0)</f>
        <v>#REF!</v>
      </c>
      <c r="J1458" t="s">
        <v>584</v>
      </c>
      <c r="L1458">
        <v>50</v>
      </c>
      <c r="Q1458" s="10" t="str">
        <f>Tabela2[[#This Row],[Coluna5]]</f>
        <v>10/2025</v>
      </c>
      <c r="R1458" s="10" t="str">
        <f>IF(Tabela2[[#This Row],[Coluna9]]&gt;0,"Entrada","Saída")</f>
        <v>Saída</v>
      </c>
      <c r="S1458" s="10" t="str">
        <f>Tabela2[[#This Row],[Coluna8]]</f>
        <v>ELIEL ANTONIO DA SILVA</v>
      </c>
      <c r="T1458" s="10" t="e">
        <f>Tabela2[[#This Row],[Coluna72]]</f>
        <v>#REF!</v>
      </c>
      <c r="U1458" s="10">
        <f>SUM(Tabela2[[#This Row],[Coluna9]],Tabela2[[#This Row],[Coluna10]])</f>
        <v>50</v>
      </c>
      <c r="V1458" s="2" t="str">
        <f>Tabela2[[#This Row],[Coluna4]]</f>
        <v>17/10/2025</v>
      </c>
      <c r="W1458" s="2" t="str">
        <f>Tabela2[[#This Row],[Coluna6]]</f>
        <v>17/10/2025</v>
      </c>
    </row>
    <row r="1459" spans="2:23" x14ac:dyDescent="0.2">
      <c r="B1459" t="s">
        <v>18</v>
      </c>
      <c r="C1459" t="s">
        <v>95</v>
      </c>
      <c r="D1459" t="s">
        <v>13</v>
      </c>
      <c r="E1459" s="8" t="s">
        <v>31</v>
      </c>
      <c r="F1459" t="s">
        <v>15</v>
      </c>
      <c r="G1459" s="8" t="s">
        <v>31</v>
      </c>
      <c r="H1459" t="s">
        <v>580</v>
      </c>
      <c r="I1459" t="e">
        <f>VLOOKUP(Tabela2[[#This Row],[Coluna7]],[1]!Tabela1[#All],2,0)</f>
        <v>#REF!</v>
      </c>
      <c r="J1459" t="s">
        <v>549</v>
      </c>
      <c r="L1459">
        <v>565.77</v>
      </c>
      <c r="Q1459" s="10" t="str">
        <f>Tabela2[[#This Row],[Coluna5]]</f>
        <v>10/2025</v>
      </c>
      <c r="R1459" s="10" t="str">
        <f>IF(Tabela2[[#This Row],[Coluna9]]&gt;0,"Entrada","Saída")</f>
        <v>Saída</v>
      </c>
      <c r="S1459" s="10" t="str">
        <f>Tabela2[[#This Row],[Coluna8]]</f>
        <v>LINDA - MARIA DAS GRAÇAS FORTUNATO CALIXTO</v>
      </c>
      <c r="T1459" s="10" t="e">
        <f>Tabela2[[#This Row],[Coluna72]]</f>
        <v>#REF!</v>
      </c>
      <c r="U1459" s="10">
        <f>SUM(Tabela2[[#This Row],[Coluna9]],Tabela2[[#This Row],[Coluna10]])</f>
        <v>565.77</v>
      </c>
      <c r="V1459" s="2" t="str">
        <f>Tabela2[[#This Row],[Coluna4]]</f>
        <v>17/10/2025</v>
      </c>
      <c r="W1459" s="2" t="str">
        <f>Tabela2[[#This Row],[Coluna6]]</f>
        <v>17/10/2025</v>
      </c>
    </row>
    <row r="1460" spans="2:23" x14ac:dyDescent="0.2">
      <c r="B1460" t="s">
        <v>18</v>
      </c>
      <c r="C1460" t="s">
        <v>95</v>
      </c>
      <c r="D1460" t="s">
        <v>13</v>
      </c>
      <c r="E1460" s="8" t="s">
        <v>457</v>
      </c>
      <c r="F1460" t="s">
        <v>15</v>
      </c>
      <c r="G1460" s="8" t="s">
        <v>457</v>
      </c>
      <c r="H1460" t="s">
        <v>546</v>
      </c>
      <c r="I1460" t="e">
        <f>VLOOKUP(Tabela2[[#This Row],[Coluna7]],[1]!Tabela1[#All],2,0)</f>
        <v>#REF!</v>
      </c>
      <c r="J1460" t="s">
        <v>584</v>
      </c>
      <c r="L1460">
        <v>600</v>
      </c>
      <c r="Q1460" s="10" t="str">
        <f>Tabela2[[#This Row],[Coluna5]]</f>
        <v>10/2025</v>
      </c>
      <c r="R1460" s="10" t="str">
        <f>IF(Tabela2[[#This Row],[Coluna9]]&gt;0,"Entrada","Saída")</f>
        <v>Saída</v>
      </c>
      <c r="S1460" s="10" t="str">
        <f>Tabela2[[#This Row],[Coluna8]]</f>
        <v>ELIEL ANTONIO DA SILVA</v>
      </c>
      <c r="T1460" s="10" t="e">
        <f>Tabela2[[#This Row],[Coluna72]]</f>
        <v>#REF!</v>
      </c>
      <c r="U1460" s="10">
        <f>SUM(Tabela2[[#This Row],[Coluna9]],Tabela2[[#This Row],[Coluna10]])</f>
        <v>600</v>
      </c>
      <c r="V1460" s="2" t="str">
        <f>Tabela2[[#This Row],[Coluna4]]</f>
        <v>18/10/2025</v>
      </c>
      <c r="W1460" s="2" t="str">
        <f>Tabela2[[#This Row],[Coluna6]]</f>
        <v>18/10/2025</v>
      </c>
    </row>
    <row r="1461" spans="2:23" x14ac:dyDescent="0.2">
      <c r="B1461" t="s">
        <v>18</v>
      </c>
      <c r="C1461" t="s">
        <v>95</v>
      </c>
      <c r="D1461" t="s">
        <v>13</v>
      </c>
      <c r="E1461" s="8" t="s">
        <v>457</v>
      </c>
      <c r="F1461" t="s">
        <v>15</v>
      </c>
      <c r="G1461" s="8" t="s">
        <v>457</v>
      </c>
      <c r="H1461" t="s">
        <v>538</v>
      </c>
      <c r="I1461" t="e">
        <f>VLOOKUP(Tabela2[[#This Row],[Coluna7]],[1]!Tabela1[#All],2,0)</f>
        <v>#REF!</v>
      </c>
      <c r="J1461" t="s">
        <v>585</v>
      </c>
      <c r="L1461">
        <v>120</v>
      </c>
      <c r="Q1461" s="10" t="str">
        <f>Tabela2[[#This Row],[Coluna5]]</f>
        <v>10/2025</v>
      </c>
      <c r="R1461" s="10" t="str">
        <f>IF(Tabela2[[#This Row],[Coluna9]]&gt;0,"Entrada","Saída")</f>
        <v>Saída</v>
      </c>
      <c r="S1461" s="10" t="str">
        <f>Tabela2[[#This Row],[Coluna8]]</f>
        <v>JOSE ROBERTO FLORENCIO</v>
      </c>
      <c r="T1461" s="10" t="e">
        <f>Tabela2[[#This Row],[Coluna72]]</f>
        <v>#REF!</v>
      </c>
      <c r="U1461" s="10">
        <f>SUM(Tabela2[[#This Row],[Coluna9]],Tabela2[[#This Row],[Coluna10]])</f>
        <v>120</v>
      </c>
      <c r="V1461" s="2" t="str">
        <f>Tabela2[[#This Row],[Coluna4]]</f>
        <v>18/10/2025</v>
      </c>
      <c r="W1461" s="2" t="str">
        <f>Tabela2[[#This Row],[Coluna6]]</f>
        <v>18/10/2025</v>
      </c>
    </row>
    <row r="1462" spans="2:23" x14ac:dyDescent="0.2">
      <c r="B1462" t="s">
        <v>12</v>
      </c>
      <c r="C1462" t="s">
        <v>95</v>
      </c>
      <c r="D1462" t="s">
        <v>13</v>
      </c>
      <c r="E1462" s="8" t="s">
        <v>586</v>
      </c>
      <c r="F1462" t="s">
        <v>15</v>
      </c>
      <c r="G1462" s="8" t="s">
        <v>586</v>
      </c>
      <c r="H1462" t="s">
        <v>538</v>
      </c>
      <c r="I1462" t="e">
        <f>VLOOKUP(Tabela2[[#This Row],[Coluna7]],[1]!Tabela1[#All],2,0)</f>
        <v>#REF!</v>
      </c>
      <c r="J1462" t="s">
        <v>587</v>
      </c>
      <c r="L1462">
        <v>36.78</v>
      </c>
      <c r="Q1462" s="10" t="str">
        <f>Tabela2[[#This Row],[Coluna5]]</f>
        <v>10/2025</v>
      </c>
      <c r="R1462" s="10" t="str">
        <f>IF(Tabela2[[#This Row],[Coluna9]]&gt;0,"Entrada","Saída")</f>
        <v>Saída</v>
      </c>
      <c r="S1462" s="10" t="str">
        <f>Tabela2[[#This Row],[Coluna8]]</f>
        <v>FARMÁRCIA</v>
      </c>
      <c r="T1462" s="10" t="e">
        <f>Tabela2[[#This Row],[Coluna72]]</f>
        <v>#REF!</v>
      </c>
      <c r="U1462" s="10">
        <f>SUM(Tabela2[[#This Row],[Coluna9]],Tabela2[[#This Row],[Coluna10]])</f>
        <v>36.78</v>
      </c>
      <c r="V1462" s="2" t="str">
        <f>Tabela2[[#This Row],[Coluna4]]</f>
        <v>19/10/2025</v>
      </c>
      <c r="W1462" s="2" t="str">
        <f>Tabela2[[#This Row],[Coluna6]]</f>
        <v>19/10/2025</v>
      </c>
    </row>
    <row r="1463" spans="2:23" x14ac:dyDescent="0.2">
      <c r="B1463" t="s">
        <v>18</v>
      </c>
      <c r="C1463" t="s">
        <v>95</v>
      </c>
      <c r="D1463" t="s">
        <v>13</v>
      </c>
      <c r="E1463" s="8" t="s">
        <v>191</v>
      </c>
      <c r="F1463" t="s">
        <v>15</v>
      </c>
      <c r="G1463" s="8" t="s">
        <v>191</v>
      </c>
      <c r="H1463" t="s">
        <v>570</v>
      </c>
      <c r="I1463" t="e">
        <f>VLOOKUP(Tabela2[[#This Row],[Coluna7]],[1]!Tabela1[#All],2,0)</f>
        <v>#REF!</v>
      </c>
      <c r="L1463">
        <v>101</v>
      </c>
      <c r="Q1463" s="10" t="str">
        <f>Tabela2[[#This Row],[Coluna5]]</f>
        <v>10/2025</v>
      </c>
      <c r="R1463" s="10" t="str">
        <f>IF(Tabela2[[#This Row],[Coluna9]]&gt;0,"Entrada","Saída")</f>
        <v>Saída</v>
      </c>
      <c r="S1463" s="10">
        <f>Tabela2[[#This Row],[Coluna8]]</f>
        <v>0</v>
      </c>
      <c r="T1463" s="10" t="e">
        <f>Tabela2[[#This Row],[Coluna72]]</f>
        <v>#REF!</v>
      </c>
      <c r="U1463" s="10">
        <f>SUM(Tabela2[[#This Row],[Coluna9]],Tabela2[[#This Row],[Coluna10]])</f>
        <v>101</v>
      </c>
      <c r="V1463" s="2" t="str">
        <f>Tabela2[[#This Row],[Coluna4]]</f>
        <v>21/10/2025</v>
      </c>
      <c r="W1463" s="2" t="str">
        <f>Tabela2[[#This Row],[Coluna6]]</f>
        <v>21/10/2025</v>
      </c>
    </row>
    <row r="1464" spans="2:23" x14ac:dyDescent="0.2">
      <c r="B1464" t="s">
        <v>18</v>
      </c>
      <c r="C1464" t="s">
        <v>95</v>
      </c>
      <c r="D1464" t="s">
        <v>13</v>
      </c>
      <c r="E1464" s="8" t="s">
        <v>191</v>
      </c>
      <c r="F1464" t="s">
        <v>15</v>
      </c>
      <c r="G1464" s="8" t="s">
        <v>191</v>
      </c>
      <c r="H1464" t="s">
        <v>443</v>
      </c>
      <c r="I1464" t="e">
        <f>VLOOKUP(Tabela2[[#This Row],[Coluna7]],[1]!Tabela1[#All],2,0)</f>
        <v>#REF!</v>
      </c>
      <c r="J1464" t="s">
        <v>550</v>
      </c>
      <c r="L1464">
        <v>11</v>
      </c>
      <c r="Q1464" s="10" t="str">
        <f>Tabela2[[#This Row],[Coluna5]]</f>
        <v>10/2025</v>
      </c>
      <c r="R1464" s="10" t="str">
        <f>IF(Tabela2[[#This Row],[Coluna9]]&gt;0,"Entrada","Saída")</f>
        <v>Saída</v>
      </c>
      <c r="S1464" s="10" t="str">
        <f>Tabela2[[#This Row],[Coluna8]]</f>
        <v>ALMOÇO THIAGO</v>
      </c>
      <c r="T1464" s="10" t="e">
        <f>Tabela2[[#This Row],[Coluna72]]</f>
        <v>#REF!</v>
      </c>
      <c r="U1464" s="10">
        <f>SUM(Tabela2[[#This Row],[Coluna9]],Tabela2[[#This Row],[Coluna10]])</f>
        <v>11</v>
      </c>
      <c r="V1464" s="2" t="str">
        <f>Tabela2[[#This Row],[Coluna4]]</f>
        <v>21/10/2025</v>
      </c>
      <c r="W1464" s="2" t="str">
        <f>Tabela2[[#This Row],[Coluna6]]</f>
        <v>21/10/2025</v>
      </c>
    </row>
    <row r="1465" spans="2:23" x14ac:dyDescent="0.2">
      <c r="B1465" t="s">
        <v>18</v>
      </c>
      <c r="C1465" t="s">
        <v>95</v>
      </c>
      <c r="D1465" t="s">
        <v>13</v>
      </c>
      <c r="E1465" s="8" t="s">
        <v>191</v>
      </c>
      <c r="F1465" t="s">
        <v>15</v>
      </c>
      <c r="G1465" s="8" t="s">
        <v>191</v>
      </c>
      <c r="H1465" t="s">
        <v>580</v>
      </c>
      <c r="I1465" t="e">
        <f>VLOOKUP(Tabela2[[#This Row],[Coluna7]],[1]!Tabela1[#All],2,0)</f>
        <v>#REF!</v>
      </c>
      <c r="J1465" t="s">
        <v>588</v>
      </c>
      <c r="L1465">
        <v>2925.7</v>
      </c>
      <c r="Q1465" s="10" t="str">
        <f>Tabela2[[#This Row],[Coluna5]]</f>
        <v>10/2025</v>
      </c>
      <c r="R1465" s="10" t="str">
        <f>IF(Tabela2[[#This Row],[Coluna9]]&gt;0,"Entrada","Saída")</f>
        <v>Saída</v>
      </c>
      <c r="S1465" s="10" t="str">
        <f>Tabela2[[#This Row],[Coluna8]]</f>
        <v>CRISTINA - ANA CRISTINA COSME</v>
      </c>
      <c r="T1465" s="10" t="e">
        <f>Tabela2[[#This Row],[Coluna72]]</f>
        <v>#REF!</v>
      </c>
      <c r="U1465" s="10">
        <f>SUM(Tabela2[[#This Row],[Coluna9]],Tabela2[[#This Row],[Coluna10]])</f>
        <v>2925.7</v>
      </c>
      <c r="V1465" s="2" t="str">
        <f>Tabela2[[#This Row],[Coluna4]]</f>
        <v>21/10/2025</v>
      </c>
      <c r="W1465" s="2" t="str">
        <f>Tabela2[[#This Row],[Coluna6]]</f>
        <v>21/10/2025</v>
      </c>
    </row>
    <row r="1466" spans="2:23" x14ac:dyDescent="0.2">
      <c r="B1466" t="s">
        <v>18</v>
      </c>
      <c r="C1466" t="s">
        <v>95</v>
      </c>
      <c r="D1466" t="s">
        <v>13</v>
      </c>
      <c r="E1466" s="8" t="s">
        <v>191</v>
      </c>
      <c r="F1466" t="s">
        <v>15</v>
      </c>
      <c r="G1466" s="8" t="s">
        <v>191</v>
      </c>
      <c r="H1466" t="s">
        <v>561</v>
      </c>
      <c r="I1466" t="e">
        <f>VLOOKUP(Tabela2[[#This Row],[Coluna7]],[1]!Tabela1[#All],2,0)</f>
        <v>#REF!</v>
      </c>
      <c r="L1466">
        <v>220</v>
      </c>
      <c r="Q1466" s="10" t="str">
        <f>Tabela2[[#This Row],[Coluna5]]</f>
        <v>10/2025</v>
      </c>
      <c r="R1466" s="10" t="str">
        <f>IF(Tabela2[[#This Row],[Coluna9]]&gt;0,"Entrada","Saída")</f>
        <v>Saída</v>
      </c>
      <c r="S1466" s="10">
        <f>Tabela2[[#This Row],[Coluna8]]</f>
        <v>0</v>
      </c>
      <c r="T1466" s="10" t="e">
        <f>Tabela2[[#This Row],[Coluna72]]</f>
        <v>#REF!</v>
      </c>
      <c r="U1466" s="10">
        <f>SUM(Tabela2[[#This Row],[Coluna9]],Tabela2[[#This Row],[Coluna10]])</f>
        <v>220</v>
      </c>
      <c r="V1466" s="2" t="str">
        <f>Tabela2[[#This Row],[Coluna4]]</f>
        <v>21/10/2025</v>
      </c>
      <c r="W1466" s="2" t="str">
        <f>Tabela2[[#This Row],[Coluna6]]</f>
        <v>21/10/2025</v>
      </c>
    </row>
    <row r="1467" spans="2:23" x14ac:dyDescent="0.2">
      <c r="B1467" t="s">
        <v>18</v>
      </c>
      <c r="C1467" t="s">
        <v>95</v>
      </c>
      <c r="D1467" t="s">
        <v>13</v>
      </c>
      <c r="E1467" s="8" t="s">
        <v>190</v>
      </c>
      <c r="F1467" t="s">
        <v>15</v>
      </c>
      <c r="G1467" s="8" t="s">
        <v>190</v>
      </c>
      <c r="H1467" t="s">
        <v>535</v>
      </c>
      <c r="I1467" t="e">
        <f>VLOOKUP(Tabela2[[#This Row],[Coluna7]],[1]!Tabela1[#All],2,0)</f>
        <v>#REF!</v>
      </c>
      <c r="J1467" t="s">
        <v>579</v>
      </c>
      <c r="L1467">
        <v>110</v>
      </c>
      <c r="Q1467" s="10" t="str">
        <f>Tabela2[[#This Row],[Coluna5]]</f>
        <v>10/2025</v>
      </c>
      <c r="R1467" s="10" t="str">
        <f>IF(Tabela2[[#This Row],[Coluna9]]&gt;0,"Entrada","Saída")</f>
        <v>Saída</v>
      </c>
      <c r="S1467" s="10" t="str">
        <f>Tabela2[[#This Row],[Coluna8]]</f>
        <v>COMPRAS</v>
      </c>
      <c r="T1467" s="10" t="e">
        <f>Tabela2[[#This Row],[Coluna72]]</f>
        <v>#REF!</v>
      </c>
      <c r="U1467" s="10">
        <f>SUM(Tabela2[[#This Row],[Coluna9]],Tabela2[[#This Row],[Coluna10]])</f>
        <v>110</v>
      </c>
      <c r="V1467" s="2" t="str">
        <f>Tabela2[[#This Row],[Coluna4]]</f>
        <v>22/10/2025</v>
      </c>
      <c r="W1467" s="2" t="str">
        <f>Tabela2[[#This Row],[Coluna6]]</f>
        <v>22/10/2025</v>
      </c>
    </row>
    <row r="1468" spans="2:23" x14ac:dyDescent="0.2">
      <c r="B1468" t="s">
        <v>18</v>
      </c>
      <c r="C1468" t="s">
        <v>95</v>
      </c>
      <c r="D1468" t="s">
        <v>13</v>
      </c>
      <c r="E1468" s="8" t="s">
        <v>391</v>
      </c>
      <c r="F1468" t="s">
        <v>15</v>
      </c>
      <c r="G1468" s="8" t="s">
        <v>391</v>
      </c>
      <c r="H1468" t="s">
        <v>538</v>
      </c>
      <c r="I1468" t="e">
        <f>VLOOKUP(Tabela2[[#This Row],[Coluna7]],[1]!Tabela1[#All],2,0)</f>
        <v>#REF!</v>
      </c>
      <c r="J1468" t="s">
        <v>589</v>
      </c>
      <c r="L1468">
        <v>30</v>
      </c>
      <c r="Q1468" s="10" t="str">
        <f>Tabela2[[#This Row],[Coluna5]]</f>
        <v>10/2025</v>
      </c>
      <c r="R1468" s="10" t="str">
        <f>IF(Tabela2[[#This Row],[Coluna9]]&gt;0,"Entrada","Saída")</f>
        <v>Saída</v>
      </c>
      <c r="S1468" s="10" t="str">
        <f>Tabela2[[#This Row],[Coluna8]]</f>
        <v>COMPRAS ALISSON</v>
      </c>
      <c r="T1468" s="10" t="e">
        <f>Tabela2[[#This Row],[Coluna72]]</f>
        <v>#REF!</v>
      </c>
      <c r="U1468" s="10">
        <f>SUM(Tabela2[[#This Row],[Coluna9]],Tabela2[[#This Row],[Coluna10]])</f>
        <v>30</v>
      </c>
      <c r="V1468" s="2" t="str">
        <f>Tabela2[[#This Row],[Coluna4]]</f>
        <v>23/10/2025</v>
      </c>
      <c r="W1468" s="2" t="str">
        <f>Tabela2[[#This Row],[Coluna6]]</f>
        <v>23/10/2025</v>
      </c>
    </row>
    <row r="1469" spans="2:23" x14ac:dyDescent="0.2">
      <c r="B1469" t="s">
        <v>18</v>
      </c>
      <c r="C1469" t="s">
        <v>95</v>
      </c>
      <c r="D1469" t="s">
        <v>13</v>
      </c>
      <c r="E1469" s="8" t="s">
        <v>391</v>
      </c>
      <c r="F1469" t="s">
        <v>15</v>
      </c>
      <c r="G1469" s="8" t="s">
        <v>391</v>
      </c>
      <c r="H1469" t="s">
        <v>570</v>
      </c>
      <c r="I1469" t="e">
        <f>VLOOKUP(Tabela2[[#This Row],[Coluna7]],[1]!Tabela1[#All],2,0)</f>
        <v>#REF!</v>
      </c>
      <c r="L1469">
        <v>9</v>
      </c>
      <c r="Q1469" s="10" t="str">
        <f>Tabela2[[#This Row],[Coluna5]]</f>
        <v>10/2025</v>
      </c>
      <c r="R1469" s="10" t="str">
        <f>IF(Tabela2[[#This Row],[Coluna9]]&gt;0,"Entrada","Saída")</f>
        <v>Saída</v>
      </c>
      <c r="S1469" s="10">
        <f>Tabela2[[#This Row],[Coluna8]]</f>
        <v>0</v>
      </c>
      <c r="T1469" s="10" t="e">
        <f>Tabela2[[#This Row],[Coluna72]]</f>
        <v>#REF!</v>
      </c>
      <c r="U1469" s="10">
        <f>SUM(Tabela2[[#This Row],[Coluna9]],Tabela2[[#This Row],[Coluna10]])</f>
        <v>9</v>
      </c>
      <c r="V1469" s="2" t="str">
        <f>Tabela2[[#This Row],[Coluna4]]</f>
        <v>23/10/2025</v>
      </c>
      <c r="W1469" s="2" t="str">
        <f>Tabela2[[#This Row],[Coluna6]]</f>
        <v>23/10/2025</v>
      </c>
    </row>
    <row r="1470" spans="2:23" x14ac:dyDescent="0.2">
      <c r="B1470" t="s">
        <v>18</v>
      </c>
      <c r="C1470" t="s">
        <v>95</v>
      </c>
      <c r="D1470" t="s">
        <v>13</v>
      </c>
      <c r="E1470" s="8" t="s">
        <v>197</v>
      </c>
      <c r="F1470" t="s">
        <v>15</v>
      </c>
      <c r="G1470" s="8" t="s">
        <v>197</v>
      </c>
      <c r="H1470" t="s">
        <v>546</v>
      </c>
      <c r="I1470" t="e">
        <f>VLOOKUP(Tabela2[[#This Row],[Coluna7]],[1]!Tabela1[#All],2,0)</f>
        <v>#REF!</v>
      </c>
      <c r="J1470" t="s">
        <v>568</v>
      </c>
      <c r="L1470">
        <v>600</v>
      </c>
      <c r="Q1470" s="10" t="str">
        <f>Tabela2[[#This Row],[Coluna5]]</f>
        <v>10/2025</v>
      </c>
      <c r="R1470" s="10" t="str">
        <f>IF(Tabela2[[#This Row],[Coluna9]]&gt;0,"Entrada","Saída")</f>
        <v>Saída</v>
      </c>
      <c r="S1470" s="10" t="str">
        <f>Tabela2[[#This Row],[Coluna8]]</f>
        <v>ELIEL ANTONIO</v>
      </c>
      <c r="T1470" s="10" t="e">
        <f>Tabela2[[#This Row],[Coluna72]]</f>
        <v>#REF!</v>
      </c>
      <c r="U1470" s="10">
        <f>SUM(Tabela2[[#This Row],[Coluna9]],Tabela2[[#This Row],[Coluna10]])</f>
        <v>600</v>
      </c>
      <c r="V1470" s="2" t="str">
        <f>Tabela2[[#This Row],[Coluna4]]</f>
        <v>25/10/2025</v>
      </c>
      <c r="W1470" s="2" t="str">
        <f>Tabela2[[#This Row],[Coluna6]]</f>
        <v>25/10/2025</v>
      </c>
    </row>
    <row r="1471" spans="2:23" x14ac:dyDescent="0.2">
      <c r="B1471" t="s">
        <v>18</v>
      </c>
      <c r="C1471" t="s">
        <v>95</v>
      </c>
      <c r="D1471" t="s">
        <v>13</v>
      </c>
      <c r="E1471" s="8" t="s">
        <v>590</v>
      </c>
      <c r="F1471" t="s">
        <v>15</v>
      </c>
      <c r="G1471" s="8" t="s">
        <v>590</v>
      </c>
      <c r="H1471" t="s">
        <v>546</v>
      </c>
      <c r="I1471" t="e">
        <f>VLOOKUP(Tabela2[[#This Row],[Coluna7]],[1]!Tabela1[#All],2,0)</f>
        <v>#REF!</v>
      </c>
      <c r="J1471" t="s">
        <v>381</v>
      </c>
      <c r="L1471">
        <v>300</v>
      </c>
      <c r="Q1471" s="10" t="str">
        <f>Tabela2[[#This Row],[Coluna5]]</f>
        <v>10/2025</v>
      </c>
      <c r="R1471" s="10" t="str">
        <f>IF(Tabela2[[#This Row],[Coluna9]]&gt;0,"Entrada","Saída")</f>
        <v>Saída</v>
      </c>
      <c r="S1471" s="10" t="str">
        <f>Tabela2[[#This Row],[Coluna8]]</f>
        <v>ALISSON DA SILVA SANTOS</v>
      </c>
      <c r="T1471" s="10" t="e">
        <f>Tabela2[[#This Row],[Coluna72]]</f>
        <v>#REF!</v>
      </c>
      <c r="U1471" s="10">
        <f>SUM(Tabela2[[#This Row],[Coluna9]],Tabela2[[#This Row],[Coluna10]])</f>
        <v>300</v>
      </c>
      <c r="V1471" s="2" t="str">
        <f>Tabela2[[#This Row],[Coluna4]]</f>
        <v>26/10/2025</v>
      </c>
      <c r="W1471" s="2" t="str">
        <f>Tabela2[[#This Row],[Coluna6]]</f>
        <v>26/10/2025</v>
      </c>
    </row>
    <row r="1472" spans="2:23" x14ac:dyDescent="0.2">
      <c r="B1472" t="s">
        <v>18</v>
      </c>
      <c r="C1472" t="s">
        <v>95</v>
      </c>
      <c r="D1472" t="s">
        <v>13</v>
      </c>
      <c r="E1472" s="8" t="s">
        <v>590</v>
      </c>
      <c r="F1472" t="s">
        <v>15</v>
      </c>
      <c r="G1472" s="8" t="s">
        <v>590</v>
      </c>
      <c r="H1472" t="s">
        <v>542</v>
      </c>
      <c r="I1472" t="e">
        <f>VLOOKUP(Tabela2[[#This Row],[Coluna7]],[1]!Tabela1[#All],2,0)</f>
        <v>#REF!</v>
      </c>
      <c r="J1472" t="s">
        <v>591</v>
      </c>
      <c r="L1472">
        <v>250</v>
      </c>
      <c r="Q1472" s="10" t="str">
        <f>Tabela2[[#This Row],[Coluna5]]</f>
        <v>10/2025</v>
      </c>
      <c r="R1472" s="10" t="str">
        <f>IF(Tabela2[[#This Row],[Coluna9]]&gt;0,"Entrada","Saída")</f>
        <v>Saída</v>
      </c>
      <c r="S1472" s="10" t="str">
        <f>Tabela2[[#This Row],[Coluna8]]</f>
        <v>JÓ - JOSENILDA PONCIANO</v>
      </c>
      <c r="T1472" s="10" t="e">
        <f>Tabela2[[#This Row],[Coluna72]]</f>
        <v>#REF!</v>
      </c>
      <c r="U1472" s="10">
        <f>SUM(Tabela2[[#This Row],[Coluna9]],Tabela2[[#This Row],[Coluna10]])</f>
        <v>250</v>
      </c>
      <c r="V1472" s="2" t="str">
        <f>Tabela2[[#This Row],[Coluna4]]</f>
        <v>26/10/2025</v>
      </c>
      <c r="W1472" s="2" t="str">
        <f>Tabela2[[#This Row],[Coluna6]]</f>
        <v>26/10/2025</v>
      </c>
    </row>
    <row r="1473" spans="2:23" x14ac:dyDescent="0.2">
      <c r="B1473" t="s">
        <v>18</v>
      </c>
      <c r="C1473" t="s">
        <v>95</v>
      </c>
      <c r="D1473" t="s">
        <v>13</v>
      </c>
      <c r="E1473" s="8" t="s">
        <v>38</v>
      </c>
      <c r="F1473" t="s">
        <v>15</v>
      </c>
      <c r="G1473" s="8" t="s">
        <v>38</v>
      </c>
      <c r="H1473" t="s">
        <v>443</v>
      </c>
      <c r="I1473" t="e">
        <f>VLOOKUP(Tabela2[[#This Row],[Coluna7]],[1]!Tabela1[#All],2,0)</f>
        <v>#REF!</v>
      </c>
      <c r="J1473" t="s">
        <v>550</v>
      </c>
      <c r="L1473">
        <v>22</v>
      </c>
      <c r="Q1473" s="10" t="str">
        <f>Tabela2[[#This Row],[Coluna5]]</f>
        <v>10/2025</v>
      </c>
      <c r="R1473" s="10" t="str">
        <f>IF(Tabela2[[#This Row],[Coluna9]]&gt;0,"Entrada","Saída")</f>
        <v>Saída</v>
      </c>
      <c r="S1473" s="10" t="str">
        <f>Tabela2[[#This Row],[Coluna8]]</f>
        <v>ALMOÇO THIAGO</v>
      </c>
      <c r="T1473" s="10" t="e">
        <f>Tabela2[[#This Row],[Coluna72]]</f>
        <v>#REF!</v>
      </c>
      <c r="U1473" s="10">
        <f>SUM(Tabela2[[#This Row],[Coluna9]],Tabela2[[#This Row],[Coluna10]])</f>
        <v>22</v>
      </c>
      <c r="V1473" s="2" t="str">
        <f>Tabela2[[#This Row],[Coluna4]]</f>
        <v>27/10/2025</v>
      </c>
      <c r="W1473" s="2" t="str">
        <f>Tabela2[[#This Row],[Coluna6]]</f>
        <v>27/10/2025</v>
      </c>
    </row>
    <row r="1474" spans="2:23" x14ac:dyDescent="0.2">
      <c r="B1474" t="s">
        <v>18</v>
      </c>
      <c r="C1474" t="s">
        <v>95</v>
      </c>
      <c r="D1474" t="s">
        <v>13</v>
      </c>
      <c r="E1474" s="8" t="s">
        <v>201</v>
      </c>
      <c r="F1474" t="s">
        <v>15</v>
      </c>
      <c r="G1474" s="8" t="s">
        <v>201</v>
      </c>
      <c r="H1474" t="s">
        <v>546</v>
      </c>
      <c r="I1474" t="e">
        <f>VLOOKUP(Tabela2[[#This Row],[Coluna7]],[1]!Tabela1[#All],2,0)</f>
        <v>#REF!</v>
      </c>
      <c r="J1474" t="s">
        <v>592</v>
      </c>
      <c r="L1474">
        <v>80</v>
      </c>
      <c r="Q1474" s="10" t="str">
        <f>Tabela2[[#This Row],[Coluna5]]</f>
        <v>10/2025</v>
      </c>
      <c r="R1474" s="10" t="str">
        <f>IF(Tabela2[[#This Row],[Coluna9]]&gt;0,"Entrada","Saída")</f>
        <v>Saída</v>
      </c>
      <c r="S1474" s="10" t="str">
        <f>Tabela2[[#This Row],[Coluna8]]</f>
        <v>NILSON BATISTA - LIMPEZA CALÇADA</v>
      </c>
      <c r="T1474" s="10" t="e">
        <f>Tabela2[[#This Row],[Coluna72]]</f>
        <v>#REF!</v>
      </c>
      <c r="U1474" s="10">
        <f>SUM(Tabela2[[#This Row],[Coluna9]],Tabela2[[#This Row],[Coluna10]])</f>
        <v>80</v>
      </c>
      <c r="V1474" s="2" t="str">
        <f>Tabela2[[#This Row],[Coluna4]]</f>
        <v>28/10/2025</v>
      </c>
      <c r="W1474" s="2" t="str">
        <f>Tabela2[[#This Row],[Coluna6]]</f>
        <v>28/10/2025</v>
      </c>
    </row>
    <row r="1475" spans="2:23" x14ac:dyDescent="0.2">
      <c r="B1475" t="s">
        <v>18</v>
      </c>
      <c r="C1475" t="s">
        <v>95</v>
      </c>
      <c r="D1475" t="s">
        <v>13</v>
      </c>
      <c r="E1475" s="8" t="s">
        <v>127</v>
      </c>
      <c r="F1475" t="s">
        <v>42</v>
      </c>
      <c r="G1475" s="8" t="s">
        <v>127</v>
      </c>
      <c r="H1475" t="s">
        <v>593</v>
      </c>
      <c r="I1475" t="e">
        <f>VLOOKUP(Tabela2[[#This Row],[Coluna7]],[1]!Tabela1[#All],2,0)</f>
        <v>#REF!</v>
      </c>
      <c r="J1475" t="s">
        <v>594</v>
      </c>
      <c r="L1475">
        <v>3000</v>
      </c>
      <c r="Q1475" s="10" t="str">
        <f>Tabela2[[#This Row],[Coluna5]]</f>
        <v>11/2025</v>
      </c>
      <c r="R1475" s="10" t="str">
        <f>IF(Tabela2[[#This Row],[Coluna9]]&gt;0,"Entrada","Saída")</f>
        <v>Saída</v>
      </c>
      <c r="S1475" s="10" t="str">
        <f>Tabela2[[#This Row],[Coluna8]]</f>
        <v>EMPRESTIMO DE THIAGO PARA ELIETE NASCIMENTO DE OLIVEIRA</v>
      </c>
      <c r="T1475" s="10" t="e">
        <f>Tabela2[[#This Row],[Coluna72]]</f>
        <v>#REF!</v>
      </c>
      <c r="U1475" s="10">
        <f>SUM(Tabela2[[#This Row],[Coluna9]],Tabela2[[#This Row],[Coluna10]])</f>
        <v>3000</v>
      </c>
      <c r="V1475" s="2" t="str">
        <f>Tabela2[[#This Row],[Coluna4]]</f>
        <v>29/10/2025</v>
      </c>
      <c r="W1475" s="2" t="str">
        <f>Tabela2[[#This Row],[Coluna6]]</f>
        <v>29/10/2025</v>
      </c>
    </row>
    <row r="1476" spans="2:23" x14ac:dyDescent="0.2">
      <c r="B1476" t="s">
        <v>18</v>
      </c>
      <c r="C1476" t="s">
        <v>95</v>
      </c>
      <c r="D1476" t="s">
        <v>13</v>
      </c>
      <c r="E1476" s="8" t="s">
        <v>127</v>
      </c>
      <c r="F1476" t="s">
        <v>42</v>
      </c>
      <c r="G1476" s="8" t="s">
        <v>127</v>
      </c>
      <c r="H1476" t="s">
        <v>443</v>
      </c>
      <c r="I1476" t="e">
        <f>VLOOKUP(Tabela2[[#This Row],[Coluna7]],[1]!Tabela1[#All],2,0)</f>
        <v>#REF!</v>
      </c>
      <c r="J1476" t="s">
        <v>454</v>
      </c>
      <c r="L1476">
        <v>20</v>
      </c>
      <c r="Q1476" s="10" t="str">
        <f>Tabela2[[#This Row],[Coluna5]]</f>
        <v>11/2025</v>
      </c>
      <c r="R1476" s="10" t="str">
        <f>IF(Tabela2[[#This Row],[Coluna9]]&gt;0,"Entrada","Saída")</f>
        <v>Saída</v>
      </c>
      <c r="S1476" s="10" t="str">
        <f>Tabela2[[#This Row],[Coluna8]]</f>
        <v>ALMOÇO</v>
      </c>
      <c r="T1476" s="10" t="e">
        <f>Tabela2[[#This Row],[Coluna72]]</f>
        <v>#REF!</v>
      </c>
      <c r="U1476" s="10">
        <f>SUM(Tabela2[[#This Row],[Coluna9]],Tabela2[[#This Row],[Coluna10]])</f>
        <v>20</v>
      </c>
      <c r="V1476" s="2" t="str">
        <f>Tabela2[[#This Row],[Coluna4]]</f>
        <v>29/10/2025</v>
      </c>
      <c r="W1476" s="2" t="str">
        <f>Tabela2[[#This Row],[Coluna6]]</f>
        <v>29/10/2025</v>
      </c>
    </row>
    <row r="1477" spans="2:23" x14ac:dyDescent="0.2">
      <c r="B1477" t="s">
        <v>18</v>
      </c>
      <c r="C1477" t="s">
        <v>95</v>
      </c>
      <c r="D1477" t="s">
        <v>13</v>
      </c>
      <c r="E1477" s="8" t="s">
        <v>127</v>
      </c>
      <c r="F1477" t="s">
        <v>42</v>
      </c>
      <c r="G1477" s="8" t="s">
        <v>127</v>
      </c>
      <c r="H1477" t="s">
        <v>595</v>
      </c>
      <c r="I1477" t="e">
        <f>VLOOKUP(Tabela2[[#This Row],[Coluna7]],[1]!Tabela1[#All],2,0)</f>
        <v>#REF!</v>
      </c>
      <c r="J1477" t="s">
        <v>596</v>
      </c>
      <c r="L1477">
        <v>377.4</v>
      </c>
      <c r="Q1477" s="10" t="str">
        <f>Tabela2[[#This Row],[Coluna5]]</f>
        <v>11/2025</v>
      </c>
      <c r="R1477" s="10" t="str">
        <f>IF(Tabela2[[#This Row],[Coluna9]]&gt;0,"Entrada","Saída")</f>
        <v>Saída</v>
      </c>
      <c r="S1477" s="10" t="str">
        <f>Tabela2[[#This Row],[Coluna8]]</f>
        <v>EDIMAR PINHEIRO DE SOUSA</v>
      </c>
      <c r="T1477" s="10" t="e">
        <f>Tabela2[[#This Row],[Coluna72]]</f>
        <v>#REF!</v>
      </c>
      <c r="U1477" s="10">
        <f>SUM(Tabela2[[#This Row],[Coluna9]],Tabela2[[#This Row],[Coluna10]])</f>
        <v>377.4</v>
      </c>
      <c r="V1477" s="2" t="str">
        <f>Tabela2[[#This Row],[Coluna4]]</f>
        <v>29/10/2025</v>
      </c>
      <c r="W1477" s="2" t="str">
        <f>Tabela2[[#This Row],[Coluna6]]</f>
        <v>29/10/2025</v>
      </c>
    </row>
    <row r="1478" spans="2:23" x14ac:dyDescent="0.2">
      <c r="B1478" t="s">
        <v>18</v>
      </c>
      <c r="C1478" t="s">
        <v>95</v>
      </c>
      <c r="D1478" t="s">
        <v>13</v>
      </c>
      <c r="E1478" s="8" t="s">
        <v>208</v>
      </c>
      <c r="F1478" t="s">
        <v>15</v>
      </c>
      <c r="G1478" s="8" t="s">
        <v>208</v>
      </c>
      <c r="H1478" t="s">
        <v>597</v>
      </c>
      <c r="I1478" t="e">
        <f>VLOOKUP(Tabela2[[#This Row],[Coluna7]],[1]!Tabela1[#All],2,0)</f>
        <v>#REF!</v>
      </c>
      <c r="J1478" t="s">
        <v>598</v>
      </c>
      <c r="L1478">
        <v>100</v>
      </c>
      <c r="Q1478" s="10" t="str">
        <f>Tabela2[[#This Row],[Coluna5]]</f>
        <v>10/2025</v>
      </c>
      <c r="R1478" s="10" t="str">
        <f>IF(Tabela2[[#This Row],[Coluna9]]&gt;0,"Entrada","Saída")</f>
        <v>Saída</v>
      </c>
      <c r="S1478" s="10" t="str">
        <f>Tabela2[[#This Row],[Coluna8]]</f>
        <v>MARCOS AURÉLIO OLIVEIRA DE MELO FILHO</v>
      </c>
      <c r="T1478" s="10" t="e">
        <f>Tabela2[[#This Row],[Coluna72]]</f>
        <v>#REF!</v>
      </c>
      <c r="U1478" s="10">
        <f>SUM(Tabela2[[#This Row],[Coluna9]],Tabela2[[#This Row],[Coluna10]])</f>
        <v>100</v>
      </c>
      <c r="V1478" s="2" t="str">
        <f>Tabela2[[#This Row],[Coluna4]]</f>
        <v>30/10/2025</v>
      </c>
      <c r="W1478" s="2" t="str">
        <f>Tabela2[[#This Row],[Coluna6]]</f>
        <v>30/10/2025</v>
      </c>
    </row>
    <row r="1479" spans="2:23" x14ac:dyDescent="0.2">
      <c r="B1479" t="s">
        <v>18</v>
      </c>
      <c r="C1479" t="s">
        <v>95</v>
      </c>
      <c r="D1479" t="s">
        <v>13</v>
      </c>
      <c r="E1479" s="8" t="s">
        <v>208</v>
      </c>
      <c r="F1479" t="s">
        <v>42</v>
      </c>
      <c r="G1479" s="8" t="s">
        <v>208</v>
      </c>
      <c r="H1479" t="s">
        <v>570</v>
      </c>
      <c r="I1479" t="e">
        <f>VLOOKUP(Tabela2[[#This Row],[Coluna7]],[1]!Tabela1[#All],2,0)</f>
        <v>#REF!</v>
      </c>
      <c r="L1479">
        <v>26.9</v>
      </c>
      <c r="Q1479" s="10" t="str">
        <f>Tabela2[[#This Row],[Coluna5]]</f>
        <v>11/2025</v>
      </c>
      <c r="R1479" s="10" t="str">
        <f>IF(Tabela2[[#This Row],[Coluna9]]&gt;0,"Entrada","Saída")</f>
        <v>Saída</v>
      </c>
      <c r="S1479" s="10">
        <f>Tabela2[[#This Row],[Coluna8]]</f>
        <v>0</v>
      </c>
      <c r="T1479" s="10" t="e">
        <f>Tabela2[[#This Row],[Coluna72]]</f>
        <v>#REF!</v>
      </c>
      <c r="U1479" s="10">
        <f>SUM(Tabela2[[#This Row],[Coluna9]],Tabela2[[#This Row],[Coluna10]])</f>
        <v>26.9</v>
      </c>
      <c r="V1479" s="2" t="str">
        <f>Tabela2[[#This Row],[Coluna4]]</f>
        <v>30/10/2025</v>
      </c>
      <c r="W1479" s="2" t="str">
        <f>Tabela2[[#This Row],[Coluna6]]</f>
        <v>30/10/2025</v>
      </c>
    </row>
    <row r="1480" spans="2:23" x14ac:dyDescent="0.2">
      <c r="B1480" t="s">
        <v>18</v>
      </c>
      <c r="C1480" t="s">
        <v>95</v>
      </c>
      <c r="D1480" t="s">
        <v>13</v>
      </c>
      <c r="E1480" s="8" t="s">
        <v>208</v>
      </c>
      <c r="F1480" t="s">
        <v>15</v>
      </c>
      <c r="G1480" s="8" t="s">
        <v>208</v>
      </c>
      <c r="H1480" t="s">
        <v>570</v>
      </c>
      <c r="I1480" t="e">
        <f>VLOOKUP(Tabela2[[#This Row],[Coluna7]],[1]!Tabela1[#All],2,0)</f>
        <v>#REF!</v>
      </c>
      <c r="L1480">
        <v>5</v>
      </c>
      <c r="Q1480" s="10" t="str">
        <f>Tabela2[[#This Row],[Coluna5]]</f>
        <v>10/2025</v>
      </c>
      <c r="R1480" s="10" t="str">
        <f>IF(Tabela2[[#This Row],[Coluna9]]&gt;0,"Entrada","Saída")</f>
        <v>Saída</v>
      </c>
      <c r="S1480" s="10">
        <f>Tabela2[[#This Row],[Coluna8]]</f>
        <v>0</v>
      </c>
      <c r="T1480" s="10" t="e">
        <f>Tabela2[[#This Row],[Coluna72]]</f>
        <v>#REF!</v>
      </c>
      <c r="U1480" s="10">
        <f>SUM(Tabela2[[#This Row],[Coluna9]],Tabela2[[#This Row],[Coluna10]])</f>
        <v>5</v>
      </c>
      <c r="V1480" s="2" t="str">
        <f>Tabela2[[#This Row],[Coluna4]]</f>
        <v>30/10/2025</v>
      </c>
      <c r="W1480" s="2" t="str">
        <f>Tabela2[[#This Row],[Coluna6]]</f>
        <v>30/10/2025</v>
      </c>
    </row>
    <row r="1481" spans="2:23" x14ac:dyDescent="0.2">
      <c r="B1481" t="s">
        <v>18</v>
      </c>
      <c r="C1481" t="s">
        <v>95</v>
      </c>
      <c r="D1481" t="s">
        <v>13</v>
      </c>
      <c r="E1481" s="8" t="s">
        <v>214</v>
      </c>
      <c r="F1481" t="s">
        <v>15</v>
      </c>
      <c r="G1481" s="8" t="s">
        <v>214</v>
      </c>
      <c r="H1481" t="s">
        <v>597</v>
      </c>
      <c r="I1481" t="e">
        <f>VLOOKUP(Tabela2[[#This Row],[Coluna7]],[1]!Tabela1[#All],2,0)</f>
        <v>#REF!</v>
      </c>
      <c r="J1481" t="s">
        <v>599</v>
      </c>
      <c r="L1481">
        <v>300</v>
      </c>
      <c r="Q1481" s="10" t="str">
        <f>Tabela2[[#This Row],[Coluna5]]</f>
        <v>10/2025</v>
      </c>
      <c r="R1481" s="10" t="str">
        <f>IF(Tabela2[[#This Row],[Coluna9]]&gt;0,"Entrada","Saída")</f>
        <v>Saída</v>
      </c>
      <c r="S1481" s="10" t="str">
        <f>Tabela2[[#This Row],[Coluna8]]</f>
        <v>VALDECI MARCULINO DO NASCIMENTO JUNIOR</v>
      </c>
      <c r="T1481" s="10" t="e">
        <f>Tabela2[[#This Row],[Coluna72]]</f>
        <v>#REF!</v>
      </c>
      <c r="U1481" s="10">
        <f>SUM(Tabela2[[#This Row],[Coluna9]],Tabela2[[#This Row],[Coluna10]])</f>
        <v>300</v>
      </c>
      <c r="V1481" s="2" t="str">
        <f>Tabela2[[#This Row],[Coluna4]]</f>
        <v>31/10/2025</v>
      </c>
      <c r="W1481" s="2" t="str">
        <f>Tabela2[[#This Row],[Coluna6]]</f>
        <v>31/10/2025</v>
      </c>
    </row>
    <row r="1482" spans="2:23" x14ac:dyDescent="0.2">
      <c r="B1482" t="s">
        <v>18</v>
      </c>
      <c r="C1482" t="s">
        <v>95</v>
      </c>
      <c r="D1482" t="s">
        <v>13</v>
      </c>
      <c r="E1482" s="8" t="s">
        <v>214</v>
      </c>
      <c r="F1482" t="s">
        <v>15</v>
      </c>
      <c r="G1482" s="8" t="s">
        <v>41</v>
      </c>
      <c r="H1482" t="s">
        <v>600</v>
      </c>
      <c r="I1482" t="e">
        <f>VLOOKUP(Tabela2[[#This Row],[Coluna7]],[1]!Tabela1[#All],2,0)</f>
        <v>#REF!</v>
      </c>
      <c r="J1482" t="s">
        <v>601</v>
      </c>
      <c r="L1482">
        <v>250</v>
      </c>
      <c r="Q1482" s="10" t="str">
        <f>Tabela2[[#This Row],[Coluna5]]</f>
        <v>10/2025</v>
      </c>
      <c r="R1482" s="10" t="str">
        <f>IF(Tabela2[[#This Row],[Coluna9]]&gt;0,"Entrada","Saída")</f>
        <v>Saída</v>
      </c>
      <c r="S1482" s="10" t="str">
        <f>Tabela2[[#This Row],[Coluna8]]</f>
        <v>FALCÃO</v>
      </c>
      <c r="T1482" s="10" t="e">
        <f>Tabela2[[#This Row],[Coluna72]]</f>
        <v>#REF!</v>
      </c>
      <c r="U1482" s="10">
        <f>SUM(Tabela2[[#This Row],[Coluna9]],Tabela2[[#This Row],[Coluna10]])</f>
        <v>250</v>
      </c>
      <c r="V1482" s="2" t="str">
        <f>Tabela2[[#This Row],[Coluna4]]</f>
        <v>31/10/2025</v>
      </c>
      <c r="W1482" s="2" t="str">
        <f>Tabela2[[#This Row],[Coluna6]]</f>
        <v>04/11/2025</v>
      </c>
    </row>
    <row r="1483" spans="2:23" x14ac:dyDescent="0.2">
      <c r="B1483" t="s">
        <v>12</v>
      </c>
      <c r="C1483" t="s">
        <v>95</v>
      </c>
      <c r="D1483" t="s">
        <v>13</v>
      </c>
      <c r="E1483" s="8" t="s">
        <v>214</v>
      </c>
      <c r="F1483" t="s">
        <v>15</v>
      </c>
      <c r="G1483" s="8" t="s">
        <v>214</v>
      </c>
      <c r="H1483" t="s">
        <v>570</v>
      </c>
      <c r="I1483" t="e">
        <f>VLOOKUP(Tabela2[[#This Row],[Coluna7]],[1]!Tabela1[#All],2,0)</f>
        <v>#REF!</v>
      </c>
      <c r="L1483">
        <v>40</v>
      </c>
      <c r="Q1483" s="10" t="str">
        <f>Tabela2[[#This Row],[Coluna5]]</f>
        <v>10/2025</v>
      </c>
      <c r="R1483" s="10" t="str">
        <f>IF(Tabela2[[#This Row],[Coluna9]]&gt;0,"Entrada","Saída")</f>
        <v>Saída</v>
      </c>
      <c r="S1483" s="10">
        <f>Tabela2[[#This Row],[Coluna8]]</f>
        <v>0</v>
      </c>
      <c r="T1483" s="10" t="e">
        <f>Tabela2[[#This Row],[Coluna72]]</f>
        <v>#REF!</v>
      </c>
      <c r="U1483" s="10">
        <f>SUM(Tabela2[[#This Row],[Coluna9]],Tabela2[[#This Row],[Coluna10]])</f>
        <v>40</v>
      </c>
      <c r="V1483" s="2" t="str">
        <f>Tabela2[[#This Row],[Coluna4]]</f>
        <v>31/10/2025</v>
      </c>
      <c r="W1483" s="2" t="str">
        <f>Tabela2[[#This Row],[Coluna6]]</f>
        <v>31/10/2025</v>
      </c>
    </row>
    <row r="1484" spans="2:23" x14ac:dyDescent="0.2">
      <c r="B1484" t="s">
        <v>18</v>
      </c>
      <c r="C1484" t="s">
        <v>95</v>
      </c>
      <c r="D1484" t="s">
        <v>13</v>
      </c>
      <c r="E1484" s="8" t="s">
        <v>474</v>
      </c>
      <c r="F1484" t="s">
        <v>42</v>
      </c>
      <c r="G1484" s="8" t="s">
        <v>474</v>
      </c>
      <c r="H1484" t="s">
        <v>542</v>
      </c>
      <c r="I1484" t="e">
        <f>VLOOKUP(Tabela2[[#This Row],[Coluna7]],[1]!Tabela1[#All],2,0)</f>
        <v>#REF!</v>
      </c>
      <c r="J1484" t="s">
        <v>602</v>
      </c>
      <c r="L1484">
        <v>200</v>
      </c>
      <c r="Q1484" s="10" t="str">
        <f>Tabela2[[#This Row],[Coluna5]]</f>
        <v>11/2025</v>
      </c>
      <c r="R1484" s="10" t="str">
        <f>IF(Tabela2[[#This Row],[Coluna9]]&gt;0,"Entrada","Saída")</f>
        <v>Saída</v>
      </c>
      <c r="S1484" s="10" t="str">
        <f>Tabela2[[#This Row],[Coluna8]]</f>
        <v>REINALDO SANTANA CABRAL</v>
      </c>
      <c r="T1484" s="10" t="e">
        <f>Tabela2[[#This Row],[Coluna72]]</f>
        <v>#REF!</v>
      </c>
      <c r="U1484" s="10">
        <f>SUM(Tabela2[[#This Row],[Coluna9]],Tabela2[[#This Row],[Coluna10]])</f>
        <v>200</v>
      </c>
      <c r="V1484" s="2" t="str">
        <f>Tabela2[[#This Row],[Coluna4]]</f>
        <v>01/11/2025</v>
      </c>
      <c r="W1484" s="2" t="str">
        <f>Tabela2[[#This Row],[Coluna6]]</f>
        <v>01/11/2025</v>
      </c>
    </row>
    <row r="1485" spans="2:23" x14ac:dyDescent="0.2">
      <c r="B1485" t="s">
        <v>18</v>
      </c>
      <c r="C1485" t="s">
        <v>95</v>
      </c>
      <c r="D1485" t="s">
        <v>13</v>
      </c>
      <c r="E1485" s="8" t="s">
        <v>474</v>
      </c>
      <c r="F1485" t="s">
        <v>42</v>
      </c>
      <c r="G1485" s="8" t="s">
        <v>474</v>
      </c>
      <c r="H1485" t="s">
        <v>546</v>
      </c>
      <c r="I1485" t="e">
        <f>VLOOKUP(Tabela2[[#This Row],[Coluna7]],[1]!Tabela1[#All],2,0)</f>
        <v>#REF!</v>
      </c>
      <c r="J1485" t="s">
        <v>584</v>
      </c>
      <c r="L1485">
        <v>800</v>
      </c>
      <c r="Q1485" s="10" t="str">
        <f>Tabela2[[#This Row],[Coluna5]]</f>
        <v>11/2025</v>
      </c>
      <c r="R1485" s="10" t="str">
        <f>IF(Tabela2[[#This Row],[Coluna9]]&gt;0,"Entrada","Saída")</f>
        <v>Saída</v>
      </c>
      <c r="S1485" s="10" t="str">
        <f>Tabela2[[#This Row],[Coluna8]]</f>
        <v>ELIEL ANTONIO DA SILVA</v>
      </c>
      <c r="T1485" s="10" t="e">
        <f>Tabela2[[#This Row],[Coluna72]]</f>
        <v>#REF!</v>
      </c>
      <c r="U1485" s="10">
        <f>SUM(Tabela2[[#This Row],[Coluna9]],Tabela2[[#This Row],[Coluna10]])</f>
        <v>800</v>
      </c>
      <c r="V1485" s="2" t="str">
        <f>Tabela2[[#This Row],[Coluna4]]</f>
        <v>01/11/2025</v>
      </c>
      <c r="W1485" s="2" t="str">
        <f>Tabela2[[#This Row],[Coluna6]]</f>
        <v>01/11/2025</v>
      </c>
    </row>
    <row r="1486" spans="2:23" x14ac:dyDescent="0.2">
      <c r="B1486" t="s">
        <v>18</v>
      </c>
      <c r="C1486" t="s">
        <v>95</v>
      </c>
      <c r="D1486" t="s">
        <v>13</v>
      </c>
      <c r="E1486" s="8" t="s">
        <v>216</v>
      </c>
      <c r="F1486" t="s">
        <v>42</v>
      </c>
      <c r="G1486" s="8" t="s">
        <v>216</v>
      </c>
      <c r="H1486" t="s">
        <v>546</v>
      </c>
      <c r="I1486" t="e">
        <f>VLOOKUP(Tabela2[[#This Row],[Coluna7]],[1]!Tabela1[#All],2,0)</f>
        <v>#REF!</v>
      </c>
      <c r="J1486" t="s">
        <v>584</v>
      </c>
      <c r="L1486">
        <v>300</v>
      </c>
      <c r="Q1486" s="10" t="str">
        <f>Tabela2[[#This Row],[Coluna5]]</f>
        <v>11/2025</v>
      </c>
      <c r="R1486" s="10" t="str">
        <f>IF(Tabela2[[#This Row],[Coluna9]]&gt;0,"Entrada","Saída")</f>
        <v>Saída</v>
      </c>
      <c r="S1486" s="10" t="str">
        <f>Tabela2[[#This Row],[Coluna8]]</f>
        <v>ELIEL ANTONIO DA SILVA</v>
      </c>
      <c r="T1486" s="10" t="e">
        <f>Tabela2[[#This Row],[Coluna72]]</f>
        <v>#REF!</v>
      </c>
      <c r="U1486" s="10">
        <f>SUM(Tabela2[[#This Row],[Coluna9]],Tabela2[[#This Row],[Coluna10]])</f>
        <v>300</v>
      </c>
      <c r="V1486" s="2" t="str">
        <f>Tabela2[[#This Row],[Coluna4]]</f>
        <v>02/11/2025</v>
      </c>
      <c r="W1486" s="2" t="str">
        <f>Tabela2[[#This Row],[Coluna6]]</f>
        <v>02/11/2025</v>
      </c>
    </row>
    <row r="1487" spans="2:23" x14ac:dyDescent="0.2">
      <c r="B1487" t="s">
        <v>18</v>
      </c>
      <c r="C1487" t="s">
        <v>95</v>
      </c>
      <c r="D1487" t="s">
        <v>13</v>
      </c>
      <c r="E1487" s="8" t="s">
        <v>52</v>
      </c>
      <c r="F1487" t="s">
        <v>42</v>
      </c>
      <c r="G1487" s="8" t="s">
        <v>52</v>
      </c>
      <c r="H1487" t="s">
        <v>551</v>
      </c>
      <c r="I1487" t="e">
        <f>VLOOKUP(Tabela2[[#This Row],[Coluna7]],[1]!Tabela1[#All],2,0)</f>
        <v>#REF!</v>
      </c>
      <c r="J1487" t="s">
        <v>603</v>
      </c>
      <c r="L1487">
        <v>60</v>
      </c>
      <c r="N1487" t="s">
        <v>604</v>
      </c>
      <c r="Q1487" s="10" t="str">
        <f>Tabela2[[#This Row],[Coluna5]]</f>
        <v>11/2025</v>
      </c>
      <c r="R1487" s="10" t="str">
        <f>IF(Tabela2[[#This Row],[Coluna9]]&gt;0,"Entrada","Saída")</f>
        <v>Saída</v>
      </c>
      <c r="S1487" s="10" t="str">
        <f>Tabela2[[#This Row],[Coluna8]]</f>
        <v>GASOLINA ENVIADA PARA JÓ</v>
      </c>
      <c r="T1487" s="10" t="e">
        <f>Tabela2[[#This Row],[Coluna72]]</f>
        <v>#REF!</v>
      </c>
      <c r="U1487" s="10">
        <f>SUM(Tabela2[[#This Row],[Coluna9]],Tabela2[[#This Row],[Coluna10]])</f>
        <v>60</v>
      </c>
      <c r="V1487" s="2" t="str">
        <f>Tabela2[[#This Row],[Coluna4]]</f>
        <v>03/11/2025</v>
      </c>
      <c r="W1487" s="2" t="str">
        <f>Tabela2[[#This Row],[Coluna6]]</f>
        <v>03/11/2025</v>
      </c>
    </row>
    <row r="1488" spans="2:23" x14ac:dyDescent="0.2">
      <c r="B1488" t="s">
        <v>18</v>
      </c>
      <c r="C1488" t="s">
        <v>95</v>
      </c>
      <c r="D1488" t="s">
        <v>13</v>
      </c>
      <c r="E1488" s="8" t="s">
        <v>52</v>
      </c>
      <c r="F1488" t="s">
        <v>42</v>
      </c>
      <c r="G1488" s="8" t="s">
        <v>52</v>
      </c>
      <c r="H1488" t="s">
        <v>443</v>
      </c>
      <c r="I1488" t="e">
        <f>VLOOKUP(Tabela2[[#This Row],[Coluna7]],[1]!Tabela1[#All],2,0)</f>
        <v>#REF!</v>
      </c>
      <c r="J1488" t="s">
        <v>550</v>
      </c>
      <c r="L1488">
        <v>22</v>
      </c>
      <c r="Q1488" s="10" t="str">
        <f>Tabela2[[#This Row],[Coluna5]]</f>
        <v>11/2025</v>
      </c>
      <c r="R1488" s="10" t="str">
        <f>IF(Tabela2[[#This Row],[Coluna9]]&gt;0,"Entrada","Saída")</f>
        <v>Saída</v>
      </c>
      <c r="S1488" s="10" t="str">
        <f>Tabela2[[#This Row],[Coluna8]]</f>
        <v>ALMOÇO THIAGO</v>
      </c>
      <c r="T1488" s="10" t="e">
        <f>Tabela2[[#This Row],[Coluna72]]</f>
        <v>#REF!</v>
      </c>
      <c r="U1488" s="10">
        <f>SUM(Tabela2[[#This Row],[Coluna9]],Tabela2[[#This Row],[Coluna10]])</f>
        <v>22</v>
      </c>
      <c r="V1488" s="2" t="str">
        <f>Tabela2[[#This Row],[Coluna4]]</f>
        <v>03/11/2025</v>
      </c>
      <c r="W1488" s="2" t="str">
        <f>Tabela2[[#This Row],[Coluna6]]</f>
        <v>03/11/2025</v>
      </c>
    </row>
    <row r="1489" spans="2:23" x14ac:dyDescent="0.2">
      <c r="B1489" t="s">
        <v>18</v>
      </c>
      <c r="C1489" t="s">
        <v>95</v>
      </c>
      <c r="D1489" t="s">
        <v>13</v>
      </c>
      <c r="E1489" s="8" t="s">
        <v>52</v>
      </c>
      <c r="F1489" t="s">
        <v>42</v>
      </c>
      <c r="G1489" s="8" t="s">
        <v>41</v>
      </c>
      <c r="H1489" t="s">
        <v>538</v>
      </c>
      <c r="I1489" t="e">
        <f>VLOOKUP(Tabela2[[#This Row],[Coluna7]],[1]!Tabela1[#All],2,0)</f>
        <v>#REF!</v>
      </c>
      <c r="J1489" t="s">
        <v>605</v>
      </c>
      <c r="L1489">
        <v>447</v>
      </c>
      <c r="Q1489" s="10" t="str">
        <f>Tabela2[[#This Row],[Coluna5]]</f>
        <v>11/2025</v>
      </c>
      <c r="R1489" s="10" t="str">
        <f>IF(Tabela2[[#This Row],[Coluna9]]&gt;0,"Entrada","Saída")</f>
        <v>Saída</v>
      </c>
      <c r="S1489" s="10" t="str">
        <f>Tabela2[[#This Row],[Coluna8]]</f>
        <v>1/10 GELADEIRA LUZIMAR</v>
      </c>
      <c r="T1489" s="10" t="e">
        <f>Tabela2[[#This Row],[Coluna72]]</f>
        <v>#REF!</v>
      </c>
      <c r="U1489" s="10">
        <f>SUM(Tabela2[[#This Row],[Coluna9]],Tabela2[[#This Row],[Coluna10]])</f>
        <v>447</v>
      </c>
      <c r="V1489" s="2" t="str">
        <f>Tabela2[[#This Row],[Coluna4]]</f>
        <v>03/11/2025</v>
      </c>
      <c r="W1489" s="2" t="str">
        <f>Tabela2[[#This Row],[Coluna6]]</f>
        <v>04/11/2025</v>
      </c>
    </row>
    <row r="1490" spans="2:23" x14ac:dyDescent="0.2">
      <c r="B1490" t="s">
        <v>27</v>
      </c>
      <c r="C1490" t="s">
        <v>95</v>
      </c>
      <c r="D1490" t="s">
        <v>13</v>
      </c>
      <c r="E1490" s="8" t="s">
        <v>52</v>
      </c>
      <c r="F1490" t="s">
        <v>42</v>
      </c>
      <c r="G1490" s="8" t="s">
        <v>52</v>
      </c>
      <c r="H1490" t="s">
        <v>595</v>
      </c>
      <c r="I1490" t="e">
        <f>VLOOKUP(Tabela2[[#This Row],[Coluna7]],[1]!Tabela1[#All],2,0)</f>
        <v>#REF!</v>
      </c>
      <c r="J1490" t="s">
        <v>606</v>
      </c>
      <c r="L1490">
        <v>14.15</v>
      </c>
      <c r="Q1490" s="10" t="str">
        <f>Tabela2[[#This Row],[Coluna5]]</f>
        <v>11/2025</v>
      </c>
      <c r="R1490" s="10" t="str">
        <f>IF(Tabela2[[#This Row],[Coluna9]]&gt;0,"Entrada","Saída")</f>
        <v>Saída</v>
      </c>
      <c r="S1490" s="10" t="str">
        <f>Tabela2[[#This Row],[Coluna8]]</f>
        <v>CARINA ROLIM</v>
      </c>
      <c r="T1490" s="10" t="e">
        <f>Tabela2[[#This Row],[Coluna72]]</f>
        <v>#REF!</v>
      </c>
      <c r="U1490" s="10">
        <f>SUM(Tabela2[[#This Row],[Coluna9]],Tabela2[[#This Row],[Coluna10]])</f>
        <v>14.15</v>
      </c>
      <c r="V1490" s="2" t="str">
        <f>Tabela2[[#This Row],[Coluna4]]</f>
        <v>03/11/2025</v>
      </c>
      <c r="W1490" s="2" t="str">
        <f>Tabela2[[#This Row],[Coluna6]]</f>
        <v>03/11/2025</v>
      </c>
    </row>
    <row r="1491" spans="2:23" x14ac:dyDescent="0.2">
      <c r="B1491" t="s">
        <v>12</v>
      </c>
      <c r="C1491" t="s">
        <v>95</v>
      </c>
      <c r="D1491" t="s">
        <v>13</v>
      </c>
      <c r="E1491" s="8" t="s">
        <v>52</v>
      </c>
      <c r="F1491" t="s">
        <v>42</v>
      </c>
      <c r="G1491" s="8" t="s">
        <v>52</v>
      </c>
      <c r="H1491" t="s">
        <v>542</v>
      </c>
      <c r="I1491" t="e">
        <f>VLOOKUP(Tabela2[[#This Row],[Coluna7]],[1]!Tabela1[#All],2,0)</f>
        <v>#REF!</v>
      </c>
      <c r="J1491" t="s">
        <v>583</v>
      </c>
      <c r="L1491">
        <v>150</v>
      </c>
      <c r="Q1491" s="10" t="str">
        <f>Tabela2[[#This Row],[Coluna5]]</f>
        <v>11/2025</v>
      </c>
      <c r="R1491" s="10" t="str">
        <f>IF(Tabela2[[#This Row],[Coluna9]]&gt;0,"Entrada","Saída")</f>
        <v>Saída</v>
      </c>
      <c r="S1491" s="10" t="str">
        <f>Tabela2[[#This Row],[Coluna8]]</f>
        <v>DIEGO AIRES MORENO</v>
      </c>
      <c r="T1491" s="10" t="e">
        <f>Tabela2[[#This Row],[Coluna72]]</f>
        <v>#REF!</v>
      </c>
      <c r="U1491" s="10">
        <f>SUM(Tabela2[[#This Row],[Coluna9]],Tabela2[[#This Row],[Coluna10]])</f>
        <v>150</v>
      </c>
      <c r="V1491" s="2" t="str">
        <f>Tabela2[[#This Row],[Coluna4]]</f>
        <v>03/11/2025</v>
      </c>
      <c r="W1491" s="2" t="str">
        <f>Tabela2[[#This Row],[Coluna6]]</f>
        <v>03/11/2025</v>
      </c>
    </row>
    <row r="1492" spans="2:23" x14ac:dyDescent="0.2">
      <c r="B1492" t="s">
        <v>12</v>
      </c>
      <c r="C1492" t="s">
        <v>110</v>
      </c>
      <c r="D1492" t="s">
        <v>13</v>
      </c>
      <c r="E1492" s="8" t="s">
        <v>52</v>
      </c>
      <c r="F1492" t="s">
        <v>42</v>
      </c>
      <c r="G1492" s="8" t="s">
        <v>52</v>
      </c>
      <c r="H1492" t="s">
        <v>551</v>
      </c>
      <c r="I1492" t="e">
        <f>VLOOKUP(Tabela2[[#This Row],[Coluna7]],[1]!Tabela1[#All],2,0)</f>
        <v>#REF!</v>
      </c>
      <c r="J1492" t="s">
        <v>607</v>
      </c>
      <c r="L1492">
        <v>17.34</v>
      </c>
      <c r="M1492" t="s">
        <v>152</v>
      </c>
      <c r="N1492" t="s">
        <v>153</v>
      </c>
      <c r="Q1492" s="10" t="str">
        <f>Tabela2[[#This Row],[Coluna5]]</f>
        <v>11/2025</v>
      </c>
      <c r="R1492" s="10" t="str">
        <f>IF(Tabela2[[#This Row],[Coluna9]]&gt;0,"Entrada","Saída")</f>
        <v>Saída</v>
      </c>
      <c r="S1492" s="10" t="str">
        <f>Tabela2[[#This Row],[Coluna8]]</f>
        <v>GUIA DE CUSTAS</v>
      </c>
      <c r="T1492" s="10" t="e">
        <f>Tabela2[[#This Row],[Coluna72]]</f>
        <v>#REF!</v>
      </c>
      <c r="U1492" s="10">
        <f>SUM(Tabela2[[#This Row],[Coluna9]],Tabela2[[#This Row],[Coluna10]])</f>
        <v>17.34</v>
      </c>
      <c r="V1492" s="2" t="str">
        <f>Tabela2[[#This Row],[Coluna4]]</f>
        <v>03/11/2025</v>
      </c>
      <c r="W1492" s="2" t="str">
        <f>Tabela2[[#This Row],[Coluna6]]</f>
        <v>03/11/2025</v>
      </c>
    </row>
    <row r="1493" spans="2:23" x14ac:dyDescent="0.2">
      <c r="B1493" t="s">
        <v>18</v>
      </c>
      <c r="C1493" t="s">
        <v>95</v>
      </c>
      <c r="D1493" t="s">
        <v>13</v>
      </c>
      <c r="E1493" s="8" t="s">
        <v>41</v>
      </c>
      <c r="F1493" t="s">
        <v>42</v>
      </c>
      <c r="G1493" s="8" t="s">
        <v>41</v>
      </c>
      <c r="H1493" t="s">
        <v>546</v>
      </c>
      <c r="I1493" t="e">
        <f>VLOOKUP(Tabela2[[#This Row],[Coluna7]],[1]!Tabela1[#All],2,0)</f>
        <v>#REF!</v>
      </c>
      <c r="J1493" t="s">
        <v>584</v>
      </c>
      <c r="L1493">
        <v>200</v>
      </c>
      <c r="Q1493" s="10" t="str">
        <f>Tabela2[[#This Row],[Coluna5]]</f>
        <v>11/2025</v>
      </c>
      <c r="R1493" s="10" t="str">
        <f>IF(Tabela2[[#This Row],[Coluna9]]&gt;0,"Entrada","Saída")</f>
        <v>Saída</v>
      </c>
      <c r="S1493" s="10" t="str">
        <f>Tabela2[[#This Row],[Coluna8]]</f>
        <v>ELIEL ANTONIO DA SILVA</v>
      </c>
      <c r="T1493" s="10" t="e">
        <f>Tabela2[[#This Row],[Coluna72]]</f>
        <v>#REF!</v>
      </c>
      <c r="U1493" s="10">
        <f>SUM(Tabela2[[#This Row],[Coluna9]],Tabela2[[#This Row],[Coluna10]])</f>
        <v>200</v>
      </c>
      <c r="V1493" s="2" t="str">
        <f>Tabela2[[#This Row],[Coluna4]]</f>
        <v>04/11/2025</v>
      </c>
      <c r="W1493" s="2" t="str">
        <f>Tabela2[[#This Row],[Coluna6]]</f>
        <v>04/11/2025</v>
      </c>
    </row>
    <row r="1494" spans="2:23" x14ac:dyDescent="0.2">
      <c r="B1494" t="s">
        <v>18</v>
      </c>
      <c r="C1494" t="s">
        <v>95</v>
      </c>
      <c r="D1494" t="s">
        <v>13</v>
      </c>
      <c r="E1494" s="8" t="s">
        <v>41</v>
      </c>
      <c r="F1494" t="s">
        <v>42</v>
      </c>
      <c r="G1494" s="8" t="s">
        <v>41</v>
      </c>
      <c r="H1494" t="s">
        <v>538</v>
      </c>
      <c r="I1494" t="e">
        <f>VLOOKUP(Tabela2[[#This Row],[Coluna7]],[1]!Tabela1[#All],2,0)</f>
        <v>#REF!</v>
      </c>
      <c r="J1494" t="s">
        <v>608</v>
      </c>
      <c r="L1494">
        <v>171.69</v>
      </c>
      <c r="Q1494" s="10" t="str">
        <f>Tabela2[[#This Row],[Coluna5]]</f>
        <v>11/2025</v>
      </c>
      <c r="R1494" s="10" t="str">
        <f>IF(Tabela2[[#This Row],[Coluna9]]&gt;0,"Entrada","Saída")</f>
        <v>Saída</v>
      </c>
      <c r="S1494" s="10" t="str">
        <f>Tabela2[[#This Row],[Coluna8]]</f>
        <v>PAGAMENTO REALIZADO POR DRA PATRICIA</v>
      </c>
      <c r="T1494" s="10" t="e">
        <f>Tabela2[[#This Row],[Coluna72]]</f>
        <v>#REF!</v>
      </c>
      <c r="U1494" s="10">
        <f>SUM(Tabela2[[#This Row],[Coluna9]],Tabela2[[#This Row],[Coluna10]])</f>
        <v>171.69</v>
      </c>
      <c r="V1494" s="2" t="str">
        <f>Tabela2[[#This Row],[Coluna4]]</f>
        <v>04/11/2025</v>
      </c>
      <c r="W1494" s="2" t="str">
        <f>Tabela2[[#This Row],[Coluna6]]</f>
        <v>04/11/2025</v>
      </c>
    </row>
    <row r="1495" spans="2:23" x14ac:dyDescent="0.2">
      <c r="B1495" t="s">
        <v>18</v>
      </c>
      <c r="C1495" t="s">
        <v>95</v>
      </c>
      <c r="D1495" t="s">
        <v>13</v>
      </c>
      <c r="E1495" s="8" t="s">
        <v>41</v>
      </c>
      <c r="F1495" t="s">
        <v>42</v>
      </c>
      <c r="G1495" s="8" t="s">
        <v>41</v>
      </c>
      <c r="H1495" t="s">
        <v>538</v>
      </c>
      <c r="I1495" t="e">
        <f>VLOOKUP(Tabela2[[#This Row],[Coluna7]],[1]!Tabela1[#All],2,0)</f>
        <v>#REF!</v>
      </c>
      <c r="J1495" t="s">
        <v>340</v>
      </c>
      <c r="L1495">
        <v>1518</v>
      </c>
      <c r="Q1495" s="10" t="str">
        <f>Tabela2[[#This Row],[Coluna5]]</f>
        <v>11/2025</v>
      </c>
      <c r="R1495" s="10" t="str">
        <f>IF(Tabela2[[#This Row],[Coluna9]]&gt;0,"Entrada","Saída")</f>
        <v>Saída</v>
      </c>
      <c r="S1495" s="10" t="str">
        <f>Tabela2[[#This Row],[Coluna8]]</f>
        <v>LUZIMAR PEREIRA DA SILVA</v>
      </c>
      <c r="T1495" s="10" t="e">
        <f>Tabela2[[#This Row],[Coluna72]]</f>
        <v>#REF!</v>
      </c>
      <c r="U1495" s="10">
        <f>SUM(Tabela2[[#This Row],[Coluna9]],Tabela2[[#This Row],[Coluna10]])</f>
        <v>1518</v>
      </c>
      <c r="V1495" s="2" t="str">
        <f>Tabela2[[#This Row],[Coluna4]]</f>
        <v>04/11/2025</v>
      </c>
      <c r="W1495" s="2" t="str">
        <f>Tabela2[[#This Row],[Coluna6]]</f>
        <v>04/11/2025</v>
      </c>
    </row>
    <row r="1496" spans="2:23" x14ac:dyDescent="0.2">
      <c r="B1496" t="s">
        <v>12</v>
      </c>
      <c r="C1496" t="s">
        <v>95</v>
      </c>
      <c r="D1496" t="s">
        <v>13</v>
      </c>
      <c r="E1496" s="8" t="s">
        <v>43</v>
      </c>
      <c r="F1496" t="s">
        <v>42</v>
      </c>
      <c r="G1496" s="8" t="s">
        <v>43</v>
      </c>
      <c r="H1496" t="s">
        <v>546</v>
      </c>
      <c r="I1496" t="e">
        <f>VLOOKUP(Tabela2[[#This Row],[Coluna7]],[1]!Tabela1[#All],2,0)</f>
        <v>#REF!</v>
      </c>
      <c r="J1496" t="s">
        <v>584</v>
      </c>
      <c r="L1496">
        <v>100</v>
      </c>
      <c r="N1496" t="s">
        <v>584</v>
      </c>
      <c r="Q1496" s="10" t="str">
        <f>Tabela2[[#This Row],[Coluna5]]</f>
        <v>11/2025</v>
      </c>
      <c r="R1496" s="10" t="str">
        <f>IF(Tabela2[[#This Row],[Coluna9]]&gt;0,"Entrada","Saída")</f>
        <v>Saída</v>
      </c>
      <c r="S1496" s="10" t="str">
        <f>Tabela2[[#This Row],[Coluna8]]</f>
        <v>ELIEL ANTONIO DA SILVA</v>
      </c>
      <c r="T1496" s="10" t="e">
        <f>Tabela2[[#This Row],[Coluna72]]</f>
        <v>#REF!</v>
      </c>
      <c r="U1496" s="10">
        <f>SUM(Tabela2[[#This Row],[Coluna9]],Tabela2[[#This Row],[Coluna10]])</f>
        <v>100</v>
      </c>
      <c r="V1496" s="2" t="str">
        <f>Tabela2[[#This Row],[Coluna4]]</f>
        <v>05/11/2025</v>
      </c>
      <c r="W1496" s="2" t="str">
        <f>Tabela2[[#This Row],[Coluna6]]</f>
        <v>05/11/2025</v>
      </c>
    </row>
    <row r="1497" spans="2:23" x14ac:dyDescent="0.2">
      <c r="B1497" t="s">
        <v>18</v>
      </c>
      <c r="C1497" t="s">
        <v>125</v>
      </c>
      <c r="D1497" t="s">
        <v>13</v>
      </c>
      <c r="E1497" s="8" t="s">
        <v>231</v>
      </c>
      <c r="F1497" t="s">
        <v>42</v>
      </c>
      <c r="G1497" s="8" t="s">
        <v>231</v>
      </c>
      <c r="H1497" t="s">
        <v>561</v>
      </c>
      <c r="I1497" t="e">
        <f>VLOOKUP(Tabela2[[#This Row],[Coluna7]],[1]!Tabela1[#All],2,0)</f>
        <v>#REF!</v>
      </c>
      <c r="J1497" t="s">
        <v>609</v>
      </c>
      <c r="L1497">
        <v>150</v>
      </c>
      <c r="M1497" t="s">
        <v>235</v>
      </c>
      <c r="N1497" t="s">
        <v>236</v>
      </c>
      <c r="Q1497" s="10" t="str">
        <f>Tabela2[[#This Row],[Coluna5]]</f>
        <v>11/2025</v>
      </c>
      <c r="R1497" s="10" t="str">
        <f>IF(Tabela2[[#This Row],[Coluna9]]&gt;0,"Entrada","Saída")</f>
        <v>Saída</v>
      </c>
      <c r="S1497" s="10" t="str">
        <f>Tabela2[[#This Row],[Coluna8]]</f>
        <v>FRANCIELE CALIXTO</v>
      </c>
      <c r="T1497" s="10" t="e">
        <f>Tabela2[[#This Row],[Coluna72]]</f>
        <v>#REF!</v>
      </c>
      <c r="U1497" s="10">
        <f>SUM(Tabela2[[#This Row],[Coluna9]],Tabela2[[#This Row],[Coluna10]])</f>
        <v>150</v>
      </c>
      <c r="V1497" s="2" t="str">
        <f>Tabela2[[#This Row],[Coluna4]]</f>
        <v>07/11/2025</v>
      </c>
      <c r="W1497" s="2" t="str">
        <f>Tabela2[[#This Row],[Coluna6]]</f>
        <v>07/11/2025</v>
      </c>
    </row>
    <row r="1498" spans="2:23" x14ac:dyDescent="0.2">
      <c r="B1498" t="s">
        <v>18</v>
      </c>
      <c r="C1498" t="s">
        <v>95</v>
      </c>
      <c r="D1498" t="s">
        <v>13</v>
      </c>
      <c r="E1498" s="8" t="s">
        <v>231</v>
      </c>
      <c r="F1498" t="s">
        <v>42</v>
      </c>
      <c r="G1498" s="8" t="s">
        <v>231</v>
      </c>
      <c r="H1498" t="s">
        <v>546</v>
      </c>
      <c r="I1498" t="e">
        <f>VLOOKUP(Tabela2[[#This Row],[Coluna7]],[1]!Tabela1[#All],2,0)</f>
        <v>#REF!</v>
      </c>
      <c r="J1498" t="s">
        <v>584</v>
      </c>
      <c r="L1498">
        <v>100</v>
      </c>
      <c r="Q1498" s="10" t="str">
        <f>Tabela2[[#This Row],[Coluna5]]</f>
        <v>11/2025</v>
      </c>
      <c r="R1498" s="10" t="str">
        <f>IF(Tabela2[[#This Row],[Coluna9]]&gt;0,"Entrada","Saída")</f>
        <v>Saída</v>
      </c>
      <c r="S1498" s="10" t="str">
        <f>Tabela2[[#This Row],[Coluna8]]</f>
        <v>ELIEL ANTONIO DA SILVA</v>
      </c>
      <c r="T1498" s="10" t="e">
        <f>Tabela2[[#This Row],[Coluna72]]</f>
        <v>#REF!</v>
      </c>
      <c r="U1498" s="10">
        <f>SUM(Tabela2[[#This Row],[Coluna9]],Tabela2[[#This Row],[Coluna10]])</f>
        <v>100</v>
      </c>
      <c r="V1498" s="2" t="str">
        <f>Tabela2[[#This Row],[Coluna4]]</f>
        <v>07/11/2025</v>
      </c>
      <c r="W1498" s="2" t="str">
        <f>Tabela2[[#This Row],[Coluna6]]</f>
        <v>07/11/2025</v>
      </c>
    </row>
    <row r="1499" spans="2:23" x14ac:dyDescent="0.2">
      <c r="B1499" t="s">
        <v>18</v>
      </c>
      <c r="C1499" t="s">
        <v>125</v>
      </c>
      <c r="D1499" t="s">
        <v>13</v>
      </c>
      <c r="E1499" s="8" t="s">
        <v>231</v>
      </c>
      <c r="F1499" t="s">
        <v>42</v>
      </c>
      <c r="G1499" s="8" t="s">
        <v>231</v>
      </c>
      <c r="H1499" t="s">
        <v>551</v>
      </c>
      <c r="I1499" t="e">
        <f>VLOOKUP(Tabela2[[#This Row],[Coluna7]],[1]!Tabela1[#All],2,0)</f>
        <v>#REF!</v>
      </c>
      <c r="L1499">
        <v>237.91</v>
      </c>
      <c r="M1499" t="s">
        <v>574</v>
      </c>
      <c r="N1499" t="s">
        <v>575</v>
      </c>
      <c r="Q1499" s="10" t="str">
        <f>Tabela2[[#This Row],[Coluna5]]</f>
        <v>11/2025</v>
      </c>
      <c r="R1499" s="10" t="str">
        <f>IF(Tabela2[[#This Row],[Coluna9]]&gt;0,"Entrada","Saída")</f>
        <v>Saída</v>
      </c>
      <c r="S1499" s="10">
        <f>Tabela2[[#This Row],[Coluna8]]</f>
        <v>0</v>
      </c>
      <c r="T1499" s="10" t="e">
        <f>Tabela2[[#This Row],[Coluna72]]</f>
        <v>#REF!</v>
      </c>
      <c r="U1499" s="10">
        <f>SUM(Tabela2[[#This Row],[Coluna9]],Tabela2[[#This Row],[Coluna10]])</f>
        <v>237.91</v>
      </c>
      <c r="V1499" s="2" t="str">
        <f>Tabela2[[#This Row],[Coluna4]]</f>
        <v>07/11/2025</v>
      </c>
      <c r="W1499" s="2" t="str">
        <f>Tabela2[[#This Row],[Coluna6]]</f>
        <v>07/11/2025</v>
      </c>
    </row>
    <row r="1500" spans="2:23" x14ac:dyDescent="0.2">
      <c r="B1500" t="s">
        <v>18</v>
      </c>
      <c r="C1500" t="s">
        <v>95</v>
      </c>
      <c r="D1500" t="s">
        <v>13</v>
      </c>
      <c r="E1500" s="8" t="s">
        <v>231</v>
      </c>
      <c r="F1500" t="s">
        <v>42</v>
      </c>
      <c r="G1500" s="8" t="s">
        <v>231</v>
      </c>
      <c r="H1500" t="s">
        <v>538</v>
      </c>
      <c r="I1500" t="e">
        <f>VLOOKUP(Tabela2[[#This Row],[Coluna7]],[1]!Tabela1[#All],2,0)</f>
        <v>#REF!</v>
      </c>
      <c r="L1500">
        <v>10</v>
      </c>
      <c r="Q1500" s="10" t="str">
        <f>Tabela2[[#This Row],[Coluna5]]</f>
        <v>11/2025</v>
      </c>
      <c r="R1500" s="10" t="str">
        <f>IF(Tabela2[[#This Row],[Coluna9]]&gt;0,"Entrada","Saída")</f>
        <v>Saída</v>
      </c>
      <c r="S1500" s="10">
        <f>Tabela2[[#This Row],[Coluna8]]</f>
        <v>0</v>
      </c>
      <c r="T1500" s="10" t="e">
        <f>Tabela2[[#This Row],[Coluna72]]</f>
        <v>#REF!</v>
      </c>
      <c r="U1500" s="10">
        <f>SUM(Tabela2[[#This Row],[Coluna9]],Tabela2[[#This Row],[Coluna10]])</f>
        <v>10</v>
      </c>
      <c r="V1500" s="2" t="str">
        <f>Tabela2[[#This Row],[Coluna4]]</f>
        <v>07/11/2025</v>
      </c>
      <c r="W1500" s="2" t="str">
        <f>Tabela2[[#This Row],[Coluna6]]</f>
        <v>07/11/2025</v>
      </c>
    </row>
    <row r="1501" spans="2:23" x14ac:dyDescent="0.2">
      <c r="B1501" t="s">
        <v>18</v>
      </c>
      <c r="C1501" t="s">
        <v>95</v>
      </c>
      <c r="D1501" t="s">
        <v>13</v>
      </c>
      <c r="E1501" s="8" t="s">
        <v>45</v>
      </c>
      <c r="F1501" t="s">
        <v>42</v>
      </c>
      <c r="G1501" s="8" t="s">
        <v>45</v>
      </c>
      <c r="H1501" t="s">
        <v>570</v>
      </c>
      <c r="I1501" t="e">
        <f>VLOOKUP(Tabela2[[#This Row],[Coluna7]],[1]!Tabela1[#All],2,0)</f>
        <v>#REF!</v>
      </c>
      <c r="J1501" t="s">
        <v>610</v>
      </c>
      <c r="L1501">
        <v>52</v>
      </c>
      <c r="Q1501" s="10" t="str">
        <f>Tabela2[[#This Row],[Coluna5]]</f>
        <v>11/2025</v>
      </c>
      <c r="R1501" s="10" t="str">
        <f>IF(Tabela2[[#This Row],[Coluna9]]&gt;0,"Entrada","Saída")</f>
        <v>Saída</v>
      </c>
      <c r="S1501" s="10" t="str">
        <f>Tabela2[[#This Row],[Coluna8]]</f>
        <v>PEÇA PARA VASO SANITARIO</v>
      </c>
      <c r="T1501" s="10" t="e">
        <f>Tabela2[[#This Row],[Coluna72]]</f>
        <v>#REF!</v>
      </c>
      <c r="U1501" s="10">
        <f>SUM(Tabela2[[#This Row],[Coluna9]],Tabela2[[#This Row],[Coluna10]])</f>
        <v>52</v>
      </c>
      <c r="V1501" s="2" t="str">
        <f>Tabela2[[#This Row],[Coluna4]]</f>
        <v>08/11/2025</v>
      </c>
      <c r="W1501" s="2" t="str">
        <f>Tabela2[[#This Row],[Coluna6]]</f>
        <v>08/11/2025</v>
      </c>
    </row>
    <row r="1502" spans="2:23" x14ac:dyDescent="0.2">
      <c r="B1502" t="s">
        <v>18</v>
      </c>
      <c r="C1502" t="s">
        <v>95</v>
      </c>
      <c r="D1502" t="s">
        <v>13</v>
      </c>
      <c r="E1502" s="8" t="s">
        <v>45</v>
      </c>
      <c r="F1502" t="s">
        <v>42</v>
      </c>
      <c r="G1502" s="8" t="s">
        <v>45</v>
      </c>
      <c r="H1502" t="s">
        <v>546</v>
      </c>
      <c r="I1502" t="e">
        <f>VLOOKUP(Tabela2[[#This Row],[Coluna7]],[1]!Tabela1[#All],2,0)</f>
        <v>#REF!</v>
      </c>
      <c r="J1502" t="s">
        <v>584</v>
      </c>
      <c r="L1502">
        <v>400</v>
      </c>
      <c r="Q1502" s="10" t="str">
        <f>Tabela2[[#This Row],[Coluna5]]</f>
        <v>11/2025</v>
      </c>
      <c r="R1502" s="10" t="str">
        <f>IF(Tabela2[[#This Row],[Coluna9]]&gt;0,"Entrada","Saída")</f>
        <v>Saída</v>
      </c>
      <c r="S1502" s="10" t="str">
        <f>Tabela2[[#This Row],[Coluna8]]</f>
        <v>ELIEL ANTONIO DA SILVA</v>
      </c>
      <c r="T1502" s="10" t="e">
        <f>Tabela2[[#This Row],[Coluna72]]</f>
        <v>#REF!</v>
      </c>
      <c r="U1502" s="10">
        <f>SUM(Tabela2[[#This Row],[Coluna9]],Tabela2[[#This Row],[Coluna10]])</f>
        <v>400</v>
      </c>
      <c r="V1502" s="2" t="str">
        <f>Tabela2[[#This Row],[Coluna4]]</f>
        <v>08/11/2025</v>
      </c>
      <c r="W1502" s="2" t="str">
        <f>Tabela2[[#This Row],[Coluna6]]</f>
        <v>08/11/2025</v>
      </c>
    </row>
    <row r="1503" spans="2:23" x14ac:dyDescent="0.2">
      <c r="B1503" t="s">
        <v>18</v>
      </c>
      <c r="C1503" t="s">
        <v>95</v>
      </c>
      <c r="D1503" t="s">
        <v>13</v>
      </c>
      <c r="E1503" s="8" t="s">
        <v>45</v>
      </c>
      <c r="F1503" t="s">
        <v>42</v>
      </c>
      <c r="G1503" s="8" t="s">
        <v>45</v>
      </c>
      <c r="H1503" t="s">
        <v>542</v>
      </c>
      <c r="I1503" t="e">
        <f>VLOOKUP(Tabela2[[#This Row],[Coluna7]],[1]!Tabela1[#All],2,0)</f>
        <v>#REF!</v>
      </c>
      <c r="J1503" t="s">
        <v>583</v>
      </c>
      <c r="L1503">
        <v>150</v>
      </c>
      <c r="Q1503" s="10" t="str">
        <f>Tabela2[[#This Row],[Coluna5]]</f>
        <v>11/2025</v>
      </c>
      <c r="R1503" s="10" t="str">
        <f>IF(Tabela2[[#This Row],[Coluna9]]&gt;0,"Entrada","Saída")</f>
        <v>Saída</v>
      </c>
      <c r="S1503" s="10" t="str">
        <f>Tabela2[[#This Row],[Coluna8]]</f>
        <v>DIEGO AIRES MORENO</v>
      </c>
      <c r="T1503" s="10" t="e">
        <f>Tabela2[[#This Row],[Coluna72]]</f>
        <v>#REF!</v>
      </c>
      <c r="U1503" s="10">
        <f>SUM(Tabela2[[#This Row],[Coluna9]],Tabela2[[#This Row],[Coluna10]])</f>
        <v>150</v>
      </c>
      <c r="V1503" s="2" t="str">
        <f>Tabela2[[#This Row],[Coluna4]]</f>
        <v>08/11/2025</v>
      </c>
      <c r="W1503" s="2" t="str">
        <f>Tabela2[[#This Row],[Coluna6]]</f>
        <v>08/11/2025</v>
      </c>
    </row>
    <row r="1504" spans="2:23" x14ac:dyDescent="0.2">
      <c r="B1504" t="s">
        <v>12</v>
      </c>
      <c r="C1504" t="s">
        <v>95</v>
      </c>
      <c r="D1504" t="s">
        <v>13</v>
      </c>
      <c r="E1504" s="8" t="s">
        <v>611</v>
      </c>
      <c r="F1504" t="s">
        <v>42</v>
      </c>
      <c r="G1504" s="8" t="s">
        <v>611</v>
      </c>
      <c r="H1504" t="s">
        <v>542</v>
      </c>
      <c r="I1504" t="e">
        <f>VLOOKUP(Tabela2[[#This Row],[Coluna7]],[1]!Tabela1[#All],2,0)</f>
        <v>#REF!</v>
      </c>
      <c r="J1504" t="s">
        <v>583</v>
      </c>
      <c r="L1504">
        <v>300</v>
      </c>
      <c r="Q1504" s="10" t="str">
        <f>Tabela2[[#This Row],[Coluna5]]</f>
        <v>11/2025</v>
      </c>
      <c r="R1504" s="10" t="str">
        <f>IF(Tabela2[[#This Row],[Coluna9]]&gt;0,"Entrada","Saída")</f>
        <v>Saída</v>
      </c>
      <c r="S1504" s="10" t="str">
        <f>Tabela2[[#This Row],[Coluna8]]</f>
        <v>DIEGO AIRES MORENO</v>
      </c>
      <c r="T1504" s="10" t="e">
        <f>Tabela2[[#This Row],[Coluna72]]</f>
        <v>#REF!</v>
      </c>
      <c r="U1504" s="10">
        <f>SUM(Tabela2[[#This Row],[Coluna9]],Tabela2[[#This Row],[Coluna10]])</f>
        <v>300</v>
      </c>
      <c r="V1504" s="2" t="str">
        <f>Tabela2[[#This Row],[Coluna4]]</f>
        <v>09/11/2025</v>
      </c>
      <c r="W1504" s="2" t="str">
        <f>Tabela2[[#This Row],[Coluna6]]</f>
        <v>09/11/2025</v>
      </c>
    </row>
    <row r="1505" spans="2:23" x14ac:dyDescent="0.2">
      <c r="B1505" t="s">
        <v>12</v>
      </c>
      <c r="C1505" t="s">
        <v>95</v>
      </c>
      <c r="D1505" t="s">
        <v>13</v>
      </c>
      <c r="E1505" s="8" t="s">
        <v>47</v>
      </c>
      <c r="F1505" t="s">
        <v>42</v>
      </c>
      <c r="G1505" s="8" t="s">
        <v>47</v>
      </c>
      <c r="H1505" t="s">
        <v>546</v>
      </c>
      <c r="I1505" t="e">
        <f>VLOOKUP(Tabela2[[#This Row],[Coluna7]],[1]!Tabela1[#All],2,0)</f>
        <v>#REF!</v>
      </c>
      <c r="J1505" t="s">
        <v>584</v>
      </c>
      <c r="L1505">
        <v>1300</v>
      </c>
      <c r="N1505" t="s">
        <v>584</v>
      </c>
      <c r="Q1505" s="10" t="str">
        <f>Tabela2[[#This Row],[Coluna5]]</f>
        <v>11/2025</v>
      </c>
      <c r="R1505" s="10" t="str">
        <f>IF(Tabela2[[#This Row],[Coluna9]]&gt;0,"Entrada","Saída")</f>
        <v>Saída</v>
      </c>
      <c r="S1505" s="10" t="str">
        <f>Tabela2[[#This Row],[Coluna8]]</f>
        <v>ELIEL ANTONIO DA SILVA</v>
      </c>
      <c r="T1505" s="10" t="e">
        <f>Tabela2[[#This Row],[Coluna72]]</f>
        <v>#REF!</v>
      </c>
      <c r="U1505" s="10">
        <f>SUM(Tabela2[[#This Row],[Coluna9]],Tabela2[[#This Row],[Coluna10]])</f>
        <v>1300</v>
      </c>
      <c r="V1505" s="2" t="str">
        <f>Tabela2[[#This Row],[Coluna4]]</f>
        <v>10/11/2025</v>
      </c>
      <c r="W1505" s="2" t="str">
        <f>Tabela2[[#This Row],[Coluna6]]</f>
        <v>10/11/2025</v>
      </c>
    </row>
    <row r="1506" spans="2:23" x14ac:dyDescent="0.2">
      <c r="B1506" t="s">
        <v>27</v>
      </c>
      <c r="C1506" t="s">
        <v>95</v>
      </c>
      <c r="D1506" t="s">
        <v>13</v>
      </c>
      <c r="E1506" s="8" t="s">
        <v>48</v>
      </c>
      <c r="F1506" t="s">
        <v>42</v>
      </c>
      <c r="G1506" s="8" t="s">
        <v>48</v>
      </c>
      <c r="H1506" t="s">
        <v>542</v>
      </c>
      <c r="I1506" t="e">
        <f>VLOOKUP(Tabela2[[#This Row],[Coluna7]],[1]!Tabela1[#All],2,0)</f>
        <v>#REF!</v>
      </c>
      <c r="J1506" t="s">
        <v>583</v>
      </c>
      <c r="L1506">
        <v>900</v>
      </c>
      <c r="Q1506" s="10" t="str">
        <f>Tabela2[[#This Row],[Coluna5]]</f>
        <v>11/2025</v>
      </c>
      <c r="R1506" s="10" t="str">
        <f>IF(Tabela2[[#This Row],[Coluna9]]&gt;0,"Entrada","Saída")</f>
        <v>Saída</v>
      </c>
      <c r="S1506" s="10" t="str">
        <f>Tabela2[[#This Row],[Coluna8]]</f>
        <v>DIEGO AIRES MORENO</v>
      </c>
      <c r="T1506" s="10" t="e">
        <f>Tabela2[[#This Row],[Coluna72]]</f>
        <v>#REF!</v>
      </c>
      <c r="U1506" s="10">
        <f>SUM(Tabela2[[#This Row],[Coluna9]],Tabela2[[#This Row],[Coluna10]])</f>
        <v>900</v>
      </c>
      <c r="V1506" s="2" t="str">
        <f>Tabela2[[#This Row],[Coluna4]]</f>
        <v>12/11/2025</v>
      </c>
      <c r="W1506" s="2" t="str">
        <f>Tabela2[[#This Row],[Coluna6]]</f>
        <v>12/11/2025</v>
      </c>
    </row>
    <row r="1507" spans="2:23" x14ac:dyDescent="0.2">
      <c r="B1507" t="s">
        <v>215</v>
      </c>
      <c r="C1507" t="s">
        <v>95</v>
      </c>
      <c r="D1507" t="s">
        <v>13</v>
      </c>
      <c r="E1507" s="8" t="s">
        <v>48</v>
      </c>
      <c r="F1507" t="s">
        <v>42</v>
      </c>
      <c r="G1507" s="8" t="s">
        <v>48</v>
      </c>
      <c r="H1507" t="s">
        <v>546</v>
      </c>
      <c r="I1507" t="e">
        <f>VLOOKUP(Tabela2[[#This Row],[Coluna7]],[1]!Tabela1[#All],2,0)</f>
        <v>#REF!</v>
      </c>
      <c r="L1507">
        <v>50</v>
      </c>
      <c r="N1507" t="s">
        <v>547</v>
      </c>
      <c r="Q1507" s="10" t="str">
        <f>Tabela2[[#This Row],[Coluna5]]</f>
        <v>11/2025</v>
      </c>
      <c r="R1507" s="10" t="str">
        <f>IF(Tabela2[[#This Row],[Coluna9]]&gt;0,"Entrada","Saída")</f>
        <v>Saída</v>
      </c>
      <c r="S1507" s="10">
        <f>Tabela2[[#This Row],[Coluna8]]</f>
        <v>0</v>
      </c>
      <c r="T1507" s="10" t="e">
        <f>Tabela2[[#This Row],[Coluna72]]</f>
        <v>#REF!</v>
      </c>
      <c r="U1507" s="10">
        <f>SUM(Tabela2[[#This Row],[Coluna9]],Tabela2[[#This Row],[Coluna10]])</f>
        <v>50</v>
      </c>
      <c r="V1507" s="2" t="str">
        <f>Tabela2[[#This Row],[Coluna4]]</f>
        <v>12/11/2025</v>
      </c>
      <c r="W1507" s="2" t="str">
        <f>Tabela2[[#This Row],[Coluna6]]</f>
        <v>12/11/2025</v>
      </c>
    </row>
    <row r="1508" spans="2:23" x14ac:dyDescent="0.2">
      <c r="B1508" t="s">
        <v>18</v>
      </c>
      <c r="C1508" t="s">
        <v>95</v>
      </c>
      <c r="D1508" t="s">
        <v>13</v>
      </c>
      <c r="E1508" s="8" t="s">
        <v>51</v>
      </c>
      <c r="F1508" t="s">
        <v>42</v>
      </c>
      <c r="G1508" s="8" t="s">
        <v>51</v>
      </c>
      <c r="H1508" t="s">
        <v>443</v>
      </c>
      <c r="I1508" t="e">
        <f>VLOOKUP(Tabela2[[#This Row],[Coluna7]],[1]!Tabela1[#All],2,0)</f>
        <v>#REF!</v>
      </c>
      <c r="J1508" t="s">
        <v>454</v>
      </c>
      <c r="L1508">
        <v>22</v>
      </c>
      <c r="Q1508" s="10" t="str">
        <f>Tabela2[[#This Row],[Coluna5]]</f>
        <v>11/2025</v>
      </c>
      <c r="R1508" s="10" t="str">
        <f>IF(Tabela2[[#This Row],[Coluna9]]&gt;0,"Entrada","Saída")</f>
        <v>Saída</v>
      </c>
      <c r="S1508" s="10" t="str">
        <f>Tabela2[[#This Row],[Coluna8]]</f>
        <v>ALMOÇO</v>
      </c>
      <c r="T1508" s="10" t="e">
        <f>Tabela2[[#This Row],[Coluna72]]</f>
        <v>#REF!</v>
      </c>
      <c r="U1508" s="10">
        <f>SUM(Tabela2[[#This Row],[Coluna9]],Tabela2[[#This Row],[Coluna10]])</f>
        <v>22</v>
      </c>
      <c r="V1508" s="2" t="str">
        <f>Tabela2[[#This Row],[Coluna4]]</f>
        <v>13/11/2025</v>
      </c>
      <c r="W1508" s="2" t="str">
        <f>Tabela2[[#This Row],[Coluna6]]</f>
        <v>13/11/2025</v>
      </c>
    </row>
    <row r="1509" spans="2:23" x14ac:dyDescent="0.2">
      <c r="B1509" t="s">
        <v>18</v>
      </c>
      <c r="C1509" t="s">
        <v>95</v>
      </c>
      <c r="D1509" t="s">
        <v>13</v>
      </c>
      <c r="E1509" s="8" t="s">
        <v>54</v>
      </c>
      <c r="F1509" t="s">
        <v>42</v>
      </c>
      <c r="G1509" s="8" t="s">
        <v>54</v>
      </c>
      <c r="H1509" t="s">
        <v>546</v>
      </c>
      <c r="I1509" t="e">
        <f>VLOOKUP(Tabela2[[#This Row],[Coluna7]],[1]!Tabela1[#All],2,0)</f>
        <v>#REF!</v>
      </c>
      <c r="J1509" t="s">
        <v>584</v>
      </c>
      <c r="L1509">
        <v>220</v>
      </c>
      <c r="Q1509" s="10" t="str">
        <f>Tabela2[[#This Row],[Coluna5]]</f>
        <v>11/2025</v>
      </c>
      <c r="R1509" s="10" t="str">
        <f>IF(Tabela2[[#This Row],[Coluna9]]&gt;0,"Entrada","Saída")</f>
        <v>Saída</v>
      </c>
      <c r="S1509" s="10" t="str">
        <f>Tabela2[[#This Row],[Coluna8]]</f>
        <v>ELIEL ANTONIO DA SILVA</v>
      </c>
      <c r="T1509" s="10" t="e">
        <f>Tabela2[[#This Row],[Coluna72]]</f>
        <v>#REF!</v>
      </c>
      <c r="U1509" s="10">
        <f>SUM(Tabela2[[#This Row],[Coluna9]],Tabela2[[#This Row],[Coluna10]])</f>
        <v>220</v>
      </c>
      <c r="V1509" s="2" t="str">
        <f>Tabela2[[#This Row],[Coluna4]]</f>
        <v>14/11/2025</v>
      </c>
      <c r="W1509" s="2" t="str">
        <f>Tabela2[[#This Row],[Coluna6]]</f>
        <v>14/11/2025</v>
      </c>
    </row>
    <row r="1510" spans="2:23" x14ac:dyDescent="0.2">
      <c r="B1510" t="s">
        <v>18</v>
      </c>
      <c r="C1510" t="s">
        <v>95</v>
      </c>
      <c r="D1510" t="s">
        <v>13</v>
      </c>
      <c r="E1510" s="8" t="s">
        <v>54</v>
      </c>
      <c r="F1510" t="s">
        <v>42</v>
      </c>
      <c r="G1510" s="8" t="s">
        <v>54</v>
      </c>
      <c r="H1510" t="s">
        <v>546</v>
      </c>
      <c r="I1510" t="e">
        <f>VLOOKUP(Tabela2[[#This Row],[Coluna7]],[1]!Tabela1[#All],2,0)</f>
        <v>#REF!</v>
      </c>
      <c r="J1510" t="s">
        <v>612</v>
      </c>
      <c r="L1510">
        <v>450</v>
      </c>
      <c r="Q1510" s="10" t="str">
        <f>Tabela2[[#This Row],[Coluna5]]</f>
        <v>11/2025</v>
      </c>
      <c r="R1510" s="10" t="str">
        <f>IF(Tabela2[[#This Row],[Coluna9]]&gt;0,"Entrada","Saída")</f>
        <v>Saída</v>
      </c>
      <c r="S1510" s="10" t="str">
        <f>Tabela2[[#This Row],[Coluna8]]</f>
        <v>LEANDRO JOAO BATISTA DA SILVA</v>
      </c>
      <c r="T1510" s="10" t="e">
        <f>Tabela2[[#This Row],[Coluna72]]</f>
        <v>#REF!</v>
      </c>
      <c r="U1510" s="10">
        <f>SUM(Tabela2[[#This Row],[Coluna9]],Tabela2[[#This Row],[Coluna10]])</f>
        <v>450</v>
      </c>
      <c r="V1510" s="2" t="str">
        <f>Tabela2[[#This Row],[Coluna4]]</f>
        <v>14/11/2025</v>
      </c>
      <c r="W1510" s="2" t="str">
        <f>Tabela2[[#This Row],[Coluna6]]</f>
        <v>14/11/2025</v>
      </c>
    </row>
    <row r="1511" spans="2:23" x14ac:dyDescent="0.2">
      <c r="B1511" t="s">
        <v>12</v>
      </c>
      <c r="C1511" t="s">
        <v>125</v>
      </c>
      <c r="D1511" t="s">
        <v>13</v>
      </c>
      <c r="E1511" s="8" t="s">
        <v>54</v>
      </c>
      <c r="F1511" t="s">
        <v>15</v>
      </c>
      <c r="G1511" s="8" t="s">
        <v>253</v>
      </c>
      <c r="H1511" t="s">
        <v>580</v>
      </c>
      <c r="I1511" t="e">
        <f>VLOOKUP(Tabela2[[#This Row],[Coluna7]],[1]!Tabela1[#All],2,0)</f>
        <v>#REF!</v>
      </c>
      <c r="J1511" t="s">
        <v>613</v>
      </c>
      <c r="L1511">
        <v>3544</v>
      </c>
      <c r="N1511" t="s">
        <v>523</v>
      </c>
      <c r="Q1511" s="10" t="str">
        <f>Tabela2[[#This Row],[Coluna5]]</f>
        <v>10/2025</v>
      </c>
      <c r="R1511" s="10" t="str">
        <f>IF(Tabela2[[#This Row],[Coluna9]]&gt;0,"Entrada","Saída")</f>
        <v>Saída</v>
      </c>
      <c r="S1511" s="10" t="str">
        <f>Tabela2[[#This Row],[Coluna8]]</f>
        <v>PARCERIA</v>
      </c>
      <c r="T1511" s="10" t="e">
        <f>Tabela2[[#This Row],[Coluna72]]</f>
        <v>#REF!</v>
      </c>
      <c r="U1511" s="10">
        <f>SUM(Tabela2[[#This Row],[Coluna9]],Tabela2[[#This Row],[Coluna10]])</f>
        <v>3544</v>
      </c>
      <c r="V1511" s="2" t="str">
        <f>Tabela2[[#This Row],[Coluna4]]</f>
        <v>14/11/2025</v>
      </c>
      <c r="W1511" s="2" t="str">
        <f>Tabela2[[#This Row],[Coluna6]]</f>
        <v>21/11/2025</v>
      </c>
    </row>
    <row r="1512" spans="2:23" x14ac:dyDescent="0.2">
      <c r="B1512" t="s">
        <v>12</v>
      </c>
      <c r="C1512" t="s">
        <v>95</v>
      </c>
      <c r="D1512" t="s">
        <v>13</v>
      </c>
      <c r="E1512" s="8" t="s">
        <v>55</v>
      </c>
      <c r="F1512" t="s">
        <v>42</v>
      </c>
      <c r="G1512" s="8" t="s">
        <v>55</v>
      </c>
      <c r="H1512" t="s">
        <v>570</v>
      </c>
      <c r="I1512" t="e">
        <f>VLOOKUP(Tabela2[[#This Row],[Coluna7]],[1]!Tabela1[#All],2,0)</f>
        <v>#REF!</v>
      </c>
      <c r="J1512" t="s">
        <v>614</v>
      </c>
      <c r="L1512">
        <v>10</v>
      </c>
      <c r="Q1512" s="10" t="str">
        <f>Tabela2[[#This Row],[Coluna5]]</f>
        <v>11/2025</v>
      </c>
      <c r="R1512" s="10" t="str">
        <f>IF(Tabela2[[#This Row],[Coluna9]]&gt;0,"Entrada","Saída")</f>
        <v>Saída</v>
      </c>
      <c r="S1512" s="10" t="str">
        <f>Tabela2[[#This Row],[Coluna8]]</f>
        <v>MARCIA MAIA CORREIA</v>
      </c>
      <c r="T1512" s="10" t="e">
        <f>Tabela2[[#This Row],[Coluna72]]</f>
        <v>#REF!</v>
      </c>
      <c r="U1512" s="10">
        <f>SUM(Tabela2[[#This Row],[Coluna9]],Tabela2[[#This Row],[Coluna10]])</f>
        <v>10</v>
      </c>
      <c r="V1512" s="2" t="str">
        <f>Tabela2[[#This Row],[Coluna4]]</f>
        <v>15/11/2025</v>
      </c>
      <c r="W1512" s="2" t="str">
        <f>Tabela2[[#This Row],[Coluna6]]</f>
        <v>15/11/2025</v>
      </c>
    </row>
    <row r="1513" spans="2:23" x14ac:dyDescent="0.2">
      <c r="B1513" t="s">
        <v>12</v>
      </c>
      <c r="C1513" t="s">
        <v>95</v>
      </c>
      <c r="D1513" t="s">
        <v>13</v>
      </c>
      <c r="E1513" s="8" t="s">
        <v>55</v>
      </c>
      <c r="F1513" t="s">
        <v>42</v>
      </c>
      <c r="G1513" s="8" t="s">
        <v>55</v>
      </c>
      <c r="H1513" t="s">
        <v>570</v>
      </c>
      <c r="I1513" t="e">
        <f>VLOOKUP(Tabela2[[#This Row],[Coluna7]],[1]!Tabela1[#All],2,0)</f>
        <v>#REF!</v>
      </c>
      <c r="J1513" t="s">
        <v>615</v>
      </c>
      <c r="L1513">
        <v>17</v>
      </c>
      <c r="Q1513" s="10" t="str">
        <f>Tabela2[[#This Row],[Coluna5]]</f>
        <v>11/2025</v>
      </c>
      <c r="R1513" s="10" t="str">
        <f>IF(Tabela2[[#This Row],[Coluna9]]&gt;0,"Entrada","Saída")</f>
        <v>Saída</v>
      </c>
      <c r="S1513" s="10" t="str">
        <f>Tabela2[[#This Row],[Coluna8]]</f>
        <v>JOABSON DE ARAUJO</v>
      </c>
      <c r="T1513" s="10" t="e">
        <f>Tabela2[[#This Row],[Coluna72]]</f>
        <v>#REF!</v>
      </c>
      <c r="U1513" s="10">
        <f>SUM(Tabela2[[#This Row],[Coluna9]],Tabela2[[#This Row],[Coluna10]])</f>
        <v>17</v>
      </c>
      <c r="V1513" s="2" t="str">
        <f>Tabela2[[#This Row],[Coluna4]]</f>
        <v>15/11/2025</v>
      </c>
      <c r="W1513" s="2" t="str">
        <f>Tabela2[[#This Row],[Coluna6]]</f>
        <v>15/11/2025</v>
      </c>
    </row>
    <row r="1514" spans="2:23" x14ac:dyDescent="0.2">
      <c r="B1514" t="s">
        <v>12</v>
      </c>
      <c r="C1514" t="s">
        <v>95</v>
      </c>
      <c r="D1514" t="s">
        <v>13</v>
      </c>
      <c r="E1514" s="8" t="s">
        <v>55</v>
      </c>
      <c r="F1514" t="s">
        <v>42</v>
      </c>
      <c r="G1514" s="8" t="s">
        <v>55</v>
      </c>
      <c r="H1514" t="s">
        <v>570</v>
      </c>
      <c r="I1514" t="e">
        <f>VLOOKUP(Tabela2[[#This Row],[Coluna7]],[1]!Tabela1[#All],2,0)</f>
        <v>#REF!</v>
      </c>
      <c r="J1514" t="s">
        <v>616</v>
      </c>
      <c r="L1514">
        <v>18</v>
      </c>
      <c r="Q1514" s="10" t="str">
        <f>Tabela2[[#This Row],[Coluna5]]</f>
        <v>11/2025</v>
      </c>
      <c r="R1514" s="10" t="str">
        <f>IF(Tabela2[[#This Row],[Coluna9]]&gt;0,"Entrada","Saída")</f>
        <v>Saída</v>
      </c>
      <c r="S1514" s="10" t="str">
        <f>Tabela2[[#This Row],[Coluna8]]</f>
        <v>NETO CASA E CONSTRUÇÃO</v>
      </c>
      <c r="T1514" s="10" t="e">
        <f>Tabela2[[#This Row],[Coluna72]]</f>
        <v>#REF!</v>
      </c>
      <c r="U1514" s="10">
        <f>SUM(Tabela2[[#This Row],[Coluna9]],Tabela2[[#This Row],[Coluna10]])</f>
        <v>18</v>
      </c>
      <c r="V1514" s="2" t="str">
        <f>Tabela2[[#This Row],[Coluna4]]</f>
        <v>15/11/2025</v>
      </c>
      <c r="W1514" s="2" t="str">
        <f>Tabela2[[#This Row],[Coluna6]]</f>
        <v>15/11/2025</v>
      </c>
    </row>
    <row r="1515" spans="2:23" x14ac:dyDescent="0.2">
      <c r="B1515" t="s">
        <v>18</v>
      </c>
      <c r="C1515" t="s">
        <v>95</v>
      </c>
      <c r="D1515" t="s">
        <v>13</v>
      </c>
      <c r="E1515" s="8" t="s">
        <v>55</v>
      </c>
      <c r="F1515" t="s">
        <v>42</v>
      </c>
      <c r="G1515" s="8" t="s">
        <v>55</v>
      </c>
      <c r="H1515" t="s">
        <v>546</v>
      </c>
      <c r="I1515" t="e">
        <f>VLOOKUP(Tabela2[[#This Row],[Coluna7]],[1]!Tabela1[#All],2,0)</f>
        <v>#REF!</v>
      </c>
      <c r="J1515" t="s">
        <v>584</v>
      </c>
      <c r="L1515">
        <v>200</v>
      </c>
      <c r="Q1515" s="10" t="str">
        <f>Tabela2[[#This Row],[Coluna5]]</f>
        <v>11/2025</v>
      </c>
      <c r="R1515" s="10" t="str">
        <f>IF(Tabela2[[#This Row],[Coluna9]]&gt;0,"Entrada","Saída")</f>
        <v>Saída</v>
      </c>
      <c r="S1515" s="10" t="str">
        <f>Tabela2[[#This Row],[Coluna8]]</f>
        <v>ELIEL ANTONIO DA SILVA</v>
      </c>
      <c r="T1515" s="10" t="e">
        <f>Tabela2[[#This Row],[Coluna72]]</f>
        <v>#REF!</v>
      </c>
      <c r="U1515" s="10">
        <f>SUM(Tabela2[[#This Row],[Coluna9]],Tabela2[[#This Row],[Coluna10]])</f>
        <v>200</v>
      </c>
      <c r="V1515" s="2" t="str">
        <f>Tabela2[[#This Row],[Coluna4]]</f>
        <v>15/11/2025</v>
      </c>
      <c r="W1515" s="2" t="str">
        <f>Tabela2[[#This Row],[Coluna6]]</f>
        <v>15/11/2025</v>
      </c>
    </row>
    <row r="1516" spans="2:23" x14ac:dyDescent="0.2">
      <c r="B1516" t="s">
        <v>18</v>
      </c>
      <c r="C1516" t="s">
        <v>95</v>
      </c>
      <c r="D1516" t="s">
        <v>13</v>
      </c>
      <c r="E1516" s="8" t="s">
        <v>55</v>
      </c>
      <c r="F1516" t="s">
        <v>42</v>
      </c>
      <c r="G1516" s="8" t="s">
        <v>55</v>
      </c>
      <c r="H1516" t="s">
        <v>580</v>
      </c>
      <c r="I1516" t="e">
        <f>VLOOKUP(Tabela2[[#This Row],[Coluna7]],[1]!Tabela1[#All],2,0)</f>
        <v>#REF!</v>
      </c>
      <c r="J1516" t="s">
        <v>583</v>
      </c>
      <c r="L1516">
        <v>5000</v>
      </c>
      <c r="Q1516" s="10" t="str">
        <f>Tabela2[[#This Row],[Coluna5]]</f>
        <v>11/2025</v>
      </c>
      <c r="R1516" s="10" t="str">
        <f>IF(Tabela2[[#This Row],[Coluna9]]&gt;0,"Entrada","Saída")</f>
        <v>Saída</v>
      </c>
      <c r="S1516" s="10" t="str">
        <f>Tabela2[[#This Row],[Coluna8]]</f>
        <v>DIEGO AIRES MORENO</v>
      </c>
      <c r="T1516" s="10" t="e">
        <f>Tabela2[[#This Row],[Coluna72]]</f>
        <v>#REF!</v>
      </c>
      <c r="U1516" s="10">
        <f>SUM(Tabela2[[#This Row],[Coluna9]],Tabela2[[#This Row],[Coluna10]])</f>
        <v>5000</v>
      </c>
      <c r="V1516" s="2" t="str">
        <f>Tabela2[[#This Row],[Coluna4]]</f>
        <v>15/11/2025</v>
      </c>
      <c r="W1516" s="2" t="str">
        <f>Tabela2[[#This Row],[Coluna6]]</f>
        <v>15/11/2025</v>
      </c>
    </row>
    <row r="1517" spans="2:23" x14ac:dyDescent="0.2">
      <c r="B1517" t="s">
        <v>12</v>
      </c>
      <c r="C1517" t="s">
        <v>95</v>
      </c>
      <c r="D1517" t="s">
        <v>13</v>
      </c>
      <c r="E1517" s="8" t="s">
        <v>401</v>
      </c>
      <c r="F1517" t="s">
        <v>42</v>
      </c>
      <c r="G1517" s="8" t="s">
        <v>401</v>
      </c>
      <c r="H1517" t="s">
        <v>538</v>
      </c>
      <c r="I1517" t="e">
        <f>VLOOKUP(Tabela2[[#This Row],[Coluna7]],[1]!Tabela1[#All],2,0)</f>
        <v>#REF!</v>
      </c>
      <c r="J1517" t="s">
        <v>584</v>
      </c>
      <c r="L1517">
        <v>50</v>
      </c>
      <c r="Q1517" s="10" t="str">
        <f>Tabela2[[#This Row],[Coluna5]]</f>
        <v>11/2025</v>
      </c>
      <c r="R1517" s="10" t="str">
        <f>IF(Tabela2[[#This Row],[Coluna9]]&gt;0,"Entrada","Saída")</f>
        <v>Saída</v>
      </c>
      <c r="S1517" s="10" t="str">
        <f>Tabela2[[#This Row],[Coluna8]]</f>
        <v>ELIEL ANTONIO DA SILVA</v>
      </c>
      <c r="T1517" s="10" t="e">
        <f>Tabela2[[#This Row],[Coluna72]]</f>
        <v>#REF!</v>
      </c>
      <c r="U1517" s="10">
        <f>SUM(Tabela2[[#This Row],[Coluna9]],Tabela2[[#This Row],[Coluna10]])</f>
        <v>50</v>
      </c>
      <c r="V1517" s="2" t="str">
        <f>Tabela2[[#This Row],[Coluna4]]</f>
        <v>16/11/2025</v>
      </c>
      <c r="W1517" s="2" t="str">
        <f>Tabela2[[#This Row],[Coluna6]]</f>
        <v>16/11/2025</v>
      </c>
    </row>
    <row r="1518" spans="2:23" x14ac:dyDescent="0.2">
      <c r="B1518" t="s">
        <v>18</v>
      </c>
      <c r="C1518" t="s">
        <v>95</v>
      </c>
      <c r="D1518" t="s">
        <v>13</v>
      </c>
      <c r="E1518" s="8" t="s">
        <v>401</v>
      </c>
      <c r="F1518" t="s">
        <v>42</v>
      </c>
      <c r="G1518" s="8" t="s">
        <v>401</v>
      </c>
      <c r="H1518" t="s">
        <v>546</v>
      </c>
      <c r="I1518" t="e">
        <f>VLOOKUP(Tabela2[[#This Row],[Coluna7]],[1]!Tabela1[#All],2,0)</f>
        <v>#REF!</v>
      </c>
      <c r="J1518" t="s">
        <v>584</v>
      </c>
      <c r="L1518">
        <v>1200</v>
      </c>
      <c r="Q1518" s="10" t="str">
        <f>Tabela2[[#This Row],[Coluna5]]</f>
        <v>11/2025</v>
      </c>
      <c r="R1518" s="10" t="str">
        <f>IF(Tabela2[[#This Row],[Coluna9]]&gt;0,"Entrada","Saída")</f>
        <v>Saída</v>
      </c>
      <c r="S1518" s="10" t="str">
        <f>Tabela2[[#This Row],[Coluna8]]</f>
        <v>ELIEL ANTONIO DA SILVA</v>
      </c>
      <c r="T1518" s="10" t="e">
        <f>Tabela2[[#This Row],[Coluna72]]</f>
        <v>#REF!</v>
      </c>
      <c r="U1518" s="10">
        <f>SUM(Tabela2[[#This Row],[Coluna9]],Tabela2[[#This Row],[Coluna10]])</f>
        <v>1200</v>
      </c>
      <c r="V1518" s="2" t="str">
        <f>Tabela2[[#This Row],[Coluna4]]</f>
        <v>16/11/2025</v>
      </c>
      <c r="W1518" s="2" t="str">
        <f>Tabela2[[#This Row],[Coluna6]]</f>
        <v>16/11/2025</v>
      </c>
    </row>
    <row r="1519" spans="2:23" x14ac:dyDescent="0.2">
      <c r="B1519" t="s">
        <v>27</v>
      </c>
      <c r="C1519" t="s">
        <v>95</v>
      </c>
      <c r="D1519" t="s">
        <v>13</v>
      </c>
      <c r="E1519" s="8" t="s">
        <v>56</v>
      </c>
      <c r="F1519" t="s">
        <v>42</v>
      </c>
      <c r="G1519" s="8" t="s">
        <v>56</v>
      </c>
      <c r="H1519" t="s">
        <v>538</v>
      </c>
      <c r="I1519" t="e">
        <f>VLOOKUP(Tabela2[[#This Row],[Coluna7]],[1]!Tabela1[#All],2,0)</f>
        <v>#REF!</v>
      </c>
      <c r="J1519" t="s">
        <v>576</v>
      </c>
      <c r="L1519">
        <v>2223</v>
      </c>
      <c r="Q1519" s="10" t="str">
        <f>Tabela2[[#This Row],[Coluna5]]</f>
        <v>11/2025</v>
      </c>
      <c r="R1519" s="10" t="str">
        <f>IF(Tabela2[[#This Row],[Coluna9]]&gt;0,"Entrada","Saída")</f>
        <v>Saída</v>
      </c>
      <c r="S1519" s="10" t="str">
        <f>Tabela2[[#This Row],[Coluna8]]</f>
        <v>CARTÃO DÉBITO - BRADESCO</v>
      </c>
      <c r="T1519" s="10" t="e">
        <f>Tabela2[[#This Row],[Coluna72]]</f>
        <v>#REF!</v>
      </c>
      <c r="U1519" s="10">
        <f>SUM(Tabela2[[#This Row],[Coluna9]],Tabela2[[#This Row],[Coluna10]])</f>
        <v>2223</v>
      </c>
      <c r="V1519" s="2" t="str">
        <f>Tabela2[[#This Row],[Coluna4]]</f>
        <v>17/11/2025</v>
      </c>
      <c r="W1519" s="2" t="str">
        <f>Tabela2[[#This Row],[Coluna6]]</f>
        <v>17/11/2025</v>
      </c>
    </row>
    <row r="1520" spans="2:23" x14ac:dyDescent="0.2">
      <c r="B1520" t="s">
        <v>18</v>
      </c>
      <c r="C1520" t="s">
        <v>95</v>
      </c>
      <c r="D1520" t="s">
        <v>13</v>
      </c>
      <c r="E1520" s="8" t="s">
        <v>49</v>
      </c>
      <c r="F1520" t="s">
        <v>42</v>
      </c>
      <c r="G1520" s="8" t="s">
        <v>49</v>
      </c>
      <c r="H1520" t="s">
        <v>570</v>
      </c>
      <c r="I1520" t="e">
        <f>VLOOKUP(Tabela2[[#This Row],[Coluna7]],[1]!Tabela1[#All],2,0)</f>
        <v>#REF!</v>
      </c>
      <c r="L1520">
        <v>34</v>
      </c>
      <c r="Q1520" s="10" t="str">
        <f>Tabela2[[#This Row],[Coluna5]]</f>
        <v>11/2025</v>
      </c>
      <c r="R1520" s="10" t="str">
        <f>IF(Tabela2[[#This Row],[Coluna9]]&gt;0,"Entrada","Saída")</f>
        <v>Saída</v>
      </c>
      <c r="S1520" s="10">
        <f>Tabela2[[#This Row],[Coluna8]]</f>
        <v>0</v>
      </c>
      <c r="T1520" s="10" t="e">
        <f>Tabela2[[#This Row],[Coluna72]]</f>
        <v>#REF!</v>
      </c>
      <c r="U1520" s="10">
        <f>SUM(Tabela2[[#This Row],[Coluna9]],Tabela2[[#This Row],[Coluna10]])</f>
        <v>34</v>
      </c>
      <c r="V1520" s="2" t="str">
        <f>Tabela2[[#This Row],[Coluna4]]</f>
        <v>18/11/2025</v>
      </c>
      <c r="W1520" s="2" t="str">
        <f>Tabela2[[#This Row],[Coluna6]]</f>
        <v>18/11/2025</v>
      </c>
    </row>
    <row r="1521" spans="2:23" x14ac:dyDescent="0.2">
      <c r="B1521" t="s">
        <v>18</v>
      </c>
      <c r="C1521" t="s">
        <v>95</v>
      </c>
      <c r="D1521" t="s">
        <v>13</v>
      </c>
      <c r="E1521" s="8" t="s">
        <v>49</v>
      </c>
      <c r="F1521" t="s">
        <v>42</v>
      </c>
      <c r="G1521" s="8" t="s">
        <v>49</v>
      </c>
      <c r="H1521" t="s">
        <v>443</v>
      </c>
      <c r="I1521" t="e">
        <f>VLOOKUP(Tabela2[[#This Row],[Coluna7]],[1]!Tabela1[#All],2,0)</f>
        <v>#REF!</v>
      </c>
      <c r="J1521" t="s">
        <v>550</v>
      </c>
      <c r="L1521">
        <v>22</v>
      </c>
      <c r="Q1521" s="10" t="str">
        <f>Tabela2[[#This Row],[Coluna5]]</f>
        <v>11/2025</v>
      </c>
      <c r="R1521" s="10" t="str">
        <f>IF(Tabela2[[#This Row],[Coluna9]]&gt;0,"Entrada","Saída")</f>
        <v>Saída</v>
      </c>
      <c r="S1521" s="10" t="str">
        <f>Tabela2[[#This Row],[Coluna8]]</f>
        <v>ALMOÇO THIAGO</v>
      </c>
      <c r="T1521" s="10" t="e">
        <f>Tabela2[[#This Row],[Coluna72]]</f>
        <v>#REF!</v>
      </c>
      <c r="U1521" s="10">
        <f>SUM(Tabela2[[#This Row],[Coluna9]],Tabela2[[#This Row],[Coluna10]])</f>
        <v>22</v>
      </c>
      <c r="V1521" s="2" t="str">
        <f>Tabela2[[#This Row],[Coluna4]]</f>
        <v>18/11/2025</v>
      </c>
      <c r="W1521" s="2" t="str">
        <f>Tabela2[[#This Row],[Coluna6]]</f>
        <v>18/11/2025</v>
      </c>
    </row>
    <row r="1522" spans="2:23" x14ac:dyDescent="0.2">
      <c r="B1522" t="s">
        <v>18</v>
      </c>
      <c r="C1522" t="s">
        <v>95</v>
      </c>
      <c r="D1522" t="s">
        <v>13</v>
      </c>
      <c r="E1522" s="8" t="s">
        <v>49</v>
      </c>
      <c r="F1522" t="s">
        <v>42</v>
      </c>
      <c r="G1522" s="8" t="s">
        <v>49</v>
      </c>
      <c r="H1522" t="s">
        <v>580</v>
      </c>
      <c r="I1522" t="e">
        <f>VLOOKUP(Tabela2[[#This Row],[Coluna7]],[1]!Tabela1[#All],2,0)</f>
        <v>#REF!</v>
      </c>
      <c r="J1522" t="s">
        <v>549</v>
      </c>
      <c r="L1522">
        <v>272.43</v>
      </c>
      <c r="Q1522" s="10" t="str">
        <f>Tabela2[[#This Row],[Coluna5]]</f>
        <v>11/2025</v>
      </c>
      <c r="R1522" s="10" t="str">
        <f>IF(Tabela2[[#This Row],[Coluna9]]&gt;0,"Entrada","Saída")</f>
        <v>Saída</v>
      </c>
      <c r="S1522" s="10" t="str">
        <f>Tabela2[[#This Row],[Coluna8]]</f>
        <v>LINDA - MARIA DAS GRAÇAS FORTUNATO CALIXTO</v>
      </c>
      <c r="T1522" s="10" t="e">
        <f>Tabela2[[#This Row],[Coluna72]]</f>
        <v>#REF!</v>
      </c>
      <c r="U1522" s="10">
        <f>SUM(Tabela2[[#This Row],[Coluna9]],Tabela2[[#This Row],[Coluna10]])</f>
        <v>272.43</v>
      </c>
      <c r="V1522" s="2" t="str">
        <f>Tabela2[[#This Row],[Coluna4]]</f>
        <v>18/11/2025</v>
      </c>
      <c r="W1522" s="2" t="str">
        <f>Tabela2[[#This Row],[Coluna6]]</f>
        <v>18/11/2025</v>
      </c>
    </row>
    <row r="1523" spans="2:23" x14ac:dyDescent="0.2">
      <c r="B1523" t="s">
        <v>12</v>
      </c>
      <c r="C1523" t="s">
        <v>95</v>
      </c>
      <c r="D1523" t="s">
        <v>13</v>
      </c>
      <c r="E1523" s="8" t="s">
        <v>49</v>
      </c>
      <c r="F1523" t="s">
        <v>42</v>
      </c>
      <c r="G1523" s="8" t="s">
        <v>49</v>
      </c>
      <c r="H1523" t="s">
        <v>546</v>
      </c>
      <c r="I1523" t="e">
        <f>VLOOKUP(Tabela2[[#This Row],[Coluna7]],[1]!Tabela1[#All],2,0)</f>
        <v>#REF!</v>
      </c>
      <c r="J1523" t="s">
        <v>565</v>
      </c>
      <c r="L1523">
        <v>50</v>
      </c>
      <c r="Q1523" s="10" t="str">
        <f>Tabela2[[#This Row],[Coluna5]]</f>
        <v>11/2025</v>
      </c>
      <c r="R1523" s="10" t="str">
        <f>IF(Tabela2[[#This Row],[Coluna9]]&gt;0,"Entrada","Saída")</f>
        <v>Saída</v>
      </c>
      <c r="S1523" s="10" t="str">
        <f>Tabela2[[#This Row],[Coluna8]]</f>
        <v>LEANDRO JOAO BATISTA</v>
      </c>
      <c r="T1523" s="10" t="e">
        <f>Tabela2[[#This Row],[Coluna72]]</f>
        <v>#REF!</v>
      </c>
      <c r="U1523" s="10">
        <f>SUM(Tabela2[[#This Row],[Coluna9]],Tabela2[[#This Row],[Coluna10]])</f>
        <v>50</v>
      </c>
      <c r="V1523" s="2" t="str">
        <f>Tabela2[[#This Row],[Coluna4]]</f>
        <v>18/11/2025</v>
      </c>
      <c r="W1523" s="2" t="str">
        <f>Tabela2[[#This Row],[Coluna6]]</f>
        <v>18/11/2025</v>
      </c>
    </row>
    <row r="1524" spans="2:23" x14ac:dyDescent="0.2">
      <c r="B1524" t="s">
        <v>18</v>
      </c>
      <c r="C1524" t="s">
        <v>95</v>
      </c>
      <c r="D1524" t="s">
        <v>13</v>
      </c>
      <c r="E1524" s="8" t="s">
        <v>59</v>
      </c>
      <c r="F1524" t="s">
        <v>42</v>
      </c>
      <c r="G1524" s="8" t="s">
        <v>59</v>
      </c>
      <c r="H1524" t="s">
        <v>546</v>
      </c>
      <c r="I1524" t="e">
        <f>VLOOKUP(Tabela2[[#This Row],[Coluna7]],[1]!Tabela1[#All],2,0)</f>
        <v>#REF!</v>
      </c>
      <c r="J1524" t="s">
        <v>617</v>
      </c>
      <c r="L1524">
        <v>50</v>
      </c>
      <c r="Q1524" s="10" t="str">
        <f>Tabela2[[#This Row],[Coluna5]]</f>
        <v>11/2025</v>
      </c>
      <c r="R1524" s="10" t="str">
        <f>IF(Tabela2[[#This Row],[Coluna9]]&gt;0,"Entrada","Saída")</f>
        <v>Saída</v>
      </c>
      <c r="S1524" s="10" t="str">
        <f>Tabela2[[#This Row],[Coluna8]]</f>
        <v>ELIEL ANTONIO DA SILVA - GASOLINA</v>
      </c>
      <c r="T1524" s="10" t="e">
        <f>Tabela2[[#This Row],[Coluna72]]</f>
        <v>#REF!</v>
      </c>
      <c r="U1524" s="10">
        <f>SUM(Tabela2[[#This Row],[Coluna9]],Tabela2[[#This Row],[Coluna10]])</f>
        <v>50</v>
      </c>
      <c r="V1524" s="2" t="str">
        <f>Tabela2[[#This Row],[Coluna4]]</f>
        <v>19/11/2025</v>
      </c>
      <c r="W1524" s="2" t="str">
        <f>Tabela2[[#This Row],[Coluna6]]</f>
        <v>19/11/2025</v>
      </c>
    </row>
    <row r="1525" spans="2:23" x14ac:dyDescent="0.2">
      <c r="B1525" t="s">
        <v>12</v>
      </c>
      <c r="C1525" t="s">
        <v>95</v>
      </c>
      <c r="D1525" t="s">
        <v>13</v>
      </c>
      <c r="E1525" s="8" t="s">
        <v>59</v>
      </c>
      <c r="F1525" t="s">
        <v>42</v>
      </c>
      <c r="G1525" s="8" t="s">
        <v>59</v>
      </c>
      <c r="H1525" t="s">
        <v>546</v>
      </c>
      <c r="I1525" t="e">
        <f>VLOOKUP(Tabela2[[#This Row],[Coluna7]],[1]!Tabela1[#All],2,0)</f>
        <v>#REF!</v>
      </c>
      <c r="J1525" t="s">
        <v>584</v>
      </c>
      <c r="L1525">
        <v>100</v>
      </c>
      <c r="Q1525" s="10" t="str">
        <f>Tabela2[[#This Row],[Coluna5]]</f>
        <v>11/2025</v>
      </c>
      <c r="R1525" s="10" t="str">
        <f>IF(Tabela2[[#This Row],[Coluna9]]&gt;0,"Entrada","Saída")</f>
        <v>Saída</v>
      </c>
      <c r="S1525" s="10" t="str">
        <f>Tabela2[[#This Row],[Coluna8]]</f>
        <v>ELIEL ANTONIO DA SILVA</v>
      </c>
      <c r="T1525" s="10" t="e">
        <f>Tabela2[[#This Row],[Coluna72]]</f>
        <v>#REF!</v>
      </c>
      <c r="U1525" s="10">
        <f>SUM(Tabela2[[#This Row],[Coluna9]],Tabela2[[#This Row],[Coluna10]])</f>
        <v>100</v>
      </c>
      <c r="V1525" s="2" t="str">
        <f>Tabela2[[#This Row],[Coluna4]]</f>
        <v>19/11/2025</v>
      </c>
      <c r="W1525" s="2" t="str">
        <f>Tabela2[[#This Row],[Coluna6]]</f>
        <v>19/11/2025</v>
      </c>
    </row>
    <row r="1526" spans="2:23" x14ac:dyDescent="0.2">
      <c r="B1526" t="s">
        <v>18</v>
      </c>
      <c r="C1526" t="s">
        <v>95</v>
      </c>
      <c r="D1526" t="s">
        <v>13</v>
      </c>
      <c r="E1526" s="8" t="s">
        <v>60</v>
      </c>
      <c r="F1526" t="s">
        <v>42</v>
      </c>
      <c r="G1526" s="8" t="s">
        <v>60</v>
      </c>
      <c r="H1526" t="s">
        <v>618</v>
      </c>
      <c r="I1526" t="e">
        <f>VLOOKUP(Tabela2[[#This Row],[Coluna7]],[1]!Tabela1[#All],2,0)</f>
        <v>#REF!</v>
      </c>
      <c r="J1526" t="s">
        <v>619</v>
      </c>
      <c r="L1526">
        <v>79</v>
      </c>
      <c r="Q1526" s="10" t="str">
        <f>Tabela2[[#This Row],[Coluna5]]</f>
        <v>11/2025</v>
      </c>
      <c r="R1526" s="10" t="str">
        <f>IF(Tabela2[[#This Row],[Coluna9]]&gt;0,"Entrada","Saída")</f>
        <v>Saída</v>
      </c>
      <c r="S1526" s="10" t="str">
        <f>Tabela2[[#This Row],[Coluna8]]</f>
        <v>NOTAS FISCAIS</v>
      </c>
      <c r="T1526" s="10" t="e">
        <f>Tabela2[[#This Row],[Coluna72]]</f>
        <v>#REF!</v>
      </c>
      <c r="U1526" s="10">
        <f>SUM(Tabela2[[#This Row],[Coluna9]],Tabela2[[#This Row],[Coluna10]])</f>
        <v>79</v>
      </c>
      <c r="V1526" s="2" t="str">
        <f>Tabela2[[#This Row],[Coluna4]]</f>
        <v>20/11/2025</v>
      </c>
      <c r="W1526" s="2" t="str">
        <f>Tabela2[[#This Row],[Coluna6]]</f>
        <v>20/11/2025</v>
      </c>
    </row>
    <row r="1527" spans="2:23" x14ac:dyDescent="0.2">
      <c r="B1527" t="s">
        <v>12</v>
      </c>
      <c r="C1527" t="s">
        <v>95</v>
      </c>
      <c r="D1527" t="s">
        <v>13</v>
      </c>
      <c r="E1527" s="8" t="s">
        <v>253</v>
      </c>
      <c r="F1527" t="s">
        <v>42</v>
      </c>
      <c r="G1527" s="8" t="s">
        <v>253</v>
      </c>
      <c r="H1527" t="s">
        <v>597</v>
      </c>
      <c r="I1527" t="e">
        <f>VLOOKUP(Tabela2[[#This Row],[Coluna7]],[1]!Tabela1[#All],2,0)</f>
        <v>#REF!</v>
      </c>
      <c r="J1527" t="s">
        <v>620</v>
      </c>
      <c r="L1527">
        <v>1000</v>
      </c>
      <c r="Q1527" s="10" t="str">
        <f>Tabela2[[#This Row],[Coluna5]]</f>
        <v>11/2025</v>
      </c>
      <c r="R1527" s="10" t="str">
        <f>IF(Tabela2[[#This Row],[Coluna9]]&gt;0,"Entrada","Saída")</f>
        <v>Saída</v>
      </c>
      <c r="S1527" s="10" t="str">
        <f>Tabela2[[#This Row],[Coluna8]]</f>
        <v>VALDECI MARCULINO</v>
      </c>
      <c r="T1527" s="10" t="e">
        <f>Tabela2[[#This Row],[Coluna72]]</f>
        <v>#REF!</v>
      </c>
      <c r="U1527" s="10">
        <f>SUM(Tabela2[[#This Row],[Coluna9]],Tabela2[[#This Row],[Coluna10]])</f>
        <v>1000</v>
      </c>
      <c r="V1527" s="2" t="str">
        <f>Tabela2[[#This Row],[Coluna4]]</f>
        <v>21/11/2025</v>
      </c>
      <c r="W1527" s="2" t="str">
        <f>Tabela2[[#This Row],[Coluna6]]</f>
        <v>21/11/2025</v>
      </c>
    </row>
    <row r="1528" spans="2:23" x14ac:dyDescent="0.2">
      <c r="B1528" t="s">
        <v>12</v>
      </c>
      <c r="C1528" t="s">
        <v>95</v>
      </c>
      <c r="D1528" t="s">
        <v>13</v>
      </c>
      <c r="E1528" s="8" t="s">
        <v>253</v>
      </c>
      <c r="F1528" t="s">
        <v>42</v>
      </c>
      <c r="G1528" s="8" t="s">
        <v>253</v>
      </c>
      <c r="H1528" t="s">
        <v>546</v>
      </c>
      <c r="I1528" t="e">
        <f>VLOOKUP(Tabela2[[#This Row],[Coluna7]],[1]!Tabela1[#All],2,0)</f>
        <v>#REF!</v>
      </c>
      <c r="J1528" t="s">
        <v>584</v>
      </c>
      <c r="L1528">
        <v>150</v>
      </c>
      <c r="Q1528" s="10" t="str">
        <f>Tabela2[[#This Row],[Coluna5]]</f>
        <v>11/2025</v>
      </c>
      <c r="R1528" s="10" t="str">
        <f>IF(Tabela2[[#This Row],[Coluna9]]&gt;0,"Entrada","Saída")</f>
        <v>Saída</v>
      </c>
      <c r="S1528" s="10" t="str">
        <f>Tabela2[[#This Row],[Coluna8]]</f>
        <v>ELIEL ANTONIO DA SILVA</v>
      </c>
      <c r="T1528" s="10" t="e">
        <f>Tabela2[[#This Row],[Coluna72]]</f>
        <v>#REF!</v>
      </c>
      <c r="U1528" s="10">
        <f>SUM(Tabela2[[#This Row],[Coluna9]],Tabela2[[#This Row],[Coluna10]])</f>
        <v>150</v>
      </c>
      <c r="V1528" s="2" t="str">
        <f>Tabela2[[#This Row],[Coluna4]]</f>
        <v>21/11/2025</v>
      </c>
      <c r="W1528" s="2" t="str">
        <f>Tabela2[[#This Row],[Coluna6]]</f>
        <v>21/11/2025</v>
      </c>
    </row>
    <row r="1529" spans="2:23" x14ac:dyDescent="0.2">
      <c r="B1529" t="s">
        <v>12</v>
      </c>
      <c r="C1529" t="s">
        <v>95</v>
      </c>
      <c r="D1529" t="s">
        <v>13</v>
      </c>
      <c r="E1529" s="8" t="s">
        <v>253</v>
      </c>
      <c r="F1529" t="s">
        <v>42</v>
      </c>
      <c r="G1529" s="8" t="s">
        <v>253</v>
      </c>
      <c r="H1529" t="s">
        <v>546</v>
      </c>
      <c r="I1529" t="e">
        <f>VLOOKUP(Tabela2[[#This Row],[Coluna7]],[1]!Tabela1[#All],2,0)</f>
        <v>#REF!</v>
      </c>
      <c r="J1529" t="s">
        <v>565</v>
      </c>
      <c r="L1529">
        <v>100</v>
      </c>
      <c r="Q1529" s="10" t="str">
        <f>Tabela2[[#This Row],[Coluna5]]</f>
        <v>11/2025</v>
      </c>
      <c r="R1529" s="10" t="str">
        <f>IF(Tabela2[[#This Row],[Coluna9]]&gt;0,"Entrada","Saída")</f>
        <v>Saída</v>
      </c>
      <c r="S1529" s="10" t="str">
        <f>Tabela2[[#This Row],[Coluna8]]</f>
        <v>LEANDRO JOAO BATISTA</v>
      </c>
      <c r="T1529" s="10" t="e">
        <f>Tabela2[[#This Row],[Coluna72]]</f>
        <v>#REF!</v>
      </c>
      <c r="U1529" s="10">
        <f>SUM(Tabela2[[#This Row],[Coluna9]],Tabela2[[#This Row],[Coluna10]])</f>
        <v>100</v>
      </c>
      <c r="V1529" s="2" t="str">
        <f>Tabela2[[#This Row],[Coluna4]]</f>
        <v>21/11/2025</v>
      </c>
      <c r="W1529" s="2" t="str">
        <f>Tabela2[[#This Row],[Coluna6]]</f>
        <v>21/11/2025</v>
      </c>
    </row>
    <row r="1530" spans="2:23" x14ac:dyDescent="0.2">
      <c r="B1530" t="s">
        <v>12</v>
      </c>
      <c r="C1530" t="s">
        <v>95</v>
      </c>
      <c r="D1530" t="s">
        <v>13</v>
      </c>
      <c r="E1530" s="8" t="s">
        <v>253</v>
      </c>
      <c r="F1530" t="s">
        <v>42</v>
      </c>
      <c r="G1530" s="8" t="s">
        <v>253</v>
      </c>
      <c r="H1530" t="s">
        <v>535</v>
      </c>
      <c r="I1530" t="e">
        <f>VLOOKUP(Tabela2[[#This Row],[Coluna7]],[1]!Tabela1[#All],2,0)</f>
        <v>#REF!</v>
      </c>
      <c r="J1530" t="s">
        <v>621</v>
      </c>
      <c r="L1530">
        <v>50</v>
      </c>
      <c r="Q1530" s="10" t="str">
        <f>Tabela2[[#This Row],[Coluna5]]</f>
        <v>11/2025</v>
      </c>
      <c r="R1530" s="10" t="str">
        <f>IF(Tabela2[[#This Row],[Coluna9]]&gt;0,"Entrada","Saída")</f>
        <v>Saída</v>
      </c>
      <c r="S1530" s="10" t="str">
        <f>Tabela2[[#This Row],[Coluna8]]</f>
        <v>ANIVERSÁRIO ALISSON</v>
      </c>
      <c r="T1530" s="10" t="e">
        <f>Tabela2[[#This Row],[Coluna72]]</f>
        <v>#REF!</v>
      </c>
      <c r="U1530" s="10">
        <f>SUM(Tabela2[[#This Row],[Coluna9]],Tabela2[[#This Row],[Coluna10]])</f>
        <v>50</v>
      </c>
      <c r="V1530" s="2" t="str">
        <f>Tabela2[[#This Row],[Coluna4]]</f>
        <v>21/11/2025</v>
      </c>
      <c r="W1530" s="2" t="str">
        <f>Tabela2[[#This Row],[Coluna6]]</f>
        <v>21/11/2025</v>
      </c>
    </row>
    <row r="1531" spans="2:23" x14ac:dyDescent="0.2">
      <c r="B1531" t="s">
        <v>18</v>
      </c>
      <c r="C1531" t="s">
        <v>95</v>
      </c>
      <c r="D1531" t="s">
        <v>13</v>
      </c>
      <c r="E1531" s="8" t="s">
        <v>61</v>
      </c>
      <c r="F1531" t="s">
        <v>42</v>
      </c>
      <c r="G1531" s="8" t="s">
        <v>61</v>
      </c>
      <c r="H1531" t="s">
        <v>546</v>
      </c>
      <c r="I1531" t="e">
        <f>VLOOKUP(Tabela2[[#This Row],[Coluna7]],[1]!Tabela1[#All],2,0)</f>
        <v>#REF!</v>
      </c>
      <c r="J1531" t="s">
        <v>547</v>
      </c>
      <c r="L1531">
        <v>650</v>
      </c>
      <c r="Q1531" s="10" t="str">
        <f>Tabela2[[#This Row],[Coluna5]]</f>
        <v>11/2025</v>
      </c>
      <c r="R1531" s="10" t="str">
        <f>IF(Tabela2[[#This Row],[Coluna9]]&gt;0,"Entrada","Saída")</f>
        <v>Saída</v>
      </c>
      <c r="S1531" s="10" t="str">
        <f>Tabela2[[#This Row],[Coluna8]]</f>
        <v>LEANDRO JOAO BATISTA DOS SANTOS</v>
      </c>
      <c r="T1531" s="10" t="e">
        <f>Tabela2[[#This Row],[Coluna72]]</f>
        <v>#REF!</v>
      </c>
      <c r="U1531" s="10">
        <f>SUM(Tabela2[[#This Row],[Coluna9]],Tabela2[[#This Row],[Coluna10]])</f>
        <v>650</v>
      </c>
      <c r="V1531" s="2" t="str">
        <f>Tabela2[[#This Row],[Coluna4]]</f>
        <v>22/11/2025</v>
      </c>
      <c r="W1531" s="2" t="str">
        <f>Tabela2[[#This Row],[Coluna6]]</f>
        <v>22/11/2025</v>
      </c>
    </row>
    <row r="1532" spans="2:23" x14ac:dyDescent="0.2">
      <c r="B1532" t="s">
        <v>18</v>
      </c>
      <c r="C1532" t="s">
        <v>95</v>
      </c>
      <c r="D1532" t="s">
        <v>13</v>
      </c>
      <c r="E1532" s="8" t="s">
        <v>61</v>
      </c>
      <c r="F1532" t="s">
        <v>42</v>
      </c>
      <c r="G1532" s="8" t="s">
        <v>61</v>
      </c>
      <c r="H1532" t="s">
        <v>546</v>
      </c>
      <c r="I1532" t="e">
        <f>VLOOKUP(Tabela2[[#This Row],[Coluna7]],[1]!Tabela1[#All],2,0)</f>
        <v>#REF!</v>
      </c>
      <c r="J1532" t="s">
        <v>584</v>
      </c>
      <c r="L1532">
        <v>1000</v>
      </c>
      <c r="Q1532" s="10" t="str">
        <f>Tabela2[[#This Row],[Coluna5]]</f>
        <v>11/2025</v>
      </c>
      <c r="R1532" s="10" t="str">
        <f>IF(Tabela2[[#This Row],[Coluna9]]&gt;0,"Entrada","Saída")</f>
        <v>Saída</v>
      </c>
      <c r="S1532" s="10" t="str">
        <f>Tabela2[[#This Row],[Coluna8]]</f>
        <v>ELIEL ANTONIO DA SILVA</v>
      </c>
      <c r="T1532" s="10" t="e">
        <f>Tabela2[[#This Row],[Coluna72]]</f>
        <v>#REF!</v>
      </c>
      <c r="U1532" s="10">
        <f>SUM(Tabela2[[#This Row],[Coluna9]],Tabela2[[#This Row],[Coluna10]])</f>
        <v>1000</v>
      </c>
      <c r="V1532" s="2" t="str">
        <f>Tabela2[[#This Row],[Coluna4]]</f>
        <v>22/11/2025</v>
      </c>
      <c r="W1532" s="2" t="str">
        <f>Tabela2[[#This Row],[Coluna6]]</f>
        <v>22/11/2025</v>
      </c>
    </row>
    <row r="1533" spans="2:23" x14ac:dyDescent="0.2">
      <c r="B1533" t="s">
        <v>18</v>
      </c>
      <c r="C1533" t="s">
        <v>95</v>
      </c>
      <c r="D1533" t="s">
        <v>13</v>
      </c>
      <c r="E1533" s="8" t="s">
        <v>62</v>
      </c>
      <c r="F1533" t="s">
        <v>42</v>
      </c>
      <c r="G1533" s="8" t="s">
        <v>62</v>
      </c>
      <c r="H1533" t="s">
        <v>542</v>
      </c>
      <c r="I1533" t="e">
        <f>VLOOKUP(Tabela2[[#This Row],[Coluna7]],[1]!Tabela1[#All],2,0)</f>
        <v>#REF!</v>
      </c>
      <c r="J1533" t="s">
        <v>622</v>
      </c>
      <c r="L1533">
        <v>250</v>
      </c>
      <c r="Q1533" s="10" t="str">
        <f>Tabela2[[#This Row],[Coluna5]]</f>
        <v>11/2025</v>
      </c>
      <c r="R1533" s="10" t="str">
        <f>IF(Tabela2[[#This Row],[Coluna9]]&gt;0,"Entrada","Saída")</f>
        <v>Saída</v>
      </c>
      <c r="S1533" s="10" t="str">
        <f>Tabela2[[#This Row],[Coluna8]]</f>
        <v>JOSENILDA PONCIANO  - REFERENTE A JOAO SIMAO</v>
      </c>
      <c r="T1533" s="10" t="e">
        <f>Tabela2[[#This Row],[Coluna72]]</f>
        <v>#REF!</v>
      </c>
      <c r="U1533" s="10">
        <f>SUM(Tabela2[[#This Row],[Coluna9]],Tabela2[[#This Row],[Coluna10]])</f>
        <v>250</v>
      </c>
      <c r="V1533" s="2" t="str">
        <f>Tabela2[[#This Row],[Coluna4]]</f>
        <v>24/11/2025</v>
      </c>
      <c r="W1533" s="2" t="str">
        <f>Tabela2[[#This Row],[Coluna6]]</f>
        <v>24/11/2025</v>
      </c>
    </row>
    <row r="1534" spans="2:23" x14ac:dyDescent="0.2">
      <c r="B1534" t="s">
        <v>18</v>
      </c>
      <c r="C1534" t="s">
        <v>125</v>
      </c>
      <c r="D1534" t="s">
        <v>13</v>
      </c>
      <c r="E1534" s="8" t="s">
        <v>62</v>
      </c>
      <c r="F1534" t="s">
        <v>42</v>
      </c>
      <c r="G1534" s="8" t="s">
        <v>62</v>
      </c>
      <c r="H1534" t="s">
        <v>597</v>
      </c>
      <c r="I1534" t="e">
        <f>VLOOKUP(Tabela2[[#This Row],[Coluna7]],[1]!Tabela1[#All],2,0)</f>
        <v>#REF!</v>
      </c>
      <c r="J1534" t="s">
        <v>623</v>
      </c>
      <c r="L1534">
        <v>75</v>
      </c>
      <c r="N1534" t="s">
        <v>624</v>
      </c>
      <c r="Q1534" s="10" t="str">
        <f>Tabela2[[#This Row],[Coluna5]]</f>
        <v>11/2025</v>
      </c>
      <c r="R1534" s="10" t="str">
        <f>IF(Tabela2[[#This Row],[Coluna9]]&gt;0,"Entrada","Saída")</f>
        <v>Saída</v>
      </c>
      <c r="S1534" s="10" t="str">
        <f>Tabela2[[#This Row],[Coluna8]]</f>
        <v>JOAO PAULO MONTEIRO DA SILVA</v>
      </c>
      <c r="T1534" s="10" t="e">
        <f>Tabela2[[#This Row],[Coluna72]]</f>
        <v>#REF!</v>
      </c>
      <c r="U1534" s="10">
        <f>SUM(Tabela2[[#This Row],[Coluna9]],Tabela2[[#This Row],[Coluna10]])</f>
        <v>75</v>
      </c>
      <c r="V1534" s="2" t="str">
        <f>Tabela2[[#This Row],[Coluna4]]</f>
        <v>24/11/2025</v>
      </c>
      <c r="W1534" s="2" t="str">
        <f>Tabela2[[#This Row],[Coluna6]]</f>
        <v>24/11/2025</v>
      </c>
    </row>
    <row r="1535" spans="2:23" hidden="1" x14ac:dyDescent="0.2">
      <c r="B1535" t="s">
        <v>18</v>
      </c>
      <c r="C1535" t="s">
        <v>95</v>
      </c>
      <c r="D1535" t="s">
        <v>13</v>
      </c>
      <c r="E1535" s="8" t="s">
        <v>62</v>
      </c>
      <c r="F1535" t="s">
        <v>42</v>
      </c>
      <c r="G1535" s="8" t="s">
        <v>62</v>
      </c>
      <c r="H1535" t="s">
        <v>625</v>
      </c>
      <c r="I1535" t="e">
        <f>VLOOKUP(Tabela2[[#This Row],[Coluna7]],[1]!Tabela1[#All],2,0)</f>
        <v>#REF!</v>
      </c>
      <c r="J1535" t="s">
        <v>626</v>
      </c>
      <c r="L1535">
        <v>1000</v>
      </c>
      <c r="Q1535" s="10" t="str">
        <f>Tabela2[[#This Row],[Coluna5]]</f>
        <v>11/2025</v>
      </c>
      <c r="R1535" s="10" t="str">
        <f>IF(Tabela2[[#This Row],[Coluna9]]&gt;0,"Entrada","Saída")</f>
        <v>Saída</v>
      </c>
      <c r="S1535" s="10" t="str">
        <f>Tabela2[[#This Row],[Coluna8]]</f>
        <v>CARTÃO EFI</v>
      </c>
      <c r="T1535" s="10" t="e">
        <f>Tabela2[[#This Row],[Coluna72]]</f>
        <v>#REF!</v>
      </c>
      <c r="U1535" s="10">
        <f>SUM(Tabela2[[#This Row],[Coluna9]],Tabela2[[#This Row],[Coluna10]])</f>
        <v>1000</v>
      </c>
      <c r="V1535" s="2" t="str">
        <f>Tabela2[[#This Row],[Coluna4]]</f>
        <v>24/11/2025</v>
      </c>
      <c r="W1535" s="2" t="str">
        <f>Tabela2[[#This Row],[Coluna6]]</f>
        <v>24/11/2025</v>
      </c>
    </row>
    <row r="1536" spans="2:23" x14ac:dyDescent="0.2">
      <c r="B1536" t="s">
        <v>18</v>
      </c>
      <c r="C1536" t="s">
        <v>95</v>
      </c>
      <c r="D1536" t="s">
        <v>13</v>
      </c>
      <c r="E1536" s="8" t="s">
        <v>256</v>
      </c>
      <c r="F1536" t="s">
        <v>42</v>
      </c>
      <c r="G1536" s="8" t="s">
        <v>256</v>
      </c>
      <c r="H1536" t="s">
        <v>570</v>
      </c>
      <c r="I1536" t="e">
        <f>VLOOKUP(Tabela2[[#This Row],[Coluna7]],[1]!Tabela1[#All],2,0)</f>
        <v>#REF!</v>
      </c>
      <c r="L1536">
        <v>77.66</v>
      </c>
      <c r="Q1536" s="10" t="str">
        <f>Tabela2[[#This Row],[Coluna5]]</f>
        <v>11/2025</v>
      </c>
      <c r="R1536" s="10" t="str">
        <f>IF(Tabela2[[#This Row],[Coluna9]]&gt;0,"Entrada","Saída")</f>
        <v>Saída</v>
      </c>
      <c r="S1536" s="10">
        <f>Tabela2[[#This Row],[Coluna8]]</f>
        <v>0</v>
      </c>
      <c r="T1536" s="10" t="e">
        <f>Tabela2[[#This Row],[Coluna72]]</f>
        <v>#REF!</v>
      </c>
      <c r="U1536" s="10">
        <f>SUM(Tabela2[[#This Row],[Coluna9]],Tabela2[[#This Row],[Coluna10]])</f>
        <v>77.66</v>
      </c>
      <c r="V1536" s="2" t="str">
        <f>Tabela2[[#This Row],[Coluna4]]</f>
        <v>25/11/2025</v>
      </c>
      <c r="W1536" s="2" t="str">
        <f>Tabela2[[#This Row],[Coluna6]]</f>
        <v>25/11/2025</v>
      </c>
    </row>
    <row r="1537" spans="2:23" x14ac:dyDescent="0.2">
      <c r="B1537" t="s">
        <v>18</v>
      </c>
      <c r="C1537" t="s">
        <v>95</v>
      </c>
      <c r="D1537" t="s">
        <v>13</v>
      </c>
      <c r="E1537" s="8" t="s">
        <v>256</v>
      </c>
      <c r="F1537" t="s">
        <v>42</v>
      </c>
      <c r="G1537" s="8" t="s">
        <v>256</v>
      </c>
      <c r="H1537" t="s">
        <v>443</v>
      </c>
      <c r="I1537" t="e">
        <f>VLOOKUP(Tabela2[[#This Row],[Coluna7]],[1]!Tabela1[#All],2,0)</f>
        <v>#REF!</v>
      </c>
      <c r="J1537" t="s">
        <v>454</v>
      </c>
      <c r="L1537">
        <v>22</v>
      </c>
      <c r="Q1537" s="10" t="str">
        <f>Tabela2[[#This Row],[Coluna5]]</f>
        <v>11/2025</v>
      </c>
      <c r="R1537" s="10" t="str">
        <f>IF(Tabela2[[#This Row],[Coluna9]]&gt;0,"Entrada","Saída")</f>
        <v>Saída</v>
      </c>
      <c r="S1537" s="10" t="str">
        <f>Tabela2[[#This Row],[Coluna8]]</f>
        <v>ALMOÇO</v>
      </c>
      <c r="T1537" s="10" t="e">
        <f>Tabela2[[#This Row],[Coluna72]]</f>
        <v>#REF!</v>
      </c>
      <c r="U1537" s="10">
        <f>SUM(Tabela2[[#This Row],[Coluna9]],Tabela2[[#This Row],[Coluna10]])</f>
        <v>22</v>
      </c>
      <c r="V1537" s="2" t="str">
        <f>Tabela2[[#This Row],[Coluna4]]</f>
        <v>25/11/2025</v>
      </c>
      <c r="W1537" s="2" t="str">
        <f>Tabela2[[#This Row],[Coluna6]]</f>
        <v>25/11/2025</v>
      </c>
    </row>
    <row r="1538" spans="2:23" x14ac:dyDescent="0.2">
      <c r="B1538" t="s">
        <v>18</v>
      </c>
      <c r="C1538" t="s">
        <v>95</v>
      </c>
      <c r="D1538" t="s">
        <v>13</v>
      </c>
      <c r="E1538" s="8" t="s">
        <v>256</v>
      </c>
      <c r="F1538" t="s">
        <v>42</v>
      </c>
      <c r="G1538" s="8" t="s">
        <v>256</v>
      </c>
      <c r="H1538" t="s">
        <v>542</v>
      </c>
      <c r="I1538" t="e">
        <f>VLOOKUP(Tabela2[[#This Row],[Coluna7]],[1]!Tabela1[#All],2,0)</f>
        <v>#REF!</v>
      </c>
      <c r="J1538" t="s">
        <v>583</v>
      </c>
      <c r="L1538">
        <v>300</v>
      </c>
      <c r="Q1538" s="10" t="str">
        <f>Tabela2[[#This Row],[Coluna5]]</f>
        <v>11/2025</v>
      </c>
      <c r="R1538" s="10" t="str">
        <f>IF(Tabela2[[#This Row],[Coluna9]]&gt;0,"Entrada","Saída")</f>
        <v>Saída</v>
      </c>
      <c r="S1538" s="10" t="str">
        <f>Tabela2[[#This Row],[Coluna8]]</f>
        <v>DIEGO AIRES MORENO</v>
      </c>
      <c r="T1538" s="10" t="e">
        <f>Tabela2[[#This Row],[Coluna72]]</f>
        <v>#REF!</v>
      </c>
      <c r="U1538" s="10">
        <f>SUM(Tabela2[[#This Row],[Coluna9]],Tabela2[[#This Row],[Coluna10]])</f>
        <v>300</v>
      </c>
      <c r="V1538" s="2" t="str">
        <f>Tabela2[[#This Row],[Coluna4]]</f>
        <v>25/11/2025</v>
      </c>
      <c r="W1538" s="2" t="str">
        <f>Tabela2[[#This Row],[Coluna6]]</f>
        <v>25/11/2025</v>
      </c>
    </row>
    <row r="1539" spans="2:23" x14ac:dyDescent="0.2">
      <c r="B1539" t="s">
        <v>18</v>
      </c>
      <c r="C1539" t="s">
        <v>95</v>
      </c>
      <c r="D1539" t="s">
        <v>13</v>
      </c>
      <c r="E1539" s="8" t="s">
        <v>265</v>
      </c>
      <c r="F1539" t="s">
        <v>42</v>
      </c>
      <c r="G1539" s="8" t="s">
        <v>265</v>
      </c>
      <c r="H1539" t="s">
        <v>542</v>
      </c>
      <c r="I1539" t="e">
        <f>VLOOKUP(Tabela2[[#This Row],[Coluna7]],[1]!Tabela1[#All],2,0)</f>
        <v>#REF!</v>
      </c>
      <c r="J1539" t="s">
        <v>583</v>
      </c>
      <c r="L1539">
        <v>500</v>
      </c>
      <c r="Q1539" s="10" t="str">
        <f>Tabela2[[#This Row],[Coluna5]]</f>
        <v>11/2025</v>
      </c>
      <c r="R1539" s="10" t="str">
        <f>IF(Tabela2[[#This Row],[Coluna9]]&gt;0,"Entrada","Saída")</f>
        <v>Saída</v>
      </c>
      <c r="S1539" s="10" t="str">
        <f>Tabela2[[#This Row],[Coluna8]]</f>
        <v>DIEGO AIRES MORENO</v>
      </c>
      <c r="T1539" s="10" t="e">
        <f>Tabela2[[#This Row],[Coluna72]]</f>
        <v>#REF!</v>
      </c>
      <c r="U1539" s="10">
        <f>SUM(Tabela2[[#This Row],[Coluna9]],Tabela2[[#This Row],[Coluna10]])</f>
        <v>500</v>
      </c>
      <c r="V1539" s="2" t="str">
        <f>Tabela2[[#This Row],[Coluna4]]</f>
        <v>27/11/2025</v>
      </c>
      <c r="W1539" s="2" t="str">
        <f>Tabela2[[#This Row],[Coluna6]]</f>
        <v>27/11/2025</v>
      </c>
    </row>
    <row r="1540" spans="2:23" hidden="1" x14ac:dyDescent="0.2">
      <c r="B1540" t="s">
        <v>18</v>
      </c>
      <c r="C1540" t="s">
        <v>95</v>
      </c>
      <c r="D1540" t="s">
        <v>13</v>
      </c>
      <c r="E1540" s="8" t="s">
        <v>269</v>
      </c>
      <c r="F1540" t="s">
        <v>42</v>
      </c>
      <c r="G1540" s="8" t="s">
        <v>269</v>
      </c>
      <c r="H1540" t="s">
        <v>625</v>
      </c>
      <c r="I1540" t="e">
        <f>VLOOKUP(Tabela2[[#This Row],[Coluna7]],[1]!Tabela1[#All],2,0)</f>
        <v>#REF!</v>
      </c>
      <c r="J1540" t="s">
        <v>627</v>
      </c>
      <c r="L1540">
        <v>500</v>
      </c>
      <c r="Q1540" s="10" t="str">
        <f>Tabela2[[#This Row],[Coluna5]]</f>
        <v>11/2025</v>
      </c>
      <c r="R1540" s="10" t="str">
        <f>IF(Tabela2[[#This Row],[Coluna9]]&gt;0,"Entrada","Saída")</f>
        <v>Saída</v>
      </c>
      <c r="S1540" s="10" t="str">
        <f>Tabela2[[#This Row],[Coluna8]]</f>
        <v>CARTÃO EFÍ</v>
      </c>
      <c r="T1540" s="10" t="e">
        <f>Tabela2[[#This Row],[Coluna72]]</f>
        <v>#REF!</v>
      </c>
      <c r="U1540" s="10">
        <f>SUM(Tabela2[[#This Row],[Coluna9]],Tabela2[[#This Row],[Coluna10]])</f>
        <v>500</v>
      </c>
      <c r="V1540" s="2" t="str">
        <f>Tabela2[[#This Row],[Coluna4]]</f>
        <v>28/11/2025</v>
      </c>
      <c r="W1540" s="2" t="str">
        <f>Tabela2[[#This Row],[Coluna6]]</f>
        <v>28/11/2025</v>
      </c>
    </row>
    <row r="1541" spans="2:23" x14ac:dyDescent="0.2">
      <c r="B1541" t="s">
        <v>12</v>
      </c>
      <c r="C1541" t="s">
        <v>95</v>
      </c>
      <c r="D1541" t="s">
        <v>13</v>
      </c>
      <c r="E1541" s="8" t="s">
        <v>274</v>
      </c>
      <c r="F1541" t="s">
        <v>42</v>
      </c>
      <c r="G1541" s="8" t="s">
        <v>274</v>
      </c>
      <c r="H1541" t="s">
        <v>546</v>
      </c>
      <c r="I1541" t="e">
        <f>VLOOKUP(Tabela2[[#This Row],[Coluna7]],[1]!Tabela1[#All],2,0)</f>
        <v>#REF!</v>
      </c>
      <c r="J1541" t="s">
        <v>565</v>
      </c>
      <c r="L1541">
        <v>450</v>
      </c>
      <c r="Q1541" s="10" t="str">
        <f>Tabela2[[#This Row],[Coluna5]]</f>
        <v>11/2025</v>
      </c>
      <c r="R1541" s="10" t="str">
        <f>IF(Tabela2[[#This Row],[Coluna9]]&gt;0,"Entrada","Saída")</f>
        <v>Saída</v>
      </c>
      <c r="S1541" s="10" t="str">
        <f>Tabela2[[#This Row],[Coluna8]]</f>
        <v>LEANDRO JOAO BATISTA</v>
      </c>
      <c r="T1541" s="10" t="e">
        <f>Tabela2[[#This Row],[Coluna72]]</f>
        <v>#REF!</v>
      </c>
      <c r="U1541" s="10">
        <f>SUM(Tabela2[[#This Row],[Coluna9]],Tabela2[[#This Row],[Coluna10]])</f>
        <v>450</v>
      </c>
      <c r="V1541" s="2" t="str">
        <f>Tabela2[[#This Row],[Coluna4]]</f>
        <v>29/11/2025</v>
      </c>
      <c r="W1541" s="2" t="str">
        <f>Tabela2[[#This Row],[Coluna6]]</f>
        <v>29/11/2025</v>
      </c>
    </row>
    <row r="1542" spans="2:23" x14ac:dyDescent="0.2">
      <c r="B1542" t="s">
        <v>12</v>
      </c>
      <c r="C1542" t="s">
        <v>95</v>
      </c>
      <c r="D1542" t="s">
        <v>13</v>
      </c>
      <c r="E1542" s="8" t="s">
        <v>274</v>
      </c>
      <c r="F1542" t="s">
        <v>42</v>
      </c>
      <c r="G1542" s="8" t="s">
        <v>274</v>
      </c>
      <c r="H1542" t="s">
        <v>570</v>
      </c>
      <c r="I1542" t="e">
        <f>VLOOKUP(Tabela2[[#This Row],[Coluna7]],[1]!Tabela1[#All],2,0)</f>
        <v>#REF!</v>
      </c>
      <c r="L1542">
        <v>5.8</v>
      </c>
      <c r="Q1542" s="10" t="str">
        <f>Tabela2[[#This Row],[Coluna5]]</f>
        <v>11/2025</v>
      </c>
      <c r="R1542" s="10" t="str">
        <f>IF(Tabela2[[#This Row],[Coluna9]]&gt;0,"Entrada","Saída")</f>
        <v>Saída</v>
      </c>
      <c r="S1542" s="10">
        <f>Tabela2[[#This Row],[Coluna8]]</f>
        <v>0</v>
      </c>
      <c r="T1542" s="10" t="e">
        <f>Tabela2[[#This Row],[Coluna72]]</f>
        <v>#REF!</v>
      </c>
      <c r="U1542" s="10">
        <f>SUM(Tabela2[[#This Row],[Coluna9]],Tabela2[[#This Row],[Coluna10]])</f>
        <v>5.8</v>
      </c>
      <c r="V1542" s="2" t="str">
        <f>Tabela2[[#This Row],[Coluna4]]</f>
        <v>29/11/2025</v>
      </c>
      <c r="W1542" s="2" t="str">
        <f>Tabela2[[#This Row],[Coluna6]]</f>
        <v>29/11/2025</v>
      </c>
    </row>
    <row r="1543" spans="2:23" x14ac:dyDescent="0.2">
      <c r="B1543" t="s">
        <v>12</v>
      </c>
      <c r="C1543" t="s">
        <v>95</v>
      </c>
      <c r="D1543" t="s">
        <v>13</v>
      </c>
      <c r="E1543" s="8" t="s">
        <v>274</v>
      </c>
      <c r="F1543" t="s">
        <v>64</v>
      </c>
      <c r="G1543" s="8" t="s">
        <v>274</v>
      </c>
      <c r="H1543" t="s">
        <v>570</v>
      </c>
      <c r="I1543" t="e">
        <f>VLOOKUP(Tabela2[[#This Row],[Coluna7]],[1]!Tabela1[#All],2,0)</f>
        <v>#REF!</v>
      </c>
      <c r="L1543">
        <v>21</v>
      </c>
      <c r="Q1543" s="10" t="str">
        <f>Tabela2[[#This Row],[Coluna5]]</f>
        <v>12/2025</v>
      </c>
      <c r="R1543" s="10" t="str">
        <f>IF(Tabela2[[#This Row],[Coluna9]]&gt;0,"Entrada","Saída")</f>
        <v>Saída</v>
      </c>
      <c r="S1543" s="10">
        <f>Tabela2[[#This Row],[Coluna8]]</f>
        <v>0</v>
      </c>
      <c r="T1543" s="10" t="e">
        <f>Tabela2[[#This Row],[Coluna72]]</f>
        <v>#REF!</v>
      </c>
      <c r="U1543" s="10">
        <f>SUM(Tabela2[[#This Row],[Coluna9]],Tabela2[[#This Row],[Coluna10]])</f>
        <v>21</v>
      </c>
      <c r="V1543" s="2" t="str">
        <f>Tabela2[[#This Row],[Coluna4]]</f>
        <v>29/11/2025</v>
      </c>
      <c r="W1543" s="2" t="str">
        <f>Tabela2[[#This Row],[Coluna6]]</f>
        <v>29/11/2025</v>
      </c>
    </row>
    <row r="1544" spans="2:23" x14ac:dyDescent="0.2">
      <c r="B1544" t="s">
        <v>12</v>
      </c>
      <c r="C1544" t="s">
        <v>95</v>
      </c>
      <c r="D1544" t="s">
        <v>13</v>
      </c>
      <c r="E1544" s="8" t="s">
        <v>274</v>
      </c>
      <c r="F1544" t="s">
        <v>42</v>
      </c>
      <c r="G1544" s="8" t="s">
        <v>274</v>
      </c>
      <c r="H1544" t="s">
        <v>570</v>
      </c>
      <c r="I1544" t="e">
        <f>VLOOKUP(Tabela2[[#This Row],[Coluna7]],[1]!Tabela1[#All],2,0)</f>
        <v>#REF!</v>
      </c>
      <c r="L1544">
        <v>4.5999999999999996</v>
      </c>
      <c r="Q1544" s="10" t="str">
        <f>Tabela2[[#This Row],[Coluna5]]</f>
        <v>11/2025</v>
      </c>
      <c r="R1544" s="10" t="str">
        <f>IF(Tabela2[[#This Row],[Coluna9]]&gt;0,"Entrada","Saída")</f>
        <v>Saída</v>
      </c>
      <c r="S1544" s="10">
        <f>Tabela2[[#This Row],[Coluna8]]</f>
        <v>0</v>
      </c>
      <c r="T1544" s="10" t="e">
        <f>Tabela2[[#This Row],[Coluna72]]</f>
        <v>#REF!</v>
      </c>
      <c r="U1544" s="10">
        <f>SUM(Tabela2[[#This Row],[Coluna9]],Tabela2[[#This Row],[Coluna10]])</f>
        <v>4.5999999999999996</v>
      </c>
      <c r="V1544" s="2" t="str">
        <f>Tabela2[[#This Row],[Coluna4]]</f>
        <v>29/11/2025</v>
      </c>
      <c r="W1544" s="2" t="str">
        <f>Tabela2[[#This Row],[Coluna6]]</f>
        <v>29/11/2025</v>
      </c>
    </row>
    <row r="1545" spans="2:23" x14ac:dyDescent="0.2">
      <c r="B1545" t="s">
        <v>12</v>
      </c>
      <c r="C1545" t="s">
        <v>95</v>
      </c>
      <c r="D1545" t="s">
        <v>13</v>
      </c>
      <c r="E1545" s="8" t="s">
        <v>274</v>
      </c>
      <c r="F1545" t="s">
        <v>42</v>
      </c>
      <c r="G1545" s="8" t="s">
        <v>274</v>
      </c>
      <c r="H1545" t="s">
        <v>570</v>
      </c>
      <c r="I1545" t="e">
        <f>VLOOKUP(Tabela2[[#This Row],[Coluna7]],[1]!Tabela1[#All],2,0)</f>
        <v>#REF!</v>
      </c>
      <c r="L1545">
        <v>10.4</v>
      </c>
      <c r="Q1545" s="10" t="str">
        <f>Tabela2[[#This Row],[Coluna5]]</f>
        <v>11/2025</v>
      </c>
      <c r="R1545" s="10" t="str">
        <f>IF(Tabela2[[#This Row],[Coluna9]]&gt;0,"Entrada","Saída")</f>
        <v>Saída</v>
      </c>
      <c r="S1545" s="10">
        <f>Tabela2[[#This Row],[Coluna8]]</f>
        <v>0</v>
      </c>
      <c r="T1545" s="10" t="e">
        <f>Tabela2[[#This Row],[Coluna72]]</f>
        <v>#REF!</v>
      </c>
      <c r="U1545" s="10">
        <f>SUM(Tabela2[[#This Row],[Coluna9]],Tabela2[[#This Row],[Coluna10]])</f>
        <v>10.4</v>
      </c>
      <c r="V1545" s="2" t="str">
        <f>Tabela2[[#This Row],[Coluna4]]</f>
        <v>29/11/2025</v>
      </c>
      <c r="W1545" s="2" t="str">
        <f>Tabela2[[#This Row],[Coluna6]]</f>
        <v>29/11/2025</v>
      </c>
    </row>
    <row r="1546" spans="2:23" x14ac:dyDescent="0.2">
      <c r="B1546" t="s">
        <v>18</v>
      </c>
      <c r="C1546" t="s">
        <v>95</v>
      </c>
      <c r="D1546" t="s">
        <v>13</v>
      </c>
      <c r="E1546" s="8" t="s">
        <v>278</v>
      </c>
      <c r="F1546" t="s">
        <v>42</v>
      </c>
      <c r="G1546" s="8" t="s">
        <v>257</v>
      </c>
      <c r="H1546" t="s">
        <v>600</v>
      </c>
      <c r="I1546" t="e">
        <f>VLOOKUP(Tabela2[[#This Row],[Coluna7]],[1]!Tabela1[#All],2,0)</f>
        <v>#REF!</v>
      </c>
      <c r="J1546" t="s">
        <v>601</v>
      </c>
      <c r="L1546">
        <v>250</v>
      </c>
      <c r="Q1546" s="10" t="str">
        <f>Tabela2[[#This Row],[Coluna5]]</f>
        <v>11/2025</v>
      </c>
      <c r="R1546" s="10" t="str">
        <f>IF(Tabela2[[#This Row],[Coluna9]]&gt;0,"Entrada","Saída")</f>
        <v>Saída</v>
      </c>
      <c r="S1546" s="10" t="str">
        <f>Tabela2[[#This Row],[Coluna8]]</f>
        <v>FALCÃO</v>
      </c>
      <c r="T1546" s="10" t="e">
        <f>Tabela2[[#This Row],[Coluna72]]</f>
        <v>#REF!</v>
      </c>
      <c r="U1546" s="10">
        <f>SUM(Tabela2[[#This Row],[Coluna9]],Tabela2[[#This Row],[Coluna10]])</f>
        <v>250</v>
      </c>
      <c r="V1546" s="2" t="str">
        <f>Tabela2[[#This Row],[Coluna4]]</f>
        <v>30/11/2025</v>
      </c>
      <c r="W1546" s="2" t="str">
        <f>Tabela2[[#This Row],[Coluna6]]</f>
        <v>26/11/2025</v>
      </c>
    </row>
    <row r="1547" spans="2:23" x14ac:dyDescent="0.2">
      <c r="B1547" t="s">
        <v>18</v>
      </c>
      <c r="C1547" t="s">
        <v>95</v>
      </c>
      <c r="D1547" t="s">
        <v>13</v>
      </c>
      <c r="E1547" s="8" t="s">
        <v>63</v>
      </c>
      <c r="F1547" t="s">
        <v>64</v>
      </c>
      <c r="G1547" s="8" t="s">
        <v>265</v>
      </c>
      <c r="H1547" t="s">
        <v>595</v>
      </c>
      <c r="I1547" t="e">
        <f>VLOOKUP(Tabela2[[#This Row],[Coluna7]],[1]!Tabela1[#All],2,0)</f>
        <v>#REF!</v>
      </c>
      <c r="J1547" t="s">
        <v>628</v>
      </c>
      <c r="L1547">
        <v>911</v>
      </c>
      <c r="Q1547" s="10" t="str">
        <f>Tabela2[[#This Row],[Coluna5]]</f>
        <v>12/2025</v>
      </c>
      <c r="R1547" s="10" t="str">
        <f>IF(Tabela2[[#This Row],[Coluna9]]&gt;0,"Entrada","Saída")</f>
        <v>Saída</v>
      </c>
      <c r="S1547" s="10" t="str">
        <f>Tabela2[[#This Row],[Coluna8]]</f>
        <v>EDIMAR</v>
      </c>
      <c r="T1547" s="10" t="e">
        <f>Tabela2[[#This Row],[Coluna72]]</f>
        <v>#REF!</v>
      </c>
      <c r="U1547" s="10">
        <f>SUM(Tabela2[[#This Row],[Coluna9]],Tabela2[[#This Row],[Coluna10]])</f>
        <v>911</v>
      </c>
      <c r="V1547" s="2" t="str">
        <f>Tabela2[[#This Row],[Coluna4]]</f>
        <v>01/12/2025</v>
      </c>
      <c r="W1547" s="2" t="str">
        <f>Tabela2[[#This Row],[Coluna6]]</f>
        <v>27/11/2025</v>
      </c>
    </row>
    <row r="1548" spans="2:23" x14ac:dyDescent="0.2">
      <c r="B1548" t="s">
        <v>18</v>
      </c>
      <c r="C1548" t="s">
        <v>95</v>
      </c>
      <c r="D1548" t="s">
        <v>13</v>
      </c>
      <c r="E1548" s="8" t="s">
        <v>63</v>
      </c>
      <c r="F1548" t="s">
        <v>64</v>
      </c>
      <c r="G1548" s="8" t="s">
        <v>63</v>
      </c>
      <c r="H1548" t="s">
        <v>546</v>
      </c>
      <c r="I1548" t="e">
        <f>VLOOKUP(Tabela2[[#This Row],[Coluna7]],[1]!Tabela1[#All],2,0)</f>
        <v>#REF!</v>
      </c>
      <c r="L1548">
        <v>450</v>
      </c>
      <c r="N1548" t="s">
        <v>584</v>
      </c>
      <c r="Q1548" s="10" t="str">
        <f>Tabela2[[#This Row],[Coluna5]]</f>
        <v>12/2025</v>
      </c>
      <c r="R1548" s="10" t="str">
        <f>IF(Tabela2[[#This Row],[Coluna9]]&gt;0,"Entrada","Saída")</f>
        <v>Saída</v>
      </c>
      <c r="S1548" s="10">
        <f>Tabela2[[#This Row],[Coluna8]]</f>
        <v>0</v>
      </c>
      <c r="T1548" s="10" t="e">
        <f>Tabela2[[#This Row],[Coluna72]]</f>
        <v>#REF!</v>
      </c>
      <c r="U1548" s="10">
        <f>SUM(Tabela2[[#This Row],[Coluna9]],Tabela2[[#This Row],[Coluna10]])</f>
        <v>450</v>
      </c>
      <c r="V1548" s="2" t="str">
        <f>Tabela2[[#This Row],[Coluna4]]</f>
        <v>01/12/2025</v>
      </c>
      <c r="W1548" s="2" t="str">
        <f>Tabela2[[#This Row],[Coluna6]]</f>
        <v>01/12/2025</v>
      </c>
    </row>
    <row r="1549" spans="2:23" x14ac:dyDescent="0.2">
      <c r="B1549" t="s">
        <v>12</v>
      </c>
      <c r="C1549" t="s">
        <v>95</v>
      </c>
      <c r="D1549" t="s">
        <v>13</v>
      </c>
      <c r="E1549" s="8" t="s">
        <v>282</v>
      </c>
      <c r="F1549" t="s">
        <v>64</v>
      </c>
      <c r="G1549" s="8" t="s">
        <v>282</v>
      </c>
      <c r="H1549" t="s">
        <v>546</v>
      </c>
      <c r="I1549" t="e">
        <f>VLOOKUP(Tabela2[[#This Row],[Coluna7]],[1]!Tabela1[#All],2,0)</f>
        <v>#REF!</v>
      </c>
      <c r="L1549">
        <v>50</v>
      </c>
      <c r="N1549" t="s">
        <v>547</v>
      </c>
      <c r="Q1549" s="10" t="str">
        <f>Tabela2[[#This Row],[Coluna5]]</f>
        <v>12/2025</v>
      </c>
      <c r="R1549" s="10" t="str">
        <f>IF(Tabela2[[#This Row],[Coluna9]]&gt;0,"Entrada","Saída")</f>
        <v>Saída</v>
      </c>
      <c r="S1549" s="10">
        <f>Tabela2[[#This Row],[Coluna8]]</f>
        <v>0</v>
      </c>
      <c r="T1549" s="10" t="e">
        <f>Tabela2[[#This Row],[Coluna72]]</f>
        <v>#REF!</v>
      </c>
      <c r="U1549" s="10">
        <f>SUM(Tabela2[[#This Row],[Coluna9]],Tabela2[[#This Row],[Coluna10]])</f>
        <v>50</v>
      </c>
      <c r="V1549" s="2" t="str">
        <f>Tabela2[[#This Row],[Coluna4]]</f>
        <v>02/12/2025</v>
      </c>
      <c r="W1549" s="2" t="str">
        <f>Tabela2[[#This Row],[Coluna6]]</f>
        <v>02/12/2025</v>
      </c>
    </row>
    <row r="1550" spans="2:23" x14ac:dyDescent="0.2">
      <c r="B1550" t="s">
        <v>18</v>
      </c>
      <c r="C1550" t="s">
        <v>95</v>
      </c>
      <c r="D1550" t="s">
        <v>13</v>
      </c>
      <c r="E1550" s="8" t="s">
        <v>65</v>
      </c>
      <c r="F1550" t="s">
        <v>64</v>
      </c>
      <c r="G1550" s="8" t="s">
        <v>66</v>
      </c>
      <c r="H1550" t="s">
        <v>538</v>
      </c>
      <c r="I1550" t="e">
        <f>VLOOKUP(Tabela2[[#This Row],[Coluna7]],[1]!Tabela1[#All],2,0)</f>
        <v>#REF!</v>
      </c>
      <c r="J1550" t="s">
        <v>629</v>
      </c>
      <c r="L1550">
        <v>447</v>
      </c>
      <c r="Q1550" s="10" t="str">
        <f>Tabela2[[#This Row],[Coluna5]]</f>
        <v>12/2025</v>
      </c>
      <c r="R1550" s="10" t="str">
        <f>IF(Tabela2[[#This Row],[Coluna9]]&gt;0,"Entrada","Saída")</f>
        <v>Saída</v>
      </c>
      <c r="S1550" s="10" t="str">
        <f>Tabela2[[#This Row],[Coluna8]]</f>
        <v>2/10 GELADEIRA LUZIMAR</v>
      </c>
      <c r="T1550" s="10" t="e">
        <f>Tabela2[[#This Row],[Coluna72]]</f>
        <v>#REF!</v>
      </c>
      <c r="U1550" s="10">
        <f>SUM(Tabela2[[#This Row],[Coluna9]],Tabela2[[#This Row],[Coluna10]])</f>
        <v>447</v>
      </c>
      <c r="V1550" s="2" t="str">
        <f>Tabela2[[#This Row],[Coluna4]]</f>
        <v>03/12/2025</v>
      </c>
      <c r="W1550" s="2" t="str">
        <f>Tabela2[[#This Row],[Coluna6]]</f>
        <v>04/12/2025</v>
      </c>
    </row>
    <row r="1551" spans="2:23" x14ac:dyDescent="0.2">
      <c r="B1551" t="s">
        <v>18</v>
      </c>
      <c r="C1551" t="s">
        <v>125</v>
      </c>
      <c r="D1551" t="s">
        <v>13</v>
      </c>
      <c r="E1551" s="8" t="s">
        <v>65</v>
      </c>
      <c r="F1551" t="s">
        <v>64</v>
      </c>
      <c r="G1551" s="8" t="s">
        <v>65</v>
      </c>
      <c r="H1551" t="s">
        <v>597</v>
      </c>
      <c r="I1551" t="e">
        <f>VLOOKUP(Tabela2[[#This Row],[Coluna7]],[1]!Tabela1[#All],2,0)</f>
        <v>#REF!</v>
      </c>
      <c r="J1551" t="s">
        <v>630</v>
      </c>
      <c r="L1551">
        <v>100</v>
      </c>
      <c r="N1551" t="s">
        <v>631</v>
      </c>
      <c r="Q1551" s="10" t="str">
        <f>Tabela2[[#This Row],[Coluna5]]</f>
        <v>12/2025</v>
      </c>
      <c r="R1551" s="10" t="str">
        <f>IF(Tabela2[[#This Row],[Coluna9]]&gt;0,"Entrada","Saída")</f>
        <v>Saída</v>
      </c>
      <c r="S1551" s="10" t="str">
        <f>Tabela2[[#This Row],[Coluna8]]</f>
        <v>MARCOS AURÉLIO</v>
      </c>
      <c r="T1551" s="10" t="e">
        <f>Tabela2[[#This Row],[Coluna72]]</f>
        <v>#REF!</v>
      </c>
      <c r="U1551" s="10">
        <f>SUM(Tabela2[[#This Row],[Coluna9]],Tabela2[[#This Row],[Coluna10]])</f>
        <v>100</v>
      </c>
      <c r="V1551" s="2" t="str">
        <f>Tabela2[[#This Row],[Coluna4]]</f>
        <v>03/12/2025</v>
      </c>
      <c r="W1551" s="2" t="str">
        <f>Tabela2[[#This Row],[Coluna6]]</f>
        <v>03/12/2025</v>
      </c>
    </row>
    <row r="1552" spans="2:23" x14ac:dyDescent="0.2">
      <c r="B1552" t="s">
        <v>12</v>
      </c>
      <c r="C1552" t="s">
        <v>95</v>
      </c>
      <c r="D1552" t="s">
        <v>13</v>
      </c>
      <c r="E1552" s="8" t="s">
        <v>65</v>
      </c>
      <c r="F1552" t="s">
        <v>64</v>
      </c>
      <c r="G1552" s="8" t="s">
        <v>65</v>
      </c>
      <c r="H1552" t="s">
        <v>570</v>
      </c>
      <c r="I1552" t="e">
        <f>VLOOKUP(Tabela2[[#This Row],[Coluna7]],[1]!Tabela1[#All],2,0)</f>
        <v>#REF!</v>
      </c>
      <c r="L1552">
        <v>9.11</v>
      </c>
      <c r="Q1552" s="10" t="str">
        <f>Tabela2[[#This Row],[Coluna5]]</f>
        <v>12/2025</v>
      </c>
      <c r="R1552" s="10" t="str">
        <f>IF(Tabela2[[#This Row],[Coluna9]]&gt;0,"Entrada","Saída")</f>
        <v>Saída</v>
      </c>
      <c r="S1552" s="10">
        <f>Tabela2[[#This Row],[Coluna8]]</f>
        <v>0</v>
      </c>
      <c r="T1552" s="10" t="e">
        <f>Tabela2[[#This Row],[Coluna72]]</f>
        <v>#REF!</v>
      </c>
      <c r="U1552" s="10">
        <f>SUM(Tabela2[[#This Row],[Coluna9]],Tabela2[[#This Row],[Coluna10]])</f>
        <v>9.11</v>
      </c>
      <c r="V1552" s="2" t="str">
        <f>Tabela2[[#This Row],[Coluna4]]</f>
        <v>03/12/2025</v>
      </c>
      <c r="W1552" s="2" t="str">
        <f>Tabela2[[#This Row],[Coluna6]]</f>
        <v>03/12/2025</v>
      </c>
    </row>
    <row r="1553" spans="2:23" x14ac:dyDescent="0.2">
      <c r="B1553" t="s">
        <v>12</v>
      </c>
      <c r="C1553" t="s">
        <v>95</v>
      </c>
      <c r="D1553" t="s">
        <v>13</v>
      </c>
      <c r="E1553" s="8" t="s">
        <v>65</v>
      </c>
      <c r="F1553" t="s">
        <v>64</v>
      </c>
      <c r="G1553" s="8" t="s">
        <v>65</v>
      </c>
      <c r="H1553" t="s">
        <v>570</v>
      </c>
      <c r="I1553" t="e">
        <f>VLOOKUP(Tabela2[[#This Row],[Coluna7]],[1]!Tabela1[#All],2,0)</f>
        <v>#REF!</v>
      </c>
      <c r="L1553">
        <v>54.35</v>
      </c>
      <c r="Q1553" s="10" t="str">
        <f>Tabela2[[#This Row],[Coluna5]]</f>
        <v>12/2025</v>
      </c>
      <c r="R1553" s="10" t="str">
        <f>IF(Tabela2[[#This Row],[Coluna9]]&gt;0,"Entrada","Saída")</f>
        <v>Saída</v>
      </c>
      <c r="S1553" s="10">
        <f>Tabela2[[#This Row],[Coluna8]]</f>
        <v>0</v>
      </c>
      <c r="T1553" s="10" t="e">
        <f>Tabela2[[#This Row],[Coluna72]]</f>
        <v>#REF!</v>
      </c>
      <c r="U1553" s="10">
        <f>SUM(Tabela2[[#This Row],[Coluna9]],Tabela2[[#This Row],[Coluna10]])</f>
        <v>54.35</v>
      </c>
      <c r="V1553" s="2" t="str">
        <f>Tabela2[[#This Row],[Coluna4]]</f>
        <v>03/12/2025</v>
      </c>
      <c r="W1553" s="2" t="str">
        <f>Tabela2[[#This Row],[Coluna6]]</f>
        <v>03/12/2025</v>
      </c>
    </row>
    <row r="1554" spans="2:23" hidden="1" x14ac:dyDescent="0.2">
      <c r="B1554" t="s">
        <v>18</v>
      </c>
      <c r="C1554" t="s">
        <v>95</v>
      </c>
      <c r="D1554" t="s">
        <v>13</v>
      </c>
      <c r="E1554" s="8" t="s">
        <v>65</v>
      </c>
      <c r="F1554" t="s">
        <v>64</v>
      </c>
      <c r="G1554" s="8" t="s">
        <v>65</v>
      </c>
      <c r="H1554" t="s">
        <v>625</v>
      </c>
      <c r="I1554" t="e">
        <f>VLOOKUP(Tabela2[[#This Row],[Coluna7]],[1]!Tabela1[#All],2,0)</f>
        <v>#REF!</v>
      </c>
      <c r="J1554" t="s">
        <v>626</v>
      </c>
      <c r="L1554">
        <v>500</v>
      </c>
      <c r="Q1554" s="10" t="str">
        <f>Tabela2[[#This Row],[Coluna5]]</f>
        <v>12/2025</v>
      </c>
      <c r="R1554" s="10" t="str">
        <f>IF(Tabela2[[#This Row],[Coluna9]]&gt;0,"Entrada","Saída")</f>
        <v>Saída</v>
      </c>
      <c r="S1554" s="10" t="str">
        <f>Tabela2[[#This Row],[Coluna8]]</f>
        <v>CARTÃO EFI</v>
      </c>
      <c r="T1554" s="10" t="e">
        <f>Tabela2[[#This Row],[Coluna72]]</f>
        <v>#REF!</v>
      </c>
      <c r="U1554" s="10">
        <f>SUM(Tabela2[[#This Row],[Coluna9]],Tabela2[[#This Row],[Coluna10]])</f>
        <v>500</v>
      </c>
      <c r="V1554" s="2" t="str">
        <f>Tabela2[[#This Row],[Coluna4]]</f>
        <v>03/12/2025</v>
      </c>
      <c r="W1554" s="2" t="str">
        <f>Tabela2[[#This Row],[Coluna6]]</f>
        <v>03/12/2025</v>
      </c>
    </row>
    <row r="1555" spans="2:23" x14ac:dyDescent="0.2">
      <c r="B1555" t="s">
        <v>18</v>
      </c>
      <c r="C1555" t="s">
        <v>95</v>
      </c>
      <c r="D1555" t="s">
        <v>13</v>
      </c>
      <c r="E1555" s="8" t="s">
        <v>65</v>
      </c>
      <c r="F1555" t="s">
        <v>64</v>
      </c>
      <c r="G1555" s="8" t="s">
        <v>65</v>
      </c>
      <c r="H1555" t="s">
        <v>570</v>
      </c>
      <c r="I1555" t="e">
        <f>VLOOKUP(Tabela2[[#This Row],[Coluna7]],[1]!Tabela1[#All],2,0)</f>
        <v>#REF!</v>
      </c>
      <c r="J1555" t="s">
        <v>632</v>
      </c>
      <c r="L1555">
        <v>22</v>
      </c>
      <c r="Q1555" s="10" t="str">
        <f>Tabela2[[#This Row],[Coluna5]]</f>
        <v>12/2025</v>
      </c>
      <c r="R1555" s="10" t="str">
        <f>IF(Tabela2[[#This Row],[Coluna9]]&gt;0,"Entrada","Saída")</f>
        <v>Saída</v>
      </c>
      <c r="S1555" s="10" t="str">
        <f>Tabela2[[#This Row],[Coluna8]]</f>
        <v>REEMBOLSO PARA ALISSON</v>
      </c>
      <c r="T1555" s="10" t="e">
        <f>Tabela2[[#This Row],[Coluna72]]</f>
        <v>#REF!</v>
      </c>
      <c r="U1555" s="10">
        <f>SUM(Tabela2[[#This Row],[Coluna9]],Tabela2[[#This Row],[Coluna10]])</f>
        <v>22</v>
      </c>
      <c r="V1555" s="2" t="str">
        <f>Tabela2[[#This Row],[Coluna4]]</f>
        <v>03/12/2025</v>
      </c>
      <c r="W1555" s="2" t="str">
        <f>Tabela2[[#This Row],[Coluna6]]</f>
        <v>03/12/2025</v>
      </c>
    </row>
    <row r="1556" spans="2:23" x14ac:dyDescent="0.2">
      <c r="B1556" t="s">
        <v>71</v>
      </c>
      <c r="C1556" t="s">
        <v>95</v>
      </c>
      <c r="D1556" t="s">
        <v>13</v>
      </c>
      <c r="E1556" s="8" t="s">
        <v>66</v>
      </c>
      <c r="F1556" t="s">
        <v>64</v>
      </c>
      <c r="G1556" s="8" t="s">
        <v>66</v>
      </c>
      <c r="H1556" t="s">
        <v>435</v>
      </c>
      <c r="I1556" t="e">
        <f>VLOOKUP(Tabela2[[#This Row],[Coluna7]],[1]!Tabela1[#All],2,0)</f>
        <v>#REF!</v>
      </c>
      <c r="J1556" t="s">
        <v>634</v>
      </c>
      <c r="L1556">
        <v>1700</v>
      </c>
      <c r="Q1556" s="10" t="str">
        <f>Tabela2[[#This Row],[Coluna5]]</f>
        <v>12/2025</v>
      </c>
      <c r="R1556" s="10" t="str">
        <f>IF(Tabela2[[#This Row],[Coluna9]]&gt;0,"Entrada","Saída")</f>
        <v>Saída</v>
      </c>
      <c r="S1556" s="10" t="str">
        <f>Tabela2[[#This Row],[Coluna8]]</f>
        <v>COMPRA - AR CONDICIONADO</v>
      </c>
      <c r="T1556" s="10" t="e">
        <f>Tabela2[[#This Row],[Coluna72]]</f>
        <v>#REF!</v>
      </c>
      <c r="U1556" s="10">
        <f>SUM(Tabela2[[#This Row],[Coluna9]],Tabela2[[#This Row],[Coluna10]])</f>
        <v>1700</v>
      </c>
      <c r="V1556" s="2" t="str">
        <f>Tabela2[[#This Row],[Coluna4]]</f>
        <v>04/12/2025</v>
      </c>
      <c r="W1556" s="2" t="str">
        <f>Tabela2[[#This Row],[Coluna6]]</f>
        <v>04/12/2025</v>
      </c>
    </row>
    <row r="1557" spans="2:23" hidden="1" x14ac:dyDescent="0.2">
      <c r="B1557" t="s">
        <v>27</v>
      </c>
      <c r="C1557" t="s">
        <v>95</v>
      </c>
      <c r="D1557" t="s">
        <v>13</v>
      </c>
      <c r="E1557" s="8" t="s">
        <v>66</v>
      </c>
      <c r="F1557" t="s">
        <v>64</v>
      </c>
      <c r="G1557" s="8" t="s">
        <v>66</v>
      </c>
      <c r="H1557" t="s">
        <v>625</v>
      </c>
      <c r="I1557" t="e">
        <f>VLOOKUP(Tabela2[[#This Row],[Coluna7]],[1]!Tabela1[#All],2,0)</f>
        <v>#REF!</v>
      </c>
      <c r="J1557" t="s">
        <v>635</v>
      </c>
      <c r="L1557">
        <v>724.88</v>
      </c>
      <c r="Q1557" s="10" t="str">
        <f>Tabela2[[#This Row],[Coluna5]]</f>
        <v>12/2025</v>
      </c>
      <c r="R1557" s="10" t="str">
        <f>IF(Tabela2[[#This Row],[Coluna9]]&gt;0,"Entrada","Saída")</f>
        <v>Saída</v>
      </c>
      <c r="S1557" s="10" t="str">
        <f>Tabela2[[#This Row],[Coluna8]]</f>
        <v>FATURA EFI</v>
      </c>
      <c r="T1557" s="10" t="e">
        <f>Tabela2[[#This Row],[Coluna72]]</f>
        <v>#REF!</v>
      </c>
      <c r="U1557" s="10">
        <f>SUM(Tabela2[[#This Row],[Coluna9]],Tabela2[[#This Row],[Coluna10]])</f>
        <v>724.88</v>
      </c>
      <c r="V1557" s="2" t="str">
        <f>Tabela2[[#This Row],[Coluna4]]</f>
        <v>04/12/2025</v>
      </c>
      <c r="W1557" s="2" t="str">
        <f>Tabela2[[#This Row],[Coluna6]]</f>
        <v>04/12/2025</v>
      </c>
    </row>
    <row r="1558" spans="2:23" x14ac:dyDescent="0.2">
      <c r="B1558" t="s">
        <v>18</v>
      </c>
      <c r="C1558" t="s">
        <v>95</v>
      </c>
      <c r="D1558" t="s">
        <v>13</v>
      </c>
      <c r="E1558" s="8" t="s">
        <v>66</v>
      </c>
      <c r="F1558" t="s">
        <v>636</v>
      </c>
      <c r="G1558" s="8" t="s">
        <v>66</v>
      </c>
      <c r="H1558" t="s">
        <v>551</v>
      </c>
      <c r="I1558" t="e">
        <f>VLOOKUP(Tabela2[[#This Row],[Coluna7]],[1]!Tabela1[#All],2,0)</f>
        <v>#REF!</v>
      </c>
      <c r="J1558" t="s">
        <v>637</v>
      </c>
      <c r="L1558">
        <v>34.47</v>
      </c>
      <c r="Q1558" s="10" t="str">
        <f>Tabela2[[#This Row],[Coluna5]]</f>
        <v>11/4202</v>
      </c>
      <c r="R1558" s="10" t="str">
        <f>IF(Tabela2[[#This Row],[Coluna9]]&gt;0,"Entrada","Saída")</f>
        <v>Saída</v>
      </c>
      <c r="S1558" s="10" t="str">
        <f>Tabela2[[#This Row],[Coluna8]]</f>
        <v>INSS</v>
      </c>
      <c r="T1558" s="10" t="e">
        <f>Tabela2[[#This Row],[Coluna72]]</f>
        <v>#REF!</v>
      </c>
      <c r="U1558" s="10">
        <f>SUM(Tabela2[[#This Row],[Coluna9]],Tabela2[[#This Row],[Coluna10]])</f>
        <v>34.47</v>
      </c>
      <c r="V1558" s="2" t="str">
        <f>Tabela2[[#This Row],[Coluna4]]</f>
        <v>04/12/2025</v>
      </c>
      <c r="W1558" s="2" t="str">
        <f>Tabela2[[#This Row],[Coluna6]]</f>
        <v>04/12/2025</v>
      </c>
    </row>
    <row r="1559" spans="2:23" x14ac:dyDescent="0.2">
      <c r="B1559" t="s">
        <v>18</v>
      </c>
      <c r="C1559" t="s">
        <v>125</v>
      </c>
      <c r="D1559" t="s">
        <v>13</v>
      </c>
      <c r="E1559" s="8" t="s">
        <v>66</v>
      </c>
      <c r="F1559" t="s">
        <v>42</v>
      </c>
      <c r="G1559" s="8" t="s">
        <v>66</v>
      </c>
      <c r="H1559" t="s">
        <v>561</v>
      </c>
      <c r="I1559" t="e">
        <f>VLOOKUP(Tabela2[[#This Row],[Coluna7]],[1]!Tabela1[#All],2,0)</f>
        <v>#REF!</v>
      </c>
      <c r="L1559">
        <v>15.77</v>
      </c>
      <c r="M1559" t="s">
        <v>240</v>
      </c>
      <c r="N1559" t="s">
        <v>241</v>
      </c>
      <c r="Q1559" s="10" t="str">
        <f>Tabela2[[#This Row],[Coluna5]]</f>
        <v>11/2025</v>
      </c>
      <c r="R1559" s="10" t="str">
        <f>IF(Tabela2[[#This Row],[Coluna9]]&gt;0,"Entrada","Saída")</f>
        <v>Saída</v>
      </c>
      <c r="S1559" s="10">
        <f>Tabela2[[#This Row],[Coluna8]]</f>
        <v>0</v>
      </c>
      <c r="T1559" s="10" t="e">
        <f>Tabela2[[#This Row],[Coluna72]]</f>
        <v>#REF!</v>
      </c>
      <c r="U1559" s="10">
        <f>SUM(Tabela2[[#This Row],[Coluna9]],Tabela2[[#This Row],[Coluna10]])</f>
        <v>15.77</v>
      </c>
      <c r="V1559" s="2" t="str">
        <f>Tabela2[[#This Row],[Coluna4]]</f>
        <v>04/12/2025</v>
      </c>
      <c r="W1559" s="2" t="str">
        <f>Tabela2[[#This Row],[Coluna6]]</f>
        <v>04/12/2025</v>
      </c>
    </row>
    <row r="1560" spans="2:23" x14ac:dyDescent="0.2">
      <c r="B1560" t="s">
        <v>71</v>
      </c>
      <c r="C1560" t="s">
        <v>95</v>
      </c>
      <c r="D1560" t="s">
        <v>13</v>
      </c>
      <c r="E1560" s="8" t="s">
        <v>289</v>
      </c>
      <c r="F1560" t="s">
        <v>64</v>
      </c>
      <c r="G1560" s="8" t="s">
        <v>289</v>
      </c>
      <c r="H1560" t="s">
        <v>570</v>
      </c>
      <c r="I1560" t="e">
        <f>VLOOKUP(Tabela2[[#This Row],[Coluna7]],[1]!Tabela1[#All],2,0)</f>
        <v>#REF!</v>
      </c>
      <c r="J1560" t="s">
        <v>638</v>
      </c>
      <c r="L1560">
        <v>372</v>
      </c>
      <c r="Q1560" s="10" t="str">
        <f>Tabela2[[#This Row],[Coluna5]]</f>
        <v>12/2025</v>
      </c>
      <c r="R1560" s="10" t="str">
        <f>IF(Tabela2[[#This Row],[Coluna9]]&gt;0,"Entrada","Saída")</f>
        <v>Saída</v>
      </c>
      <c r="S1560" s="10" t="str">
        <f>Tabela2[[#This Row],[Coluna8]]</f>
        <v>GESSO</v>
      </c>
      <c r="T1560" s="10" t="e">
        <f>Tabela2[[#This Row],[Coluna72]]</f>
        <v>#REF!</v>
      </c>
      <c r="U1560" s="10">
        <f>SUM(Tabela2[[#This Row],[Coluna9]],Tabela2[[#This Row],[Coluna10]])</f>
        <v>372</v>
      </c>
      <c r="V1560" s="2" t="str">
        <f>Tabela2[[#This Row],[Coluna4]]</f>
        <v>05/12/2025</v>
      </c>
      <c r="W1560" s="2" t="str">
        <f>Tabela2[[#This Row],[Coluna6]]</f>
        <v>05/12/2025</v>
      </c>
    </row>
    <row r="1561" spans="2:23" x14ac:dyDescent="0.2">
      <c r="B1561" t="s">
        <v>18</v>
      </c>
      <c r="C1561" t="s">
        <v>95</v>
      </c>
      <c r="D1561" t="s">
        <v>13</v>
      </c>
      <c r="E1561" s="8" t="s">
        <v>289</v>
      </c>
      <c r="F1561" t="s">
        <v>42</v>
      </c>
      <c r="G1561" s="8" t="s">
        <v>289</v>
      </c>
      <c r="H1561" t="s">
        <v>580</v>
      </c>
      <c r="I1561" t="e">
        <f>VLOOKUP(Tabela2[[#This Row],[Coluna7]],[1]!Tabela1[#All],2,0)</f>
        <v>#REF!</v>
      </c>
      <c r="J1561" t="s">
        <v>639</v>
      </c>
      <c r="L1561">
        <v>700</v>
      </c>
      <c r="N1561" t="s">
        <v>583</v>
      </c>
      <c r="Q1561" s="10" t="str">
        <f>Tabela2[[#This Row],[Coluna5]]</f>
        <v>11/2025</v>
      </c>
      <c r="R1561" s="10" t="str">
        <f>IF(Tabela2[[#This Row],[Coluna9]]&gt;0,"Entrada","Saída")</f>
        <v>Saída</v>
      </c>
      <c r="S1561" s="10" t="str">
        <f>Tabela2[[#This Row],[Coluna8]]</f>
        <v>PARTICIPAÇÃO PARCIAL NOVEMBRO</v>
      </c>
      <c r="T1561" s="10" t="e">
        <f>Tabela2[[#This Row],[Coluna72]]</f>
        <v>#REF!</v>
      </c>
      <c r="U1561" s="10">
        <f>SUM(Tabela2[[#This Row],[Coluna9]],Tabela2[[#This Row],[Coluna10]])</f>
        <v>700</v>
      </c>
      <c r="V1561" s="2" t="str">
        <f>Tabela2[[#This Row],[Coluna4]]</f>
        <v>05/12/2025</v>
      </c>
      <c r="W1561" s="2" t="str">
        <f>Tabela2[[#This Row],[Coluna6]]</f>
        <v>05/12/2025</v>
      </c>
    </row>
    <row r="1562" spans="2:23" x14ac:dyDescent="0.2">
      <c r="B1562" t="s">
        <v>18</v>
      </c>
      <c r="C1562" t="s">
        <v>95</v>
      </c>
      <c r="D1562" t="s">
        <v>13</v>
      </c>
      <c r="E1562" s="8" t="s">
        <v>289</v>
      </c>
      <c r="F1562" t="s">
        <v>64</v>
      </c>
      <c r="G1562" s="8" t="s">
        <v>289</v>
      </c>
      <c r="H1562" t="s">
        <v>546</v>
      </c>
      <c r="I1562" t="e">
        <f>VLOOKUP(Tabela2[[#This Row],[Coluna7]],[1]!Tabela1[#All],2,0)</f>
        <v>#REF!</v>
      </c>
      <c r="J1562" t="s">
        <v>502</v>
      </c>
      <c r="L1562">
        <v>100</v>
      </c>
      <c r="N1562" t="s">
        <v>584</v>
      </c>
      <c r="Q1562" s="10" t="str">
        <f>Tabela2[[#This Row],[Coluna5]]</f>
        <v>12/2025</v>
      </c>
      <c r="R1562" s="10" t="str">
        <f>IF(Tabela2[[#This Row],[Coluna9]]&gt;0,"Entrada","Saída")</f>
        <v>Saída</v>
      </c>
      <c r="S1562" s="10" t="str">
        <f>Tabela2[[#This Row],[Coluna8]]</f>
        <v>GASOLINA</v>
      </c>
      <c r="T1562" s="10" t="e">
        <f>Tabela2[[#This Row],[Coluna72]]</f>
        <v>#REF!</v>
      </c>
      <c r="U1562" s="10">
        <f>SUM(Tabela2[[#This Row],[Coluna9]],Tabela2[[#This Row],[Coluna10]])</f>
        <v>100</v>
      </c>
      <c r="V1562" s="2" t="str">
        <f>Tabela2[[#This Row],[Coluna4]]</f>
        <v>05/12/2025</v>
      </c>
      <c r="W1562" s="2" t="str">
        <f>Tabela2[[#This Row],[Coluna6]]</f>
        <v>05/12/2025</v>
      </c>
    </row>
    <row r="1563" spans="2:23" x14ac:dyDescent="0.2">
      <c r="B1563" t="s">
        <v>18</v>
      </c>
      <c r="C1563" t="s">
        <v>95</v>
      </c>
      <c r="D1563" t="s">
        <v>13</v>
      </c>
      <c r="E1563" s="8" t="s">
        <v>289</v>
      </c>
      <c r="F1563" t="s">
        <v>64</v>
      </c>
      <c r="G1563" s="8" t="s">
        <v>289</v>
      </c>
      <c r="H1563" t="s">
        <v>546</v>
      </c>
      <c r="I1563" t="e">
        <f>VLOOKUP(Tabela2[[#This Row],[Coluna7]],[1]!Tabela1[#All],2,0)</f>
        <v>#REF!</v>
      </c>
      <c r="L1563">
        <v>50</v>
      </c>
      <c r="N1563" t="s">
        <v>547</v>
      </c>
      <c r="Q1563" s="10" t="str">
        <f>Tabela2[[#This Row],[Coluna5]]</f>
        <v>12/2025</v>
      </c>
      <c r="R1563" s="10" t="str">
        <f>IF(Tabela2[[#This Row],[Coluna9]]&gt;0,"Entrada","Saída")</f>
        <v>Saída</v>
      </c>
      <c r="S1563" s="10">
        <f>Tabela2[[#This Row],[Coluna8]]</f>
        <v>0</v>
      </c>
      <c r="T1563" s="10" t="e">
        <f>Tabela2[[#This Row],[Coluna72]]</f>
        <v>#REF!</v>
      </c>
      <c r="U1563" s="10">
        <f>SUM(Tabela2[[#This Row],[Coluna9]],Tabela2[[#This Row],[Coluna10]])</f>
        <v>50</v>
      </c>
      <c r="V1563" s="2" t="str">
        <f>Tabela2[[#This Row],[Coluna4]]</f>
        <v>05/12/2025</v>
      </c>
      <c r="W1563" s="2" t="str">
        <f>Tabela2[[#This Row],[Coluna6]]</f>
        <v>05/12/2025</v>
      </c>
    </row>
    <row r="1564" spans="2:23" x14ac:dyDescent="0.2">
      <c r="B1564" t="s">
        <v>27</v>
      </c>
      <c r="C1564" t="s">
        <v>95</v>
      </c>
      <c r="D1564" t="s">
        <v>13</v>
      </c>
      <c r="E1564" s="8" t="s">
        <v>289</v>
      </c>
      <c r="F1564" t="s">
        <v>64</v>
      </c>
      <c r="G1564" s="8" t="s">
        <v>88</v>
      </c>
      <c r="H1564" t="s">
        <v>538</v>
      </c>
      <c r="I1564" t="e">
        <f>VLOOKUP(Tabela2[[#This Row],[Coluna7]],[1]!Tabela1[#All],2,0)</f>
        <v>#REF!</v>
      </c>
      <c r="J1564" t="s">
        <v>619</v>
      </c>
      <c r="L1564">
        <v>150</v>
      </c>
      <c r="N1564" t="s">
        <v>640</v>
      </c>
      <c r="Q1564" s="10" t="str">
        <f>Tabela2[[#This Row],[Coluna5]]</f>
        <v>12/2025</v>
      </c>
      <c r="R1564" s="10" t="str">
        <f>IF(Tabela2[[#This Row],[Coluna9]]&gt;0,"Entrada","Saída")</f>
        <v>Saída</v>
      </c>
      <c r="S1564" s="10" t="str">
        <f>Tabela2[[#This Row],[Coluna8]]</f>
        <v>NOTAS FISCAIS</v>
      </c>
      <c r="T1564" s="10" t="e">
        <f>Tabela2[[#This Row],[Coluna72]]</f>
        <v>#REF!</v>
      </c>
      <c r="U1564" s="10">
        <f>SUM(Tabela2[[#This Row],[Coluna9]],Tabela2[[#This Row],[Coluna10]])</f>
        <v>150</v>
      </c>
      <c r="V1564" s="2" t="str">
        <f>Tabela2[[#This Row],[Coluna4]]</f>
        <v>05/12/2025</v>
      </c>
      <c r="W1564" s="2" t="str">
        <f>Tabela2[[#This Row],[Coluna6]]</f>
        <v>14/01/2026</v>
      </c>
    </row>
    <row r="1565" spans="2:23" x14ac:dyDescent="0.2">
      <c r="B1565" t="s">
        <v>18</v>
      </c>
      <c r="C1565" t="s">
        <v>95</v>
      </c>
      <c r="D1565" t="s">
        <v>13</v>
      </c>
      <c r="E1565" s="8" t="s">
        <v>67</v>
      </c>
      <c r="F1565" t="s">
        <v>64</v>
      </c>
      <c r="G1565" s="8" t="s">
        <v>67</v>
      </c>
      <c r="H1565" t="s">
        <v>546</v>
      </c>
      <c r="I1565" t="e">
        <f>VLOOKUP(Tabela2[[#This Row],[Coluna7]],[1]!Tabela1[#All],2,0)</f>
        <v>#REF!</v>
      </c>
      <c r="L1565">
        <v>500</v>
      </c>
      <c r="N1565" t="s">
        <v>547</v>
      </c>
      <c r="Q1565" s="10" t="str">
        <f>Tabela2[[#This Row],[Coluna5]]</f>
        <v>12/2025</v>
      </c>
      <c r="R1565" s="10" t="str">
        <f>IF(Tabela2[[#This Row],[Coluna9]]&gt;0,"Entrada","Saída")</f>
        <v>Saída</v>
      </c>
      <c r="S1565" s="10">
        <f>Tabela2[[#This Row],[Coluna8]]</f>
        <v>0</v>
      </c>
      <c r="T1565" s="10" t="e">
        <f>Tabela2[[#This Row],[Coluna72]]</f>
        <v>#REF!</v>
      </c>
      <c r="U1565" s="10">
        <f>SUM(Tabela2[[#This Row],[Coluna9]],Tabela2[[#This Row],[Coluna10]])</f>
        <v>500</v>
      </c>
      <c r="V1565" s="2" t="str">
        <f>Tabela2[[#This Row],[Coluna4]]</f>
        <v>06/12/2025</v>
      </c>
      <c r="W1565" s="2" t="str">
        <f>Tabela2[[#This Row],[Coluna6]]</f>
        <v>06/12/2025</v>
      </c>
    </row>
    <row r="1566" spans="2:23" x14ac:dyDescent="0.2">
      <c r="B1566" t="s">
        <v>18</v>
      </c>
      <c r="C1566" t="s">
        <v>95</v>
      </c>
      <c r="D1566" t="s">
        <v>13</v>
      </c>
      <c r="E1566" s="8" t="s">
        <v>67</v>
      </c>
      <c r="F1566" t="s">
        <v>64</v>
      </c>
      <c r="G1566" s="8" t="s">
        <v>67</v>
      </c>
      <c r="H1566" t="s">
        <v>546</v>
      </c>
      <c r="I1566" t="e">
        <f>VLOOKUP(Tabela2[[#This Row],[Coluna7]],[1]!Tabela1[#All],2,0)</f>
        <v>#REF!</v>
      </c>
      <c r="L1566">
        <v>200</v>
      </c>
      <c r="N1566" t="s">
        <v>584</v>
      </c>
      <c r="Q1566" s="10" t="str">
        <f>Tabela2[[#This Row],[Coluna5]]</f>
        <v>12/2025</v>
      </c>
      <c r="R1566" s="10" t="str">
        <f>IF(Tabela2[[#This Row],[Coluna9]]&gt;0,"Entrada","Saída")</f>
        <v>Saída</v>
      </c>
      <c r="S1566" s="10">
        <f>Tabela2[[#This Row],[Coluna8]]</f>
        <v>0</v>
      </c>
      <c r="T1566" s="10" t="e">
        <f>Tabela2[[#This Row],[Coluna72]]</f>
        <v>#REF!</v>
      </c>
      <c r="U1566" s="10">
        <f>SUM(Tabela2[[#This Row],[Coluna9]],Tabela2[[#This Row],[Coluna10]])</f>
        <v>200</v>
      </c>
      <c r="V1566" s="2" t="str">
        <f>Tabela2[[#This Row],[Coluna4]]</f>
        <v>06/12/2025</v>
      </c>
      <c r="W1566" s="2" t="str">
        <f>Tabela2[[#This Row],[Coluna6]]</f>
        <v>06/12/2025</v>
      </c>
    </row>
    <row r="1567" spans="2:23" x14ac:dyDescent="0.2">
      <c r="B1567" t="s">
        <v>18</v>
      </c>
      <c r="C1567" t="s">
        <v>95</v>
      </c>
      <c r="D1567" t="s">
        <v>13</v>
      </c>
      <c r="E1567" s="8" t="s">
        <v>296</v>
      </c>
      <c r="F1567" t="s">
        <v>64</v>
      </c>
      <c r="G1567" s="8" t="s">
        <v>296</v>
      </c>
      <c r="H1567" t="s">
        <v>546</v>
      </c>
      <c r="I1567" t="e">
        <f>VLOOKUP(Tabela2[[#This Row],[Coluna7]],[1]!Tabela1[#All],2,0)</f>
        <v>#REF!</v>
      </c>
      <c r="L1567">
        <v>600</v>
      </c>
      <c r="N1567" t="s">
        <v>584</v>
      </c>
      <c r="Q1567" s="10" t="str">
        <f>Tabela2[[#This Row],[Coluna5]]</f>
        <v>12/2025</v>
      </c>
      <c r="R1567" s="10" t="str">
        <f>IF(Tabela2[[#This Row],[Coluna9]]&gt;0,"Entrada","Saída")</f>
        <v>Saída</v>
      </c>
      <c r="S1567" s="10">
        <f>Tabela2[[#This Row],[Coluna8]]</f>
        <v>0</v>
      </c>
      <c r="T1567" s="10" t="e">
        <f>Tabela2[[#This Row],[Coluna72]]</f>
        <v>#REF!</v>
      </c>
      <c r="U1567" s="10">
        <f>SUM(Tabela2[[#This Row],[Coluna9]],Tabela2[[#This Row],[Coluna10]])</f>
        <v>600</v>
      </c>
      <c r="V1567" s="2" t="str">
        <f>Tabela2[[#This Row],[Coluna4]]</f>
        <v>07/12/2025</v>
      </c>
      <c r="W1567" s="2" t="str">
        <f>Tabela2[[#This Row],[Coluna6]]</f>
        <v>07/12/2025</v>
      </c>
    </row>
    <row r="1568" spans="2:23" x14ac:dyDescent="0.2">
      <c r="B1568" t="s">
        <v>18</v>
      </c>
      <c r="C1568" t="s">
        <v>95</v>
      </c>
      <c r="D1568" t="s">
        <v>13</v>
      </c>
      <c r="E1568" s="8" t="s">
        <v>68</v>
      </c>
      <c r="F1568" t="s">
        <v>42</v>
      </c>
      <c r="G1568" s="8" t="s">
        <v>68</v>
      </c>
      <c r="H1568" t="s">
        <v>580</v>
      </c>
      <c r="I1568" t="e">
        <f>VLOOKUP(Tabela2[[#This Row],[Coluna7]],[1]!Tabela1[#All],2,0)</f>
        <v>#REF!</v>
      </c>
      <c r="L1568">
        <v>400</v>
      </c>
      <c r="N1568" t="s">
        <v>499</v>
      </c>
      <c r="Q1568" s="10" t="str">
        <f>Tabela2[[#This Row],[Coluna5]]</f>
        <v>11/2025</v>
      </c>
      <c r="R1568" s="10" t="str">
        <f>IF(Tabela2[[#This Row],[Coluna9]]&gt;0,"Entrada","Saída")</f>
        <v>Saída</v>
      </c>
      <c r="S1568" s="10">
        <f>Tabela2[[#This Row],[Coluna8]]</f>
        <v>0</v>
      </c>
      <c r="T1568" s="10" t="e">
        <f>Tabela2[[#This Row],[Coluna72]]</f>
        <v>#REF!</v>
      </c>
      <c r="U1568" s="10">
        <f>SUM(Tabela2[[#This Row],[Coluna9]],Tabela2[[#This Row],[Coluna10]])</f>
        <v>400</v>
      </c>
      <c r="V1568" s="2" t="str">
        <f>Tabela2[[#This Row],[Coluna4]]</f>
        <v>08/12/2025</v>
      </c>
      <c r="W1568" s="2" t="str">
        <f>Tabela2[[#This Row],[Coluna6]]</f>
        <v>08/12/2025</v>
      </c>
    </row>
    <row r="1569" spans="2:23" x14ac:dyDescent="0.2">
      <c r="B1569" t="s">
        <v>18</v>
      </c>
      <c r="C1569" t="s">
        <v>95</v>
      </c>
      <c r="D1569" t="s">
        <v>13</v>
      </c>
      <c r="E1569" s="8" t="s">
        <v>68</v>
      </c>
      <c r="F1569" t="s">
        <v>64</v>
      </c>
      <c r="G1569" s="8" t="s">
        <v>68</v>
      </c>
      <c r="H1569" t="s">
        <v>546</v>
      </c>
      <c r="I1569" t="e">
        <f>VLOOKUP(Tabela2[[#This Row],[Coluna7]],[1]!Tabela1[#All],2,0)</f>
        <v>#REF!</v>
      </c>
      <c r="L1569">
        <v>50</v>
      </c>
      <c r="N1569" t="s">
        <v>547</v>
      </c>
      <c r="Q1569" s="10" t="str">
        <f>Tabela2[[#This Row],[Coluna5]]</f>
        <v>12/2025</v>
      </c>
      <c r="R1569" s="10" t="str">
        <f>IF(Tabela2[[#This Row],[Coluna9]]&gt;0,"Entrada","Saída")</f>
        <v>Saída</v>
      </c>
      <c r="S1569" s="10">
        <f>Tabela2[[#This Row],[Coluna8]]</f>
        <v>0</v>
      </c>
      <c r="T1569" s="10" t="e">
        <f>Tabela2[[#This Row],[Coluna72]]</f>
        <v>#REF!</v>
      </c>
      <c r="U1569" s="10">
        <f>SUM(Tabela2[[#This Row],[Coluna9]],Tabela2[[#This Row],[Coluna10]])</f>
        <v>50</v>
      </c>
      <c r="V1569" s="2" t="str">
        <f>Tabela2[[#This Row],[Coluna4]]</f>
        <v>08/12/2025</v>
      </c>
      <c r="W1569" s="2" t="str">
        <f>Tabela2[[#This Row],[Coluna6]]</f>
        <v>08/12/2025</v>
      </c>
    </row>
    <row r="1570" spans="2:23" x14ac:dyDescent="0.2">
      <c r="B1570" t="s">
        <v>18</v>
      </c>
      <c r="C1570" t="s">
        <v>95</v>
      </c>
      <c r="D1570" t="s">
        <v>13</v>
      </c>
      <c r="E1570" s="8" t="s">
        <v>68</v>
      </c>
      <c r="F1570" t="s">
        <v>64</v>
      </c>
      <c r="G1570" s="8" t="s">
        <v>68</v>
      </c>
      <c r="H1570" t="s">
        <v>546</v>
      </c>
      <c r="I1570" t="e">
        <f>VLOOKUP(Tabela2[[#This Row],[Coluna7]],[1]!Tabela1[#All],2,0)</f>
        <v>#REF!</v>
      </c>
      <c r="L1570">
        <v>100</v>
      </c>
      <c r="N1570" t="s">
        <v>584</v>
      </c>
      <c r="Q1570" s="10" t="str">
        <f>Tabela2[[#This Row],[Coluna5]]</f>
        <v>12/2025</v>
      </c>
      <c r="R1570" s="10" t="str">
        <f>IF(Tabela2[[#This Row],[Coluna9]]&gt;0,"Entrada","Saída")</f>
        <v>Saída</v>
      </c>
      <c r="S1570" s="10">
        <f>Tabela2[[#This Row],[Coluna8]]</f>
        <v>0</v>
      </c>
      <c r="T1570" s="10" t="e">
        <f>Tabela2[[#This Row],[Coluna72]]</f>
        <v>#REF!</v>
      </c>
      <c r="U1570" s="10">
        <f>SUM(Tabela2[[#This Row],[Coluna9]],Tabela2[[#This Row],[Coluna10]])</f>
        <v>100</v>
      </c>
      <c r="V1570" s="2" t="str">
        <f>Tabela2[[#This Row],[Coluna4]]</f>
        <v>08/12/2025</v>
      </c>
      <c r="W1570" s="2" t="str">
        <f>Tabela2[[#This Row],[Coluna6]]</f>
        <v>08/12/2025</v>
      </c>
    </row>
    <row r="1571" spans="2:23" x14ac:dyDescent="0.2">
      <c r="B1571" t="s">
        <v>12</v>
      </c>
      <c r="C1571" t="s">
        <v>95</v>
      </c>
      <c r="D1571" t="s">
        <v>13</v>
      </c>
      <c r="E1571" s="8" t="s">
        <v>69</v>
      </c>
      <c r="F1571" t="s">
        <v>42</v>
      </c>
      <c r="G1571" s="8" t="s">
        <v>69</v>
      </c>
      <c r="H1571" t="s">
        <v>580</v>
      </c>
      <c r="I1571" t="e">
        <f>VLOOKUP(Tabela2[[#This Row],[Coluna7]],[1]!Tabela1[#All],2,0)</f>
        <v>#REF!</v>
      </c>
      <c r="J1571" t="s">
        <v>641</v>
      </c>
      <c r="L1571">
        <v>3000</v>
      </c>
      <c r="N1571" t="s">
        <v>583</v>
      </c>
      <c r="Q1571" s="10" t="str">
        <f>Tabela2[[#This Row],[Coluna5]]</f>
        <v>11/2025</v>
      </c>
      <c r="R1571" s="10" t="str">
        <f>IF(Tabela2[[#This Row],[Coluna9]]&gt;0,"Entrada","Saída")</f>
        <v>Saída</v>
      </c>
      <c r="S1571" s="10" t="str">
        <f>Tabela2[[#This Row],[Coluna8]]</f>
        <v>NOVEMBRO</v>
      </c>
      <c r="T1571" s="10" t="e">
        <f>Tabela2[[#This Row],[Coluna72]]</f>
        <v>#REF!</v>
      </c>
      <c r="U1571" s="10">
        <f>SUM(Tabela2[[#This Row],[Coluna9]],Tabela2[[#This Row],[Coluna10]])</f>
        <v>3000</v>
      </c>
      <c r="V1571" s="2" t="str">
        <f>Tabela2[[#This Row],[Coluna4]]</f>
        <v>10/12/2025</v>
      </c>
      <c r="W1571" s="2" t="str">
        <f>Tabela2[[#This Row],[Coluna6]]</f>
        <v>10/12/2025</v>
      </c>
    </row>
    <row r="1572" spans="2:23" x14ac:dyDescent="0.2">
      <c r="B1572" t="s">
        <v>18</v>
      </c>
      <c r="C1572" t="s">
        <v>95</v>
      </c>
      <c r="D1572" t="s">
        <v>13</v>
      </c>
      <c r="E1572" s="8" t="s">
        <v>73</v>
      </c>
      <c r="F1572" t="s">
        <v>64</v>
      </c>
      <c r="G1572" s="8" t="s">
        <v>73</v>
      </c>
      <c r="H1572" t="s">
        <v>546</v>
      </c>
      <c r="I1572" t="e">
        <f>VLOOKUP(Tabela2[[#This Row],[Coluna7]],[1]!Tabela1[#All],2,0)</f>
        <v>#REF!</v>
      </c>
      <c r="L1572">
        <v>50</v>
      </c>
      <c r="N1572" t="s">
        <v>584</v>
      </c>
      <c r="Q1572" s="10" t="str">
        <f>Tabela2[[#This Row],[Coluna5]]</f>
        <v>12/2025</v>
      </c>
      <c r="R1572" s="10" t="str">
        <f>IF(Tabela2[[#This Row],[Coluna9]]&gt;0,"Entrada","Saída")</f>
        <v>Saída</v>
      </c>
      <c r="S1572" s="10">
        <f>Tabela2[[#This Row],[Coluna8]]</f>
        <v>0</v>
      </c>
      <c r="T1572" s="10" t="e">
        <f>Tabela2[[#This Row],[Coluna72]]</f>
        <v>#REF!</v>
      </c>
      <c r="U1572" s="10">
        <f>SUM(Tabela2[[#This Row],[Coluna9]],Tabela2[[#This Row],[Coluna10]])</f>
        <v>50</v>
      </c>
      <c r="V1572" s="2" t="str">
        <f>Tabela2[[#This Row],[Coluna4]]</f>
        <v>11/12/2025</v>
      </c>
      <c r="W1572" s="2" t="str">
        <f>Tabela2[[#This Row],[Coluna6]]</f>
        <v>11/12/2025</v>
      </c>
    </row>
    <row r="1573" spans="2:23" x14ac:dyDescent="0.2">
      <c r="B1573" t="s">
        <v>18</v>
      </c>
      <c r="C1573" t="s">
        <v>95</v>
      </c>
      <c r="D1573" t="s">
        <v>13</v>
      </c>
      <c r="E1573" s="8" t="s">
        <v>309</v>
      </c>
      <c r="F1573" t="s">
        <v>64</v>
      </c>
      <c r="G1573" s="8" t="s">
        <v>309</v>
      </c>
      <c r="H1573" t="s">
        <v>546</v>
      </c>
      <c r="I1573" t="e">
        <f>VLOOKUP(Tabela2[[#This Row],[Coluna7]],[1]!Tabela1[#All],2,0)</f>
        <v>#REF!</v>
      </c>
      <c r="J1573" t="s">
        <v>642</v>
      </c>
      <c r="L1573">
        <v>100</v>
      </c>
      <c r="N1573" t="s">
        <v>547</v>
      </c>
      <c r="Q1573" s="10" t="str">
        <f>Tabela2[[#This Row],[Coluna5]]</f>
        <v>12/2025</v>
      </c>
      <c r="R1573" s="10" t="str">
        <f>IF(Tabela2[[#This Row],[Coluna9]]&gt;0,"Entrada","Saída")</f>
        <v>Saída</v>
      </c>
      <c r="S1573" s="10" t="str">
        <f>Tabela2[[#This Row],[Coluna8]]</f>
        <v>PINTOR</v>
      </c>
      <c r="T1573" s="10" t="e">
        <f>Tabela2[[#This Row],[Coluna72]]</f>
        <v>#REF!</v>
      </c>
      <c r="U1573" s="10">
        <f>SUM(Tabela2[[#This Row],[Coluna9]],Tabela2[[#This Row],[Coluna10]])</f>
        <v>100</v>
      </c>
      <c r="V1573" s="2" t="str">
        <f>Tabela2[[#This Row],[Coluna4]]</f>
        <v>12/12/2025</v>
      </c>
      <c r="W1573" s="2" t="str">
        <f>Tabela2[[#This Row],[Coluna6]]</f>
        <v>12/12/2025</v>
      </c>
    </row>
    <row r="1574" spans="2:23" x14ac:dyDescent="0.2">
      <c r="B1574" t="s">
        <v>18</v>
      </c>
      <c r="C1574" t="s">
        <v>95</v>
      </c>
      <c r="D1574" t="s">
        <v>13</v>
      </c>
      <c r="E1574" s="8" t="s">
        <v>309</v>
      </c>
      <c r="F1574" t="s">
        <v>64</v>
      </c>
      <c r="G1574" s="8" t="s">
        <v>309</v>
      </c>
      <c r="H1574" t="s">
        <v>546</v>
      </c>
      <c r="I1574" t="e">
        <f>VLOOKUP(Tabela2[[#This Row],[Coluna7]],[1]!Tabela1[#All],2,0)</f>
        <v>#REF!</v>
      </c>
      <c r="J1574" t="s">
        <v>643</v>
      </c>
      <c r="L1574">
        <v>1450</v>
      </c>
      <c r="N1574" t="s">
        <v>584</v>
      </c>
      <c r="Q1574" s="10" t="str">
        <f>Tabela2[[#This Row],[Coluna5]]</f>
        <v>12/2025</v>
      </c>
      <c r="R1574" s="10" t="str">
        <f>IF(Tabela2[[#This Row],[Coluna9]]&gt;0,"Entrada","Saída")</f>
        <v>Saída</v>
      </c>
      <c r="S1574" s="10" t="str">
        <f>Tabela2[[#This Row],[Coluna8]]</f>
        <v>PEDREIRO</v>
      </c>
      <c r="T1574" s="10" t="e">
        <f>Tabela2[[#This Row],[Coluna72]]</f>
        <v>#REF!</v>
      </c>
      <c r="U1574" s="10">
        <f>SUM(Tabela2[[#This Row],[Coluna9]],Tabela2[[#This Row],[Coluna10]])</f>
        <v>1450</v>
      </c>
      <c r="V1574" s="2" t="str">
        <f>Tabela2[[#This Row],[Coluna4]]</f>
        <v>12/12/2025</v>
      </c>
      <c r="W1574" s="2" t="str">
        <f>Tabela2[[#This Row],[Coluna6]]</f>
        <v>12/12/2025</v>
      </c>
    </row>
    <row r="1575" spans="2:23" x14ac:dyDescent="0.2">
      <c r="B1575" t="s">
        <v>71</v>
      </c>
      <c r="C1575" t="s">
        <v>95</v>
      </c>
      <c r="D1575" t="s">
        <v>13</v>
      </c>
      <c r="E1575" s="8" t="s">
        <v>309</v>
      </c>
      <c r="F1575" t="s">
        <v>64</v>
      </c>
      <c r="G1575" s="8" t="s">
        <v>309</v>
      </c>
      <c r="H1575" t="s">
        <v>546</v>
      </c>
      <c r="I1575" t="e">
        <f>VLOOKUP(Tabela2[[#This Row],[Coluna7]],[1]!Tabela1[#All],2,0)</f>
        <v>#REF!</v>
      </c>
      <c r="J1575" t="s">
        <v>644</v>
      </c>
      <c r="L1575">
        <v>200</v>
      </c>
      <c r="Q1575" s="10" t="str">
        <f>Tabela2[[#This Row],[Coluna5]]</f>
        <v>12/2025</v>
      </c>
      <c r="R1575" s="10" t="str">
        <f>IF(Tabela2[[#This Row],[Coluna9]]&gt;0,"Entrada","Saída")</f>
        <v>Saída</v>
      </c>
      <c r="S1575" s="10" t="str">
        <f>Tabela2[[#This Row],[Coluna8]]</f>
        <v>RETIRADA DE ENTULHO</v>
      </c>
      <c r="T1575" s="10" t="e">
        <f>Tabela2[[#This Row],[Coluna72]]</f>
        <v>#REF!</v>
      </c>
      <c r="U1575" s="10">
        <f>SUM(Tabela2[[#This Row],[Coluna9]],Tabela2[[#This Row],[Coluna10]])</f>
        <v>200</v>
      </c>
      <c r="V1575" s="2" t="str">
        <f>Tabela2[[#This Row],[Coluna4]]</f>
        <v>12/12/2025</v>
      </c>
      <c r="W1575" s="2" t="str">
        <f>Tabela2[[#This Row],[Coluna6]]</f>
        <v>12/12/2025</v>
      </c>
    </row>
    <row r="1576" spans="2:23" x14ac:dyDescent="0.2">
      <c r="B1576" t="s">
        <v>18</v>
      </c>
      <c r="C1576" t="s">
        <v>95</v>
      </c>
      <c r="D1576" t="s">
        <v>13</v>
      </c>
      <c r="E1576" s="8" t="s">
        <v>74</v>
      </c>
      <c r="F1576" t="s">
        <v>42</v>
      </c>
      <c r="G1576" s="8" t="s">
        <v>74</v>
      </c>
      <c r="H1576" t="s">
        <v>580</v>
      </c>
      <c r="I1576" t="e">
        <f>VLOOKUP(Tabela2[[#This Row],[Coluna7]],[1]!Tabela1[#All],2,0)</f>
        <v>#REF!</v>
      </c>
      <c r="J1576" t="s">
        <v>641</v>
      </c>
      <c r="L1576">
        <v>2000</v>
      </c>
      <c r="N1576" t="s">
        <v>583</v>
      </c>
      <c r="Q1576" s="10" t="str">
        <f>Tabela2[[#This Row],[Coluna5]]</f>
        <v>11/2025</v>
      </c>
      <c r="R1576" s="10" t="str">
        <f>IF(Tabela2[[#This Row],[Coluna9]]&gt;0,"Entrada","Saída")</f>
        <v>Saída</v>
      </c>
      <c r="S1576" s="10" t="str">
        <f>Tabela2[[#This Row],[Coluna8]]</f>
        <v>NOVEMBRO</v>
      </c>
      <c r="T1576" s="10" t="e">
        <f>Tabela2[[#This Row],[Coluna72]]</f>
        <v>#REF!</v>
      </c>
      <c r="U1576" s="10">
        <f>SUM(Tabela2[[#This Row],[Coluna9]],Tabela2[[#This Row],[Coluna10]])</f>
        <v>2000</v>
      </c>
      <c r="V1576" s="2" t="str">
        <f>Tabela2[[#This Row],[Coluna4]]</f>
        <v>13/12/2025</v>
      </c>
      <c r="W1576" s="2" t="str">
        <f>Tabela2[[#This Row],[Coluna6]]</f>
        <v>13/12/2025</v>
      </c>
    </row>
    <row r="1577" spans="2:23" x14ac:dyDescent="0.2">
      <c r="B1577" t="s">
        <v>18</v>
      </c>
      <c r="C1577" t="s">
        <v>95</v>
      </c>
      <c r="D1577" t="s">
        <v>13</v>
      </c>
      <c r="E1577" s="8" t="s">
        <v>74</v>
      </c>
      <c r="F1577" t="s">
        <v>64</v>
      </c>
      <c r="G1577" s="8" t="s">
        <v>74</v>
      </c>
      <c r="H1577" t="s">
        <v>546</v>
      </c>
      <c r="I1577" t="e">
        <f>VLOOKUP(Tabela2[[#This Row],[Coluna7]],[1]!Tabela1[#All],2,0)</f>
        <v>#REF!</v>
      </c>
      <c r="L1577">
        <v>600</v>
      </c>
      <c r="N1577" t="s">
        <v>547</v>
      </c>
      <c r="Q1577" s="10" t="str">
        <f>Tabela2[[#This Row],[Coluna5]]</f>
        <v>12/2025</v>
      </c>
      <c r="R1577" s="10" t="str">
        <f>IF(Tabela2[[#This Row],[Coluna9]]&gt;0,"Entrada","Saída")</f>
        <v>Saída</v>
      </c>
      <c r="S1577" s="10">
        <f>Tabela2[[#This Row],[Coluna8]]</f>
        <v>0</v>
      </c>
      <c r="T1577" s="10" t="e">
        <f>Tabela2[[#This Row],[Coluna72]]</f>
        <v>#REF!</v>
      </c>
      <c r="U1577" s="10">
        <f>SUM(Tabela2[[#This Row],[Coluna9]],Tabela2[[#This Row],[Coluna10]])</f>
        <v>600</v>
      </c>
      <c r="V1577" s="2" t="str">
        <f>Tabela2[[#This Row],[Coluna4]]</f>
        <v>13/12/2025</v>
      </c>
      <c r="W1577" s="2" t="str">
        <f>Tabela2[[#This Row],[Coluna6]]</f>
        <v>13/12/2025</v>
      </c>
    </row>
    <row r="1578" spans="2:23" x14ac:dyDescent="0.2">
      <c r="B1578" t="s">
        <v>18</v>
      </c>
      <c r="C1578" t="s">
        <v>95</v>
      </c>
      <c r="D1578" t="s">
        <v>13</v>
      </c>
      <c r="E1578" s="8" t="s">
        <v>74</v>
      </c>
      <c r="F1578" t="s">
        <v>64</v>
      </c>
      <c r="G1578" s="8" t="s">
        <v>74</v>
      </c>
      <c r="H1578" t="s">
        <v>546</v>
      </c>
      <c r="I1578" t="e">
        <f>VLOOKUP(Tabela2[[#This Row],[Coluna7]],[1]!Tabela1[#All],2,0)</f>
        <v>#REF!</v>
      </c>
      <c r="L1578">
        <v>1140</v>
      </c>
      <c r="N1578" t="s">
        <v>584</v>
      </c>
      <c r="Q1578" s="10" t="str">
        <f>Tabela2[[#This Row],[Coluna5]]</f>
        <v>12/2025</v>
      </c>
      <c r="R1578" s="10" t="str">
        <f>IF(Tabela2[[#This Row],[Coluna9]]&gt;0,"Entrada","Saída")</f>
        <v>Saída</v>
      </c>
      <c r="S1578" s="10">
        <f>Tabela2[[#This Row],[Coluna8]]</f>
        <v>0</v>
      </c>
      <c r="T1578" s="10" t="e">
        <f>Tabela2[[#This Row],[Coluna72]]</f>
        <v>#REF!</v>
      </c>
      <c r="U1578" s="10">
        <f>SUM(Tabela2[[#This Row],[Coluna9]],Tabela2[[#This Row],[Coluna10]])</f>
        <v>1140</v>
      </c>
      <c r="V1578" s="2" t="str">
        <f>Tabela2[[#This Row],[Coluna4]]</f>
        <v>13/12/2025</v>
      </c>
      <c r="W1578" s="2" t="str">
        <f>Tabela2[[#This Row],[Coluna6]]</f>
        <v>13/12/2025</v>
      </c>
    </row>
    <row r="1579" spans="2:23" x14ac:dyDescent="0.2">
      <c r="B1579" t="s">
        <v>71</v>
      </c>
      <c r="C1579" t="s">
        <v>125</v>
      </c>
      <c r="D1579" t="s">
        <v>13</v>
      </c>
      <c r="E1579" s="8" t="s">
        <v>74</v>
      </c>
      <c r="F1579" t="s">
        <v>64</v>
      </c>
      <c r="G1579" s="8" t="s">
        <v>74</v>
      </c>
      <c r="H1579" t="s">
        <v>551</v>
      </c>
      <c r="I1579" t="e">
        <f>VLOOKUP(Tabela2[[#This Row],[Coluna7]],[1]!Tabela1[#All],2,0)</f>
        <v>#REF!</v>
      </c>
      <c r="J1579" t="s">
        <v>645</v>
      </c>
      <c r="L1579">
        <v>200</v>
      </c>
      <c r="N1579" t="s">
        <v>646</v>
      </c>
      <c r="Q1579" s="10" t="str">
        <f>Tabela2[[#This Row],[Coluna5]]</f>
        <v>12/2025</v>
      </c>
      <c r="R1579" s="10" t="str">
        <f>IF(Tabela2[[#This Row],[Coluna9]]&gt;0,"Entrada","Saída")</f>
        <v>Saída</v>
      </c>
      <c r="S1579" s="10" t="str">
        <f>Tabela2[[#This Row],[Coluna8]]</f>
        <v>PARCEIRA JÓ (DEZEMBRO)</v>
      </c>
      <c r="T1579" s="10" t="e">
        <f>Tabela2[[#This Row],[Coluna72]]</f>
        <v>#REF!</v>
      </c>
      <c r="U1579" s="10">
        <f>SUM(Tabela2[[#This Row],[Coluna9]],Tabela2[[#This Row],[Coluna10]])</f>
        <v>200</v>
      </c>
      <c r="V1579" s="2" t="str">
        <f>Tabela2[[#This Row],[Coluna4]]</f>
        <v>13/12/2025</v>
      </c>
      <c r="W1579" s="2" t="str">
        <f>Tabela2[[#This Row],[Coluna6]]</f>
        <v>13/12/2025</v>
      </c>
    </row>
    <row r="1580" spans="2:23" x14ac:dyDescent="0.2">
      <c r="B1580" t="s">
        <v>18</v>
      </c>
      <c r="C1580" t="s">
        <v>95</v>
      </c>
      <c r="D1580" t="s">
        <v>13</v>
      </c>
      <c r="E1580" s="8" t="s">
        <v>647</v>
      </c>
      <c r="F1580" t="s">
        <v>64</v>
      </c>
      <c r="G1580" s="8" t="s">
        <v>647</v>
      </c>
      <c r="H1580" t="s">
        <v>546</v>
      </c>
      <c r="I1580" t="e">
        <f>VLOOKUP(Tabela2[[#This Row],[Coluna7]],[1]!Tabela1[#All],2,0)</f>
        <v>#REF!</v>
      </c>
      <c r="L1580">
        <v>180</v>
      </c>
      <c r="N1580" t="s">
        <v>584</v>
      </c>
      <c r="Q1580" s="10" t="str">
        <f>Tabela2[[#This Row],[Coluna5]]</f>
        <v>12/2025</v>
      </c>
      <c r="R1580" s="10" t="str">
        <f>IF(Tabela2[[#This Row],[Coluna9]]&gt;0,"Entrada","Saída")</f>
        <v>Saída</v>
      </c>
      <c r="S1580" s="10">
        <f>Tabela2[[#This Row],[Coluna8]]</f>
        <v>0</v>
      </c>
      <c r="T1580" s="10" t="e">
        <f>Tabela2[[#This Row],[Coluna72]]</f>
        <v>#REF!</v>
      </c>
      <c r="U1580" s="10">
        <f>SUM(Tabela2[[#This Row],[Coluna9]],Tabela2[[#This Row],[Coluna10]])</f>
        <v>180</v>
      </c>
      <c r="V1580" s="2" t="str">
        <f>Tabela2[[#This Row],[Coluna4]]</f>
        <v>14/12/2025</v>
      </c>
      <c r="W1580" s="2" t="str">
        <f>Tabela2[[#This Row],[Coluna6]]</f>
        <v>14/12/2025</v>
      </c>
    </row>
    <row r="1581" spans="2:23" x14ac:dyDescent="0.2">
      <c r="B1581" t="s">
        <v>12</v>
      </c>
      <c r="C1581" t="s">
        <v>95</v>
      </c>
      <c r="D1581" t="s">
        <v>13</v>
      </c>
      <c r="E1581" s="8" t="s">
        <v>76</v>
      </c>
      <c r="F1581" t="s">
        <v>42</v>
      </c>
      <c r="G1581" s="8" t="s">
        <v>301</v>
      </c>
      <c r="H1581" t="s">
        <v>580</v>
      </c>
      <c r="I1581" t="e">
        <f>VLOOKUP(Tabela2[[#This Row],[Coluna7]],[1]!Tabela1[#All],2,0)</f>
        <v>#REF!</v>
      </c>
      <c r="L1581">
        <v>1823.26</v>
      </c>
      <c r="N1581" t="s">
        <v>523</v>
      </c>
      <c r="Q1581" s="10" t="str">
        <f>Tabela2[[#This Row],[Coluna5]]</f>
        <v>11/2025</v>
      </c>
      <c r="R1581" s="10" t="str">
        <f>IF(Tabela2[[#This Row],[Coluna9]]&gt;0,"Entrada","Saída")</f>
        <v>Saída</v>
      </c>
      <c r="S1581" s="10">
        <f>Tabela2[[#This Row],[Coluna8]]</f>
        <v>0</v>
      </c>
      <c r="T1581" s="10" t="e">
        <f>Tabela2[[#This Row],[Coluna72]]</f>
        <v>#REF!</v>
      </c>
      <c r="U1581" s="10">
        <f>SUM(Tabela2[[#This Row],[Coluna9]],Tabela2[[#This Row],[Coluna10]])</f>
        <v>1823.26</v>
      </c>
      <c r="V1581" s="2" t="str">
        <f>Tabela2[[#This Row],[Coluna4]]</f>
        <v>15/12/2025</v>
      </c>
      <c r="W1581" s="2" t="str">
        <f>Tabela2[[#This Row],[Coluna6]]</f>
        <v>05/01/2026</v>
      </c>
    </row>
    <row r="1582" spans="2:23" x14ac:dyDescent="0.2">
      <c r="B1582" t="s">
        <v>18</v>
      </c>
      <c r="C1582" t="s">
        <v>95</v>
      </c>
      <c r="D1582" t="s">
        <v>13</v>
      </c>
      <c r="E1582" s="8" t="s">
        <v>78</v>
      </c>
      <c r="F1582" t="s">
        <v>64</v>
      </c>
      <c r="G1582" s="8" t="s">
        <v>78</v>
      </c>
      <c r="H1582" t="s">
        <v>546</v>
      </c>
      <c r="I1582" t="e">
        <f>VLOOKUP(Tabela2[[#This Row],[Coluna7]],[1]!Tabela1[#All],2,0)</f>
        <v>#REF!</v>
      </c>
      <c r="L1582">
        <v>70</v>
      </c>
      <c r="N1582" t="s">
        <v>547</v>
      </c>
      <c r="Q1582" s="10" t="str">
        <f>Tabela2[[#This Row],[Coluna5]]</f>
        <v>12/2025</v>
      </c>
      <c r="R1582" s="10" t="str">
        <f>IF(Tabela2[[#This Row],[Coluna9]]&gt;0,"Entrada","Saída")</f>
        <v>Saída</v>
      </c>
      <c r="S1582" s="10">
        <f>Tabela2[[#This Row],[Coluna8]]</f>
        <v>0</v>
      </c>
      <c r="T1582" s="10" t="e">
        <f>Tabela2[[#This Row],[Coluna72]]</f>
        <v>#REF!</v>
      </c>
      <c r="U1582" s="10">
        <f>SUM(Tabela2[[#This Row],[Coluna9]],Tabela2[[#This Row],[Coluna10]])</f>
        <v>70</v>
      </c>
      <c r="V1582" s="2" t="str">
        <f>Tabela2[[#This Row],[Coluna4]]</f>
        <v>17/12/2025</v>
      </c>
      <c r="W1582" s="2" t="str">
        <f>Tabela2[[#This Row],[Coluna6]]</f>
        <v>17/12/2025</v>
      </c>
    </row>
    <row r="1583" spans="2:23" x14ac:dyDescent="0.2">
      <c r="B1583" t="s">
        <v>18</v>
      </c>
      <c r="C1583" t="s">
        <v>95</v>
      </c>
      <c r="D1583" t="s">
        <v>13</v>
      </c>
      <c r="E1583" s="8" t="s">
        <v>78</v>
      </c>
      <c r="F1583" t="s">
        <v>64</v>
      </c>
      <c r="G1583" s="8" t="s">
        <v>78</v>
      </c>
      <c r="H1583" t="s">
        <v>570</v>
      </c>
      <c r="I1583" t="e">
        <f>VLOOKUP(Tabela2[[#This Row],[Coluna7]],[1]!Tabela1[#All],2,0)</f>
        <v>#REF!</v>
      </c>
      <c r="J1583" t="s">
        <v>638</v>
      </c>
      <c r="L1583">
        <v>35</v>
      </c>
      <c r="Q1583" s="10" t="str">
        <f>Tabela2[[#This Row],[Coluna5]]</f>
        <v>12/2025</v>
      </c>
      <c r="R1583" s="10" t="str">
        <f>IF(Tabela2[[#This Row],[Coluna9]]&gt;0,"Entrada","Saída")</f>
        <v>Saída</v>
      </c>
      <c r="S1583" s="10" t="str">
        <f>Tabela2[[#This Row],[Coluna8]]</f>
        <v>GESSO</v>
      </c>
      <c r="T1583" s="10" t="e">
        <f>Tabela2[[#This Row],[Coluna72]]</f>
        <v>#REF!</v>
      </c>
      <c r="U1583" s="10">
        <f>SUM(Tabela2[[#This Row],[Coluna9]],Tabela2[[#This Row],[Coluna10]])</f>
        <v>35</v>
      </c>
      <c r="V1583" s="2" t="str">
        <f>Tabela2[[#This Row],[Coluna4]]</f>
        <v>17/12/2025</v>
      </c>
      <c r="W1583" s="2" t="str">
        <f>Tabela2[[#This Row],[Coluna6]]</f>
        <v>17/12/2025</v>
      </c>
    </row>
    <row r="1584" spans="2:23" hidden="1" x14ac:dyDescent="0.2">
      <c r="B1584" t="s">
        <v>18</v>
      </c>
      <c r="C1584" t="s">
        <v>95</v>
      </c>
      <c r="D1584" t="s">
        <v>13</v>
      </c>
      <c r="E1584" s="8" t="s">
        <v>78</v>
      </c>
      <c r="F1584" t="s">
        <v>64</v>
      </c>
      <c r="G1584" s="8" t="s">
        <v>78</v>
      </c>
      <c r="H1584" t="s">
        <v>625</v>
      </c>
      <c r="I1584" t="e">
        <f>VLOOKUP(Tabela2[[#This Row],[Coluna7]],[1]!Tabela1[#All],2,0)</f>
        <v>#REF!</v>
      </c>
      <c r="J1584" t="s">
        <v>266</v>
      </c>
      <c r="L1584">
        <v>300</v>
      </c>
      <c r="Q1584" s="10" t="str">
        <f>Tabela2[[#This Row],[Coluna5]]</f>
        <v>12/2025</v>
      </c>
      <c r="R1584" s="10" t="str">
        <f>IF(Tabela2[[#This Row],[Coluna9]]&gt;0,"Entrada","Saída")</f>
        <v>Saída</v>
      </c>
      <c r="S1584" s="10" t="str">
        <f>Tabela2[[#This Row],[Coluna8]]</f>
        <v>PAGAMENTO PARCIAL</v>
      </c>
      <c r="T1584" s="10" t="e">
        <f>Tabela2[[#This Row],[Coluna72]]</f>
        <v>#REF!</v>
      </c>
      <c r="U1584" s="10">
        <f>SUM(Tabela2[[#This Row],[Coluna9]],Tabela2[[#This Row],[Coluna10]])</f>
        <v>300</v>
      </c>
      <c r="V1584" s="2" t="str">
        <f>Tabela2[[#This Row],[Coluna4]]</f>
        <v>17/12/2025</v>
      </c>
      <c r="W1584" s="2" t="str">
        <f>Tabela2[[#This Row],[Coluna6]]</f>
        <v>17/12/2025</v>
      </c>
    </row>
    <row r="1585" spans="2:23" x14ac:dyDescent="0.2">
      <c r="B1585" t="s">
        <v>18</v>
      </c>
      <c r="C1585" t="s">
        <v>95</v>
      </c>
      <c r="D1585" t="s">
        <v>13</v>
      </c>
      <c r="E1585" s="8" t="s">
        <v>77</v>
      </c>
      <c r="F1585" t="s">
        <v>64</v>
      </c>
      <c r="G1585" s="8" t="s">
        <v>77</v>
      </c>
      <c r="H1585" t="s">
        <v>546</v>
      </c>
      <c r="I1585" t="e">
        <f>VLOOKUP(Tabela2[[#This Row],[Coluna7]],[1]!Tabela1[#All],2,0)</f>
        <v>#REF!</v>
      </c>
      <c r="L1585">
        <v>30</v>
      </c>
      <c r="N1585" t="s">
        <v>547</v>
      </c>
      <c r="Q1585" s="10" t="str">
        <f>Tabela2[[#This Row],[Coluna5]]</f>
        <v>12/2025</v>
      </c>
      <c r="R1585" s="10" t="str">
        <f>IF(Tabela2[[#This Row],[Coluna9]]&gt;0,"Entrada","Saída")</f>
        <v>Saída</v>
      </c>
      <c r="S1585" s="10">
        <f>Tabela2[[#This Row],[Coluna8]]</f>
        <v>0</v>
      </c>
      <c r="T1585" s="10" t="e">
        <f>Tabela2[[#This Row],[Coluna72]]</f>
        <v>#REF!</v>
      </c>
      <c r="U1585" s="10">
        <f>SUM(Tabela2[[#This Row],[Coluna9]],Tabela2[[#This Row],[Coluna10]])</f>
        <v>30</v>
      </c>
      <c r="V1585" s="2" t="str">
        <f>Tabela2[[#This Row],[Coluna4]]</f>
        <v>18/12/2025</v>
      </c>
      <c r="W1585" s="2" t="str">
        <f>Tabela2[[#This Row],[Coluna6]]</f>
        <v>18/12/2025</v>
      </c>
    </row>
    <row r="1586" spans="2:23" x14ac:dyDescent="0.2">
      <c r="B1586" t="s">
        <v>12</v>
      </c>
      <c r="C1586" t="s">
        <v>95</v>
      </c>
      <c r="D1586" t="s">
        <v>13</v>
      </c>
      <c r="E1586" s="8" t="s">
        <v>416</v>
      </c>
      <c r="F1586" t="s">
        <v>64</v>
      </c>
      <c r="G1586" s="8" t="s">
        <v>416</v>
      </c>
      <c r="H1586" t="s">
        <v>546</v>
      </c>
      <c r="I1586" t="e">
        <f>VLOOKUP(Tabela2[[#This Row],[Coluna7]],[1]!Tabela1[#All],2,0)</f>
        <v>#REF!</v>
      </c>
      <c r="J1586" t="s">
        <v>648</v>
      </c>
      <c r="L1586">
        <v>100</v>
      </c>
      <c r="N1586" t="s">
        <v>547</v>
      </c>
      <c r="Q1586" s="10" t="str">
        <f>Tabela2[[#This Row],[Coluna5]]</f>
        <v>12/2025</v>
      </c>
      <c r="R1586" s="10" t="str">
        <f>IF(Tabela2[[#This Row],[Coluna9]]&gt;0,"Entrada","Saída")</f>
        <v>Saída</v>
      </c>
      <c r="S1586" s="10" t="str">
        <f>Tabela2[[#This Row],[Coluna8]]</f>
        <v>(2 DE R$50,00)</v>
      </c>
      <c r="T1586" s="10" t="e">
        <f>Tabela2[[#This Row],[Coluna72]]</f>
        <v>#REF!</v>
      </c>
      <c r="U1586" s="10">
        <f>SUM(Tabela2[[#This Row],[Coluna9]],Tabela2[[#This Row],[Coluna10]])</f>
        <v>100</v>
      </c>
      <c r="V1586" s="2" t="str">
        <f>Tabela2[[#This Row],[Coluna4]]</f>
        <v>19/12/2025</v>
      </c>
      <c r="W1586" s="2" t="str">
        <f>Tabela2[[#This Row],[Coluna6]]</f>
        <v>19/12/2025</v>
      </c>
    </row>
    <row r="1587" spans="2:23" x14ac:dyDescent="0.2">
      <c r="B1587" t="s">
        <v>12</v>
      </c>
      <c r="C1587" t="s">
        <v>95</v>
      </c>
      <c r="D1587" t="s">
        <v>13</v>
      </c>
      <c r="E1587" s="8" t="s">
        <v>416</v>
      </c>
      <c r="F1587" t="s">
        <v>84</v>
      </c>
      <c r="G1587" s="8" t="s">
        <v>416</v>
      </c>
      <c r="H1587" t="s">
        <v>546</v>
      </c>
      <c r="I1587" t="e">
        <f>VLOOKUP(Tabela2[[#This Row],[Coluna7]],[1]!Tabela1[#All],2,0)</f>
        <v>#REF!</v>
      </c>
      <c r="L1587">
        <v>100</v>
      </c>
      <c r="N1587" t="s">
        <v>584</v>
      </c>
      <c r="Q1587" s="10" t="str">
        <f>Tabela2[[#This Row],[Coluna5]]</f>
        <v>01/2026</v>
      </c>
      <c r="R1587" s="10" t="str">
        <f>IF(Tabela2[[#This Row],[Coluna9]]&gt;0,"Entrada","Saída")</f>
        <v>Saída</v>
      </c>
      <c r="S1587" s="10">
        <f>Tabela2[[#This Row],[Coluna8]]</f>
        <v>0</v>
      </c>
      <c r="T1587" s="10" t="e">
        <f>Tabela2[[#This Row],[Coluna72]]</f>
        <v>#REF!</v>
      </c>
      <c r="U1587" s="10">
        <f>SUM(Tabela2[[#This Row],[Coluna9]],Tabela2[[#This Row],[Coluna10]])</f>
        <v>100</v>
      </c>
      <c r="V1587" s="2" t="str">
        <f>Tabela2[[#This Row],[Coluna4]]</f>
        <v>19/12/2025</v>
      </c>
      <c r="W1587" s="2" t="str">
        <f>Tabela2[[#This Row],[Coluna6]]</f>
        <v>19/12/2025</v>
      </c>
    </row>
    <row r="1588" spans="2:23" x14ac:dyDescent="0.2">
      <c r="B1588" t="s">
        <v>12</v>
      </c>
      <c r="C1588" t="s">
        <v>95</v>
      </c>
      <c r="D1588" t="s">
        <v>13</v>
      </c>
      <c r="E1588" s="8" t="s">
        <v>79</v>
      </c>
      <c r="F1588" t="s">
        <v>84</v>
      </c>
      <c r="G1588" s="8" t="s">
        <v>79</v>
      </c>
      <c r="H1588" t="s">
        <v>546</v>
      </c>
      <c r="I1588" t="e">
        <f>VLOOKUP(Tabela2[[#This Row],[Coluna7]],[1]!Tabela1[#All],2,0)</f>
        <v>#REF!</v>
      </c>
      <c r="L1588">
        <v>500</v>
      </c>
      <c r="N1588" t="s">
        <v>584</v>
      </c>
      <c r="Q1588" s="10" t="str">
        <f>Tabela2[[#This Row],[Coluna5]]</f>
        <v>01/2026</v>
      </c>
      <c r="R1588" s="10" t="str">
        <f>IF(Tabela2[[#This Row],[Coluna9]]&gt;0,"Entrada","Saída")</f>
        <v>Saída</v>
      </c>
      <c r="S1588" s="10">
        <f>Tabela2[[#This Row],[Coluna8]]</f>
        <v>0</v>
      </c>
      <c r="T1588" s="10" t="e">
        <f>Tabela2[[#This Row],[Coluna72]]</f>
        <v>#REF!</v>
      </c>
      <c r="U1588" s="10">
        <f>SUM(Tabela2[[#This Row],[Coluna9]],Tabela2[[#This Row],[Coluna10]])</f>
        <v>500</v>
      </c>
      <c r="V1588" s="2" t="str">
        <f>Tabela2[[#This Row],[Coluna4]]</f>
        <v>20/12/2025</v>
      </c>
      <c r="W1588" s="2" t="str">
        <f>Tabela2[[#This Row],[Coluna6]]</f>
        <v>20/12/2025</v>
      </c>
    </row>
    <row r="1589" spans="2:23" x14ac:dyDescent="0.2">
      <c r="B1589" t="s">
        <v>12</v>
      </c>
      <c r="C1589" t="s">
        <v>95</v>
      </c>
      <c r="D1589" t="s">
        <v>13</v>
      </c>
      <c r="E1589" s="8" t="s">
        <v>79</v>
      </c>
      <c r="F1589" t="s">
        <v>84</v>
      </c>
      <c r="G1589" s="8" t="s">
        <v>79</v>
      </c>
      <c r="H1589" t="s">
        <v>546</v>
      </c>
      <c r="I1589" t="e">
        <f>VLOOKUP(Tabela2[[#This Row],[Coluna7]],[1]!Tabela1[#All],2,0)</f>
        <v>#REF!</v>
      </c>
      <c r="L1589">
        <v>750</v>
      </c>
      <c r="N1589" t="s">
        <v>547</v>
      </c>
      <c r="Q1589" s="10" t="str">
        <f>Tabela2[[#This Row],[Coluna5]]</f>
        <v>01/2026</v>
      </c>
      <c r="R1589" s="10" t="str">
        <f>IF(Tabela2[[#This Row],[Coluna9]]&gt;0,"Entrada","Saída")</f>
        <v>Saída</v>
      </c>
      <c r="S1589" s="10">
        <f>Tabela2[[#This Row],[Coluna8]]</f>
        <v>0</v>
      </c>
      <c r="T1589" s="10" t="e">
        <f>Tabela2[[#This Row],[Coluna72]]</f>
        <v>#REF!</v>
      </c>
      <c r="U1589" s="10">
        <f>SUM(Tabela2[[#This Row],[Coluna9]],Tabela2[[#This Row],[Coluna10]])</f>
        <v>750</v>
      </c>
      <c r="V1589" s="2" t="str">
        <f>Tabela2[[#This Row],[Coluna4]]</f>
        <v>20/12/2025</v>
      </c>
      <c r="W1589" s="2" t="str">
        <f>Tabela2[[#This Row],[Coluna6]]</f>
        <v>20/12/2025</v>
      </c>
    </row>
    <row r="1590" spans="2:23" x14ac:dyDescent="0.2">
      <c r="B1590" t="s">
        <v>12</v>
      </c>
      <c r="C1590" t="s">
        <v>95</v>
      </c>
      <c r="D1590" t="s">
        <v>13</v>
      </c>
      <c r="E1590" s="8" t="s">
        <v>79</v>
      </c>
      <c r="F1590" t="s">
        <v>84</v>
      </c>
      <c r="G1590" s="8" t="s">
        <v>79</v>
      </c>
      <c r="H1590" t="s">
        <v>443</v>
      </c>
      <c r="I1590" t="e">
        <f>VLOOKUP(Tabela2[[#This Row],[Coluna7]],[1]!Tabela1[#All],2,0)</f>
        <v>#REF!</v>
      </c>
      <c r="L1590">
        <v>36.47</v>
      </c>
      <c r="Q1590" s="10" t="str">
        <f>Tabela2[[#This Row],[Coluna5]]</f>
        <v>01/2026</v>
      </c>
      <c r="R1590" s="10" t="str">
        <f>IF(Tabela2[[#This Row],[Coluna9]]&gt;0,"Entrada","Saída")</f>
        <v>Saída</v>
      </c>
      <c r="S1590" s="10">
        <f>Tabela2[[#This Row],[Coluna8]]</f>
        <v>0</v>
      </c>
      <c r="T1590" s="10" t="e">
        <f>Tabela2[[#This Row],[Coluna72]]</f>
        <v>#REF!</v>
      </c>
      <c r="U1590" s="10">
        <f>SUM(Tabela2[[#This Row],[Coluna9]],Tabela2[[#This Row],[Coluna10]])</f>
        <v>36.47</v>
      </c>
      <c r="V1590" s="2" t="str">
        <f>Tabela2[[#This Row],[Coluna4]]</f>
        <v>20/12/2025</v>
      </c>
      <c r="W1590" s="2" t="str">
        <f>Tabela2[[#This Row],[Coluna6]]</f>
        <v>20/12/2025</v>
      </c>
    </row>
    <row r="1591" spans="2:23" hidden="1" x14ac:dyDescent="0.2">
      <c r="B1591" t="s">
        <v>18</v>
      </c>
      <c r="C1591" t="s">
        <v>95</v>
      </c>
      <c r="D1591" t="s">
        <v>13</v>
      </c>
      <c r="E1591" s="8" t="s">
        <v>325</v>
      </c>
      <c r="F1591" t="s">
        <v>64</v>
      </c>
      <c r="G1591" s="8" t="s">
        <v>325</v>
      </c>
      <c r="H1591" t="s">
        <v>625</v>
      </c>
      <c r="I1591" t="e">
        <f>VLOOKUP(Tabela2[[#This Row],[Coluna7]],[1]!Tabela1[#All],2,0)</f>
        <v>#REF!</v>
      </c>
      <c r="J1591" t="s">
        <v>627</v>
      </c>
      <c r="L1591">
        <v>200</v>
      </c>
      <c r="Q1591" s="10" t="str">
        <f>Tabela2[[#This Row],[Coluna5]]</f>
        <v>12/2025</v>
      </c>
      <c r="R1591" s="10" t="str">
        <f>IF(Tabela2[[#This Row],[Coluna9]]&gt;0,"Entrada","Saída")</f>
        <v>Saída</v>
      </c>
      <c r="S1591" s="10" t="str">
        <f>Tabela2[[#This Row],[Coluna8]]</f>
        <v>CARTÃO EFÍ</v>
      </c>
      <c r="T1591" s="10" t="e">
        <f>Tabela2[[#This Row],[Coluna72]]</f>
        <v>#REF!</v>
      </c>
      <c r="U1591" s="10">
        <f>SUM(Tabela2[[#This Row],[Coluna9]],Tabela2[[#This Row],[Coluna10]])</f>
        <v>200</v>
      </c>
      <c r="V1591" s="2" t="str">
        <f>Tabela2[[#This Row],[Coluna4]]</f>
        <v>22/12/2025</v>
      </c>
      <c r="W1591" s="2" t="str">
        <f>Tabela2[[#This Row],[Coluna6]]</f>
        <v>22/12/2025</v>
      </c>
    </row>
    <row r="1592" spans="2:23" x14ac:dyDescent="0.2">
      <c r="B1592" t="s">
        <v>12</v>
      </c>
      <c r="C1592" t="s">
        <v>95</v>
      </c>
      <c r="D1592" t="s">
        <v>13</v>
      </c>
      <c r="E1592" s="8" t="s">
        <v>325</v>
      </c>
      <c r="F1592" t="s">
        <v>64</v>
      </c>
      <c r="G1592" s="8" t="s">
        <v>325</v>
      </c>
      <c r="H1592" t="s">
        <v>546</v>
      </c>
      <c r="I1592" t="e">
        <f>VLOOKUP(Tabela2[[#This Row],[Coluna7]],[1]!Tabela1[#All],2,0)</f>
        <v>#REF!</v>
      </c>
      <c r="L1592">
        <v>182</v>
      </c>
      <c r="N1592" t="s">
        <v>547</v>
      </c>
      <c r="Q1592" s="10" t="str">
        <f>Tabela2[[#This Row],[Coluna5]]</f>
        <v>12/2025</v>
      </c>
      <c r="R1592" s="10" t="str">
        <f>IF(Tabela2[[#This Row],[Coluna9]]&gt;0,"Entrada","Saída")</f>
        <v>Saída</v>
      </c>
      <c r="S1592" s="10">
        <f>Tabela2[[#This Row],[Coluna8]]</f>
        <v>0</v>
      </c>
      <c r="T1592" s="10" t="e">
        <f>Tabela2[[#This Row],[Coluna72]]</f>
        <v>#REF!</v>
      </c>
      <c r="U1592" s="10">
        <f>SUM(Tabela2[[#This Row],[Coluna9]],Tabela2[[#This Row],[Coluna10]])</f>
        <v>182</v>
      </c>
      <c r="V1592" s="2" t="str">
        <f>Tabela2[[#This Row],[Coluna4]]</f>
        <v>22/12/2025</v>
      </c>
      <c r="W1592" s="2" t="str">
        <f>Tabela2[[#This Row],[Coluna6]]</f>
        <v>22/12/2025</v>
      </c>
    </row>
    <row r="1593" spans="2:23" x14ac:dyDescent="0.2">
      <c r="B1593" t="s">
        <v>12</v>
      </c>
      <c r="C1593" t="s">
        <v>95</v>
      </c>
      <c r="D1593" t="s">
        <v>13</v>
      </c>
      <c r="E1593" s="8" t="s">
        <v>325</v>
      </c>
      <c r="F1593" t="s">
        <v>64</v>
      </c>
      <c r="G1593" s="8" t="s">
        <v>325</v>
      </c>
      <c r="H1593" t="s">
        <v>546</v>
      </c>
      <c r="I1593" t="e">
        <f>VLOOKUP(Tabela2[[#This Row],[Coluna7]],[1]!Tabela1[#All],2,0)</f>
        <v>#REF!</v>
      </c>
      <c r="L1593">
        <v>100</v>
      </c>
      <c r="N1593" t="s">
        <v>547</v>
      </c>
      <c r="Q1593" s="10" t="str">
        <f>Tabela2[[#This Row],[Coluna5]]</f>
        <v>12/2025</v>
      </c>
      <c r="R1593" s="10" t="str">
        <f>IF(Tabela2[[#This Row],[Coluna9]]&gt;0,"Entrada","Saída")</f>
        <v>Saída</v>
      </c>
      <c r="S1593" s="10">
        <f>Tabela2[[#This Row],[Coluna8]]</f>
        <v>0</v>
      </c>
      <c r="T1593" s="10" t="e">
        <f>Tabela2[[#This Row],[Coluna72]]</f>
        <v>#REF!</v>
      </c>
      <c r="U1593" s="10">
        <f>SUM(Tabela2[[#This Row],[Coluna9]],Tabela2[[#This Row],[Coluna10]])</f>
        <v>100</v>
      </c>
      <c r="V1593" s="2" t="str">
        <f>Tabela2[[#This Row],[Coluna4]]</f>
        <v>22/12/2025</v>
      </c>
      <c r="W1593" s="2" t="str">
        <f>Tabela2[[#This Row],[Coluna6]]</f>
        <v>22/12/2025</v>
      </c>
    </row>
    <row r="1594" spans="2:23" x14ac:dyDescent="0.2">
      <c r="B1594" t="s">
        <v>12</v>
      </c>
      <c r="C1594" t="s">
        <v>95</v>
      </c>
      <c r="D1594" t="s">
        <v>13</v>
      </c>
      <c r="E1594" s="8" t="s">
        <v>325</v>
      </c>
      <c r="F1594" t="s">
        <v>64</v>
      </c>
      <c r="G1594" s="8" t="s">
        <v>325</v>
      </c>
      <c r="H1594" t="s">
        <v>546</v>
      </c>
      <c r="I1594" t="e">
        <f>VLOOKUP(Tabela2[[#This Row],[Coluna7]],[1]!Tabela1[#All],2,0)</f>
        <v>#REF!</v>
      </c>
      <c r="L1594">
        <v>80</v>
      </c>
      <c r="N1594" t="s">
        <v>584</v>
      </c>
      <c r="Q1594" s="10" t="str">
        <f>Tabela2[[#This Row],[Coluna5]]</f>
        <v>12/2025</v>
      </c>
      <c r="R1594" s="10" t="str">
        <f>IF(Tabela2[[#This Row],[Coluna9]]&gt;0,"Entrada","Saída")</f>
        <v>Saída</v>
      </c>
      <c r="S1594" s="10">
        <f>Tabela2[[#This Row],[Coluna8]]</f>
        <v>0</v>
      </c>
      <c r="T1594" s="10" t="e">
        <f>Tabela2[[#This Row],[Coluna72]]</f>
        <v>#REF!</v>
      </c>
      <c r="U1594" s="10">
        <f>SUM(Tabela2[[#This Row],[Coluna9]],Tabela2[[#This Row],[Coluna10]])</f>
        <v>80</v>
      </c>
      <c r="V1594" s="2" t="str">
        <f>Tabela2[[#This Row],[Coluna4]]</f>
        <v>22/12/2025</v>
      </c>
      <c r="W1594" s="2" t="str">
        <f>Tabela2[[#This Row],[Coluna6]]</f>
        <v>22/12/2025</v>
      </c>
    </row>
    <row r="1595" spans="2:23" x14ac:dyDescent="0.2">
      <c r="B1595" t="s">
        <v>12</v>
      </c>
      <c r="C1595" t="s">
        <v>95</v>
      </c>
      <c r="D1595" t="s">
        <v>13</v>
      </c>
      <c r="E1595" s="8" t="s">
        <v>512</v>
      </c>
      <c r="F1595" t="s">
        <v>64</v>
      </c>
      <c r="G1595" s="8" t="s">
        <v>512</v>
      </c>
      <c r="H1595" t="s">
        <v>546</v>
      </c>
      <c r="I1595" t="e">
        <f>VLOOKUP(Tabela2[[#This Row],[Coluna7]],[1]!Tabela1[#All],2,0)</f>
        <v>#REF!</v>
      </c>
      <c r="L1595">
        <v>650</v>
      </c>
      <c r="N1595" t="s">
        <v>547</v>
      </c>
      <c r="Q1595" s="10" t="str">
        <f>Tabela2[[#This Row],[Coluna5]]</f>
        <v>12/2025</v>
      </c>
      <c r="R1595" s="10" t="str">
        <f>IF(Tabela2[[#This Row],[Coluna9]]&gt;0,"Entrada","Saída")</f>
        <v>Saída</v>
      </c>
      <c r="S1595" s="10">
        <f>Tabela2[[#This Row],[Coluna8]]</f>
        <v>0</v>
      </c>
      <c r="T1595" s="10" t="e">
        <f>Tabela2[[#This Row],[Coluna72]]</f>
        <v>#REF!</v>
      </c>
      <c r="U1595" s="10">
        <f>SUM(Tabela2[[#This Row],[Coluna9]],Tabela2[[#This Row],[Coluna10]])</f>
        <v>650</v>
      </c>
      <c r="V1595" s="2" t="str">
        <f>Tabela2[[#This Row],[Coluna4]]</f>
        <v>24/12/2025</v>
      </c>
      <c r="W1595" s="2" t="str">
        <f>Tabela2[[#This Row],[Coluna6]]</f>
        <v>24/12/2025</v>
      </c>
    </row>
    <row r="1596" spans="2:23" x14ac:dyDescent="0.2">
      <c r="B1596" t="s">
        <v>12</v>
      </c>
      <c r="C1596" t="s">
        <v>95</v>
      </c>
      <c r="D1596" t="s">
        <v>13</v>
      </c>
      <c r="E1596" s="8" t="s">
        <v>512</v>
      </c>
      <c r="F1596" t="s">
        <v>64</v>
      </c>
      <c r="G1596" s="8" t="s">
        <v>512</v>
      </c>
      <c r="H1596" t="s">
        <v>546</v>
      </c>
      <c r="I1596" t="e">
        <f>VLOOKUP(Tabela2[[#This Row],[Coluna7]],[1]!Tabela1[#All],2,0)</f>
        <v>#REF!</v>
      </c>
      <c r="J1596" t="s">
        <v>649</v>
      </c>
      <c r="L1596">
        <v>300</v>
      </c>
      <c r="N1596" t="s">
        <v>381</v>
      </c>
      <c r="Q1596" s="10" t="str">
        <f>Tabela2[[#This Row],[Coluna5]]</f>
        <v>12/2025</v>
      </c>
      <c r="R1596" s="10" t="str">
        <f>IF(Tabela2[[#This Row],[Coluna9]]&gt;0,"Entrada","Saída")</f>
        <v>Saída</v>
      </c>
      <c r="S1596" s="10" t="str">
        <f>Tabela2[[#This Row],[Coluna8]]</f>
        <v>HORA EXTRA</v>
      </c>
      <c r="T1596" s="10" t="e">
        <f>Tabela2[[#This Row],[Coluna72]]</f>
        <v>#REF!</v>
      </c>
      <c r="U1596" s="10">
        <f>SUM(Tabela2[[#This Row],[Coluna9]],Tabela2[[#This Row],[Coluna10]])</f>
        <v>300</v>
      </c>
      <c r="V1596" s="2" t="str">
        <f>Tabela2[[#This Row],[Coluna4]]</f>
        <v>24/12/2025</v>
      </c>
      <c r="W1596" s="2" t="str">
        <f>Tabela2[[#This Row],[Coluna6]]</f>
        <v>24/12/2025</v>
      </c>
    </row>
    <row r="1597" spans="2:23" x14ac:dyDescent="0.2">
      <c r="B1597" t="s">
        <v>12</v>
      </c>
      <c r="C1597" t="s">
        <v>95</v>
      </c>
      <c r="D1597" t="s">
        <v>13</v>
      </c>
      <c r="E1597" s="8" t="s">
        <v>512</v>
      </c>
      <c r="F1597" t="s">
        <v>64</v>
      </c>
      <c r="G1597" s="8" t="s">
        <v>512</v>
      </c>
      <c r="H1597" t="s">
        <v>546</v>
      </c>
      <c r="I1597" t="e">
        <f>VLOOKUP(Tabela2[[#This Row],[Coluna7]],[1]!Tabela1[#All],2,0)</f>
        <v>#REF!</v>
      </c>
      <c r="L1597">
        <v>800</v>
      </c>
      <c r="N1597" t="s">
        <v>584</v>
      </c>
      <c r="Q1597" s="10" t="str">
        <f>Tabela2[[#This Row],[Coluna5]]</f>
        <v>12/2025</v>
      </c>
      <c r="R1597" s="10" t="str">
        <f>IF(Tabela2[[#This Row],[Coluna9]]&gt;0,"Entrada","Saída")</f>
        <v>Saída</v>
      </c>
      <c r="S1597" s="10">
        <f>Tabela2[[#This Row],[Coluna8]]</f>
        <v>0</v>
      </c>
      <c r="T1597" s="10" t="e">
        <f>Tabela2[[#This Row],[Coluna72]]</f>
        <v>#REF!</v>
      </c>
      <c r="U1597" s="10">
        <f>SUM(Tabela2[[#This Row],[Coluna9]],Tabela2[[#This Row],[Coluna10]])</f>
        <v>800</v>
      </c>
      <c r="V1597" s="2" t="str">
        <f>Tabela2[[#This Row],[Coluna4]]</f>
        <v>24/12/2025</v>
      </c>
      <c r="W1597" s="2" t="str">
        <f>Tabela2[[#This Row],[Coluna6]]</f>
        <v>24/12/2025</v>
      </c>
    </row>
    <row r="1598" spans="2:23" x14ac:dyDescent="0.2">
      <c r="B1598" t="s">
        <v>12</v>
      </c>
      <c r="C1598" t="s">
        <v>95</v>
      </c>
      <c r="D1598" t="s">
        <v>13</v>
      </c>
      <c r="E1598" s="8" t="s">
        <v>75</v>
      </c>
      <c r="F1598" t="s">
        <v>64</v>
      </c>
      <c r="G1598" s="8" t="s">
        <v>75</v>
      </c>
      <c r="H1598" t="s">
        <v>546</v>
      </c>
      <c r="I1598" t="e">
        <f>VLOOKUP(Tabela2[[#This Row],[Coluna7]],[1]!Tabela1[#All],2,0)</f>
        <v>#REF!</v>
      </c>
      <c r="L1598">
        <v>150</v>
      </c>
      <c r="N1598" t="s">
        <v>547</v>
      </c>
      <c r="Q1598" s="10" t="str">
        <f>Tabela2[[#This Row],[Coluna5]]</f>
        <v>12/2025</v>
      </c>
      <c r="R1598" s="10" t="str">
        <f>IF(Tabela2[[#This Row],[Coluna9]]&gt;0,"Entrada","Saída")</f>
        <v>Saída</v>
      </c>
      <c r="S1598" s="10">
        <f>Tabela2[[#This Row],[Coluna8]]</f>
        <v>0</v>
      </c>
      <c r="T1598" s="10" t="e">
        <f>Tabela2[[#This Row],[Coluna72]]</f>
        <v>#REF!</v>
      </c>
      <c r="U1598" s="10">
        <f>SUM(Tabela2[[#This Row],[Coluna9]],Tabela2[[#This Row],[Coluna10]])</f>
        <v>150</v>
      </c>
      <c r="V1598" s="2" t="str">
        <f>Tabela2[[#This Row],[Coluna4]]</f>
        <v>27/12/2025</v>
      </c>
      <c r="W1598" s="2" t="str">
        <f>Tabela2[[#This Row],[Coluna6]]</f>
        <v>27/12/2025</v>
      </c>
    </row>
    <row r="1599" spans="2:23" x14ac:dyDescent="0.2">
      <c r="B1599" t="s">
        <v>12</v>
      </c>
      <c r="C1599" t="s">
        <v>95</v>
      </c>
      <c r="D1599" t="s">
        <v>13</v>
      </c>
      <c r="E1599" s="8" t="s">
        <v>650</v>
      </c>
      <c r="F1599" t="s">
        <v>64</v>
      </c>
      <c r="G1599" s="8" t="s">
        <v>650</v>
      </c>
      <c r="H1599" t="s">
        <v>651</v>
      </c>
      <c r="I1599" t="e">
        <f>VLOOKUP(Tabela2[[#This Row],[Coluna7]],[1]!Tabela1[#All],2,0)</f>
        <v>#REF!</v>
      </c>
      <c r="J1599" t="s">
        <v>652</v>
      </c>
      <c r="L1599">
        <v>74.099999999999994</v>
      </c>
      <c r="Q1599" s="10" t="str">
        <f>Tabela2[[#This Row],[Coluna5]]</f>
        <v>12/2025</v>
      </c>
      <c r="R1599" s="10" t="str">
        <f>IF(Tabela2[[#This Row],[Coluna9]]&gt;0,"Entrada","Saída")</f>
        <v>Saída</v>
      </c>
      <c r="S1599" s="10" t="str">
        <f>Tabela2[[#This Row],[Coluna8]]</f>
        <v>GASOLINA - STRADA</v>
      </c>
      <c r="T1599" s="10" t="e">
        <f>Tabela2[[#This Row],[Coluna72]]</f>
        <v>#REF!</v>
      </c>
      <c r="U1599" s="10">
        <f>SUM(Tabela2[[#This Row],[Coluna9]],Tabela2[[#This Row],[Coluna10]])</f>
        <v>74.099999999999994</v>
      </c>
      <c r="V1599" s="2" t="str">
        <f>Tabela2[[#This Row],[Coluna4]]</f>
        <v>28/12/2025</v>
      </c>
      <c r="W1599" s="2" t="str">
        <f>Tabela2[[#This Row],[Coluna6]]</f>
        <v>28/12/2025</v>
      </c>
    </row>
    <row r="1600" spans="2:23" x14ac:dyDescent="0.2">
      <c r="B1600" t="s">
        <v>12</v>
      </c>
      <c r="C1600" t="s">
        <v>95</v>
      </c>
      <c r="D1600" t="s">
        <v>13</v>
      </c>
      <c r="E1600" s="8" t="s">
        <v>650</v>
      </c>
      <c r="F1600" t="s">
        <v>64</v>
      </c>
      <c r="G1600" s="8" t="s">
        <v>650</v>
      </c>
      <c r="H1600" t="s">
        <v>546</v>
      </c>
      <c r="I1600" t="e">
        <f>VLOOKUP(Tabela2[[#This Row],[Coluna7]],[1]!Tabela1[#All],2,0)</f>
        <v>#REF!</v>
      </c>
      <c r="L1600">
        <v>100</v>
      </c>
      <c r="N1600" t="s">
        <v>584</v>
      </c>
      <c r="Q1600" s="10" t="str">
        <f>Tabela2[[#This Row],[Coluna5]]</f>
        <v>12/2025</v>
      </c>
      <c r="R1600" s="10" t="str">
        <f>IF(Tabela2[[#This Row],[Coluna9]]&gt;0,"Entrada","Saída")</f>
        <v>Saída</v>
      </c>
      <c r="S1600" s="10">
        <f>Tabela2[[#This Row],[Coluna8]]</f>
        <v>0</v>
      </c>
      <c r="T1600" s="10" t="e">
        <f>Tabela2[[#This Row],[Coluna72]]</f>
        <v>#REF!</v>
      </c>
      <c r="U1600" s="10">
        <f>SUM(Tabela2[[#This Row],[Coluna9]],Tabela2[[#This Row],[Coluna10]])</f>
        <v>100</v>
      </c>
      <c r="V1600" s="2" t="str">
        <f>Tabela2[[#This Row],[Coluna4]]</f>
        <v>28/12/2025</v>
      </c>
      <c r="W1600" s="2" t="str">
        <f>Tabela2[[#This Row],[Coluna6]]</f>
        <v>28/12/2025</v>
      </c>
    </row>
    <row r="1601" spans="2:23" x14ac:dyDescent="0.2">
      <c r="B1601" t="s">
        <v>12</v>
      </c>
      <c r="C1601" t="s">
        <v>95</v>
      </c>
      <c r="D1601" t="s">
        <v>13</v>
      </c>
      <c r="E1601" s="8" t="s">
        <v>331</v>
      </c>
      <c r="F1601" t="s">
        <v>64</v>
      </c>
      <c r="G1601" s="8" t="s">
        <v>331</v>
      </c>
      <c r="H1601" t="s">
        <v>535</v>
      </c>
      <c r="I1601" t="e">
        <f>VLOOKUP(Tabela2[[#This Row],[Coluna7]],[1]!Tabela1[#All],2,0)</f>
        <v>#REF!</v>
      </c>
      <c r="J1601" t="s">
        <v>653</v>
      </c>
      <c r="L1601">
        <v>32</v>
      </c>
      <c r="Q1601" s="10" t="str">
        <f>Tabela2[[#This Row],[Coluna5]]</f>
        <v>12/2025</v>
      </c>
      <c r="R1601" s="10" t="str">
        <f>IF(Tabela2[[#This Row],[Coluna9]]&gt;0,"Entrada","Saída")</f>
        <v>Saída</v>
      </c>
      <c r="S1601" s="10" t="str">
        <f>Tabela2[[#This Row],[Coluna8]]</f>
        <v>ANIVERSÁRIO JOÃO VICTOR</v>
      </c>
      <c r="T1601" s="10" t="e">
        <f>Tabela2[[#This Row],[Coluna72]]</f>
        <v>#REF!</v>
      </c>
      <c r="U1601" s="10">
        <f>SUM(Tabela2[[#This Row],[Coluna9]],Tabela2[[#This Row],[Coluna10]])</f>
        <v>32</v>
      </c>
      <c r="V1601" s="2" t="str">
        <f>Tabela2[[#This Row],[Coluna4]]</f>
        <v>29/12/2025</v>
      </c>
      <c r="W1601" s="2" t="str">
        <f>Tabela2[[#This Row],[Coluna6]]</f>
        <v>29/12/2025</v>
      </c>
    </row>
    <row r="1602" spans="2:23" x14ac:dyDescent="0.2">
      <c r="B1602" t="s">
        <v>12</v>
      </c>
      <c r="C1602" t="s">
        <v>95</v>
      </c>
      <c r="D1602" t="s">
        <v>13</v>
      </c>
      <c r="E1602" s="8" t="s">
        <v>331</v>
      </c>
      <c r="F1602" t="s">
        <v>84</v>
      </c>
      <c r="G1602" s="8" t="s">
        <v>331</v>
      </c>
      <c r="H1602" t="s">
        <v>535</v>
      </c>
      <c r="I1602" t="e">
        <f>VLOOKUP(Tabela2[[#This Row],[Coluna7]],[1]!Tabela1[#All],2,0)</f>
        <v>#REF!</v>
      </c>
      <c r="J1602" t="s">
        <v>654</v>
      </c>
      <c r="L1602">
        <v>32.28</v>
      </c>
      <c r="Q1602" s="10" t="str">
        <f>Tabela2[[#This Row],[Coluna5]]</f>
        <v>01/2026</v>
      </c>
      <c r="R1602" s="10" t="str">
        <f>IF(Tabela2[[#This Row],[Coluna9]]&gt;0,"Entrada","Saída")</f>
        <v>Saída</v>
      </c>
      <c r="S1602" s="10" t="str">
        <f>Tabela2[[#This Row],[Coluna8]]</f>
        <v>ANIVERSÁRIO DE JOÃO VICTOR</v>
      </c>
      <c r="T1602" s="10" t="e">
        <f>Tabela2[[#This Row],[Coluna72]]</f>
        <v>#REF!</v>
      </c>
      <c r="U1602" s="10">
        <f>SUM(Tabela2[[#This Row],[Coluna9]],Tabela2[[#This Row],[Coluna10]])</f>
        <v>32.28</v>
      </c>
      <c r="V1602" s="2" t="str">
        <f>Tabela2[[#This Row],[Coluna4]]</f>
        <v>29/12/2025</v>
      </c>
      <c r="W1602" s="2" t="str">
        <f>Tabela2[[#This Row],[Coluna6]]</f>
        <v>29/12/2025</v>
      </c>
    </row>
    <row r="1603" spans="2:23" x14ac:dyDescent="0.2">
      <c r="B1603" t="s">
        <v>12</v>
      </c>
      <c r="C1603" t="s">
        <v>95</v>
      </c>
      <c r="D1603" t="s">
        <v>13</v>
      </c>
      <c r="E1603" s="8" t="s">
        <v>331</v>
      </c>
      <c r="F1603" t="s">
        <v>84</v>
      </c>
      <c r="G1603" s="8" t="s">
        <v>331</v>
      </c>
      <c r="H1603" t="s">
        <v>538</v>
      </c>
      <c r="I1603" t="e">
        <f>VLOOKUP(Tabela2[[#This Row],[Coluna7]],[1]!Tabela1[#All],2,0)</f>
        <v>#REF!</v>
      </c>
      <c r="J1603" t="s">
        <v>655</v>
      </c>
      <c r="L1603">
        <v>94</v>
      </c>
      <c r="Q1603" s="10" t="str">
        <f>Tabela2[[#This Row],[Coluna5]]</f>
        <v>01/2026</v>
      </c>
      <c r="R1603" s="10" t="str">
        <f>IF(Tabela2[[#This Row],[Coluna9]]&gt;0,"Entrada","Saída")</f>
        <v>Saída</v>
      </c>
      <c r="S1603" s="10" t="str">
        <f>Tabela2[[#This Row],[Coluna8]]</f>
        <v>LIMPEZA DO TAPETE (PIX CARINA)</v>
      </c>
      <c r="T1603" s="10" t="e">
        <f>Tabela2[[#This Row],[Coluna72]]</f>
        <v>#REF!</v>
      </c>
      <c r="U1603" s="10">
        <f>SUM(Tabela2[[#This Row],[Coluna9]],Tabela2[[#This Row],[Coluna10]])</f>
        <v>94</v>
      </c>
      <c r="V1603" s="2" t="str">
        <f>Tabela2[[#This Row],[Coluna4]]</f>
        <v>29/12/2025</v>
      </c>
      <c r="W1603" s="2" t="str">
        <f>Tabela2[[#This Row],[Coluna6]]</f>
        <v>29/12/2025</v>
      </c>
    </row>
    <row r="1604" spans="2:23" x14ac:dyDescent="0.2">
      <c r="B1604" t="s">
        <v>12</v>
      </c>
      <c r="C1604" t="s">
        <v>95</v>
      </c>
      <c r="D1604" t="s">
        <v>13</v>
      </c>
      <c r="E1604" s="8" t="s">
        <v>331</v>
      </c>
      <c r="F1604" t="s">
        <v>84</v>
      </c>
      <c r="G1604" s="8" t="s">
        <v>331</v>
      </c>
      <c r="H1604" t="s">
        <v>580</v>
      </c>
      <c r="I1604" t="e">
        <f>VLOOKUP(Tabela2[[#This Row],[Coluna7]],[1]!Tabela1[#All],2,0)</f>
        <v>#REF!</v>
      </c>
      <c r="J1604" t="s">
        <v>656</v>
      </c>
      <c r="L1604">
        <v>1000</v>
      </c>
      <c r="N1604" t="s">
        <v>583</v>
      </c>
      <c r="Q1604" s="10" t="str">
        <f>Tabela2[[#This Row],[Coluna5]]</f>
        <v>01/2026</v>
      </c>
      <c r="R1604" s="10" t="str">
        <f>IF(Tabela2[[#This Row],[Coluna9]]&gt;0,"Entrada","Saída")</f>
        <v>Saída</v>
      </c>
      <c r="S1604" s="10" t="str">
        <f>Tabela2[[#This Row],[Coluna8]]</f>
        <v>ADIANTAMENTO</v>
      </c>
      <c r="T1604" s="10" t="e">
        <f>Tabela2[[#This Row],[Coluna72]]</f>
        <v>#REF!</v>
      </c>
      <c r="U1604" s="10">
        <f>SUM(Tabela2[[#This Row],[Coluna9]],Tabela2[[#This Row],[Coluna10]])</f>
        <v>1000</v>
      </c>
      <c r="V1604" s="2" t="str">
        <f>Tabela2[[#This Row],[Coluna4]]</f>
        <v>29/12/2025</v>
      </c>
      <c r="W1604" s="2" t="str">
        <f>Tabela2[[#This Row],[Coluna6]]</f>
        <v>29/12/2025</v>
      </c>
    </row>
    <row r="1605" spans="2:23" x14ac:dyDescent="0.2">
      <c r="B1605" t="s">
        <v>18</v>
      </c>
      <c r="C1605" t="s">
        <v>95</v>
      </c>
      <c r="D1605" t="s">
        <v>13</v>
      </c>
      <c r="E1605" s="8" t="s">
        <v>331</v>
      </c>
      <c r="F1605" t="s">
        <v>42</v>
      </c>
      <c r="G1605" s="8" t="s">
        <v>331</v>
      </c>
      <c r="H1605" t="s">
        <v>580</v>
      </c>
      <c r="I1605" t="e">
        <f>VLOOKUP(Tabela2[[#This Row],[Coluna7]],[1]!Tabela1[#All],2,0)</f>
        <v>#REF!</v>
      </c>
      <c r="L1605">
        <v>1482.55</v>
      </c>
      <c r="N1605" t="s">
        <v>657</v>
      </c>
      <c r="Q1605" s="10" t="str">
        <f>Tabela2[[#This Row],[Coluna5]]</f>
        <v>11/2025</v>
      </c>
      <c r="R1605" s="10" t="str">
        <f>IF(Tabela2[[#This Row],[Coluna9]]&gt;0,"Entrada","Saída")</f>
        <v>Saída</v>
      </c>
      <c r="S1605" s="10">
        <f>Tabela2[[#This Row],[Coluna8]]</f>
        <v>0</v>
      </c>
      <c r="T1605" s="10" t="e">
        <f>Tabela2[[#This Row],[Coluna72]]</f>
        <v>#REF!</v>
      </c>
      <c r="U1605" s="10">
        <f>SUM(Tabela2[[#This Row],[Coluna9]],Tabela2[[#This Row],[Coluna10]])</f>
        <v>1482.55</v>
      </c>
      <c r="V1605" s="2" t="str">
        <f>Tabela2[[#This Row],[Coluna4]]</f>
        <v>29/12/2025</v>
      </c>
      <c r="W1605" s="2" t="str">
        <f>Tabela2[[#This Row],[Coluna6]]</f>
        <v>29/12/2025</v>
      </c>
    </row>
    <row r="1606" spans="2:23" x14ac:dyDescent="0.2">
      <c r="B1606" t="s">
        <v>12</v>
      </c>
      <c r="C1606" t="s">
        <v>95</v>
      </c>
      <c r="D1606" t="s">
        <v>13</v>
      </c>
      <c r="E1606" s="8" t="s">
        <v>334</v>
      </c>
      <c r="F1606" t="s">
        <v>84</v>
      </c>
      <c r="G1606" s="8" t="s">
        <v>334</v>
      </c>
      <c r="H1606" t="s">
        <v>561</v>
      </c>
      <c r="I1606" t="e">
        <f>VLOOKUP(Tabela2[[#This Row],[Coluna7]],[1]!Tabela1[#All],2,0)</f>
        <v>#REF!</v>
      </c>
      <c r="J1606" t="s">
        <v>454</v>
      </c>
      <c r="L1606">
        <v>29.77</v>
      </c>
      <c r="Q1606" s="10" t="str">
        <f>Tabela2[[#This Row],[Coluna5]]</f>
        <v>01/2026</v>
      </c>
      <c r="R1606" s="10" t="str">
        <f>IF(Tabela2[[#This Row],[Coluna9]]&gt;0,"Entrada","Saída")</f>
        <v>Saída</v>
      </c>
      <c r="S1606" s="10" t="str">
        <f>Tabela2[[#This Row],[Coluna8]]</f>
        <v>ALMOÇO</v>
      </c>
      <c r="T1606" s="10" t="e">
        <f>Tabela2[[#This Row],[Coluna72]]</f>
        <v>#REF!</v>
      </c>
      <c r="U1606" s="10">
        <f>SUM(Tabela2[[#This Row],[Coluna9]],Tabela2[[#This Row],[Coluna10]])</f>
        <v>29.77</v>
      </c>
      <c r="V1606" s="2" t="str">
        <f>Tabela2[[#This Row],[Coluna4]]</f>
        <v>30/12/2025</v>
      </c>
      <c r="W1606" s="2" t="str">
        <f>Tabela2[[#This Row],[Coluna6]]</f>
        <v>30/12/2025</v>
      </c>
    </row>
    <row r="1607" spans="2:23" x14ac:dyDescent="0.2">
      <c r="B1607" t="s">
        <v>12</v>
      </c>
      <c r="C1607" t="s">
        <v>95</v>
      </c>
      <c r="D1607" t="s">
        <v>13</v>
      </c>
      <c r="E1607" s="8" t="s">
        <v>334</v>
      </c>
      <c r="F1607" t="s">
        <v>84</v>
      </c>
      <c r="G1607" s="8" t="s">
        <v>334</v>
      </c>
      <c r="H1607" t="s">
        <v>546</v>
      </c>
      <c r="I1607" t="e">
        <f>VLOOKUP(Tabela2[[#This Row],[Coluna7]],[1]!Tabela1[#All],2,0)</f>
        <v>#REF!</v>
      </c>
      <c r="L1607">
        <v>192</v>
      </c>
      <c r="N1607" t="s">
        <v>584</v>
      </c>
      <c r="Q1607" s="10" t="str">
        <f>Tabela2[[#This Row],[Coluna5]]</f>
        <v>01/2026</v>
      </c>
      <c r="R1607" s="10" t="str">
        <f>IF(Tabela2[[#This Row],[Coluna9]]&gt;0,"Entrada","Saída")</f>
        <v>Saída</v>
      </c>
      <c r="S1607" s="10">
        <f>Tabela2[[#This Row],[Coluna8]]</f>
        <v>0</v>
      </c>
      <c r="T1607" s="10" t="e">
        <f>Tabela2[[#This Row],[Coluna72]]</f>
        <v>#REF!</v>
      </c>
      <c r="U1607" s="10">
        <f>SUM(Tabela2[[#This Row],[Coluna9]],Tabela2[[#This Row],[Coluna10]])</f>
        <v>192</v>
      </c>
      <c r="V1607" s="2" t="str">
        <f>Tabela2[[#This Row],[Coluna4]]</f>
        <v>30/12/2025</v>
      </c>
      <c r="W1607" s="2" t="str">
        <f>Tabela2[[#This Row],[Coluna6]]</f>
        <v>30/12/2025</v>
      </c>
    </row>
    <row r="1608" spans="2:23" x14ac:dyDescent="0.2">
      <c r="B1608" t="s">
        <v>12</v>
      </c>
      <c r="C1608" t="s">
        <v>95</v>
      </c>
      <c r="D1608" t="s">
        <v>13</v>
      </c>
      <c r="E1608" s="8" t="s">
        <v>421</v>
      </c>
      <c r="F1608" t="s">
        <v>64</v>
      </c>
      <c r="G1608" s="8" t="s">
        <v>87</v>
      </c>
      <c r="H1608" t="s">
        <v>600</v>
      </c>
      <c r="I1608" t="e">
        <f>VLOOKUP(Tabela2[[#This Row],[Coluna7]],[1]!Tabela1[#All],2,0)</f>
        <v>#REF!</v>
      </c>
      <c r="J1608" t="s">
        <v>601</v>
      </c>
      <c r="L1608">
        <v>250</v>
      </c>
      <c r="Q1608" s="10" t="str">
        <f>Tabela2[[#This Row],[Coluna5]]</f>
        <v>12/2025</v>
      </c>
      <c r="R1608" s="10" t="str">
        <f>IF(Tabela2[[#This Row],[Coluna9]]&gt;0,"Entrada","Saída")</f>
        <v>Saída</v>
      </c>
      <c r="S1608" s="10" t="str">
        <f>Tabela2[[#This Row],[Coluna8]]</f>
        <v>FALCÃO</v>
      </c>
      <c r="T1608" s="10" t="e">
        <f>Tabela2[[#This Row],[Coluna72]]</f>
        <v>#REF!</v>
      </c>
      <c r="U1608" s="10">
        <f>SUM(Tabela2[[#This Row],[Coluna9]],Tabela2[[#This Row],[Coluna10]])</f>
        <v>250</v>
      </c>
      <c r="V1608" s="2" t="str">
        <f>Tabela2[[#This Row],[Coluna4]]</f>
        <v>31/12/2025</v>
      </c>
      <c r="W1608" s="2" t="str">
        <f>Tabela2[[#This Row],[Coluna6]]</f>
        <v>07/01/2026</v>
      </c>
    </row>
    <row r="1609" spans="2:23" x14ac:dyDescent="0.2">
      <c r="B1609" t="s">
        <v>18</v>
      </c>
      <c r="C1609" t="s">
        <v>95</v>
      </c>
      <c r="D1609" t="s">
        <v>13</v>
      </c>
      <c r="E1609" s="8" t="s">
        <v>421</v>
      </c>
      <c r="F1609" t="s">
        <v>64</v>
      </c>
      <c r="G1609" s="8" t="s">
        <v>421</v>
      </c>
      <c r="H1609" t="s">
        <v>546</v>
      </c>
      <c r="I1609" t="e">
        <f>VLOOKUP(Tabela2[[#This Row],[Coluna7]],[1]!Tabela1[#All],2,0)</f>
        <v>#REF!</v>
      </c>
      <c r="L1609">
        <v>300</v>
      </c>
      <c r="N1609" t="s">
        <v>547</v>
      </c>
      <c r="Q1609" s="10" t="str">
        <f>Tabela2[[#This Row],[Coluna5]]</f>
        <v>12/2025</v>
      </c>
      <c r="R1609" s="10" t="str">
        <f>IF(Tabela2[[#This Row],[Coluna9]]&gt;0,"Entrada","Saída")</f>
        <v>Saída</v>
      </c>
      <c r="S1609" s="10">
        <f>Tabela2[[#This Row],[Coluna8]]</f>
        <v>0</v>
      </c>
      <c r="T1609" s="10" t="e">
        <f>Tabela2[[#This Row],[Coluna72]]</f>
        <v>#REF!</v>
      </c>
      <c r="U1609" s="10">
        <f>SUM(Tabela2[[#This Row],[Coluna9]],Tabela2[[#This Row],[Coluna10]])</f>
        <v>300</v>
      </c>
      <c r="V1609" s="2" t="str">
        <f>Tabela2[[#This Row],[Coluna4]]</f>
        <v>31/12/2025</v>
      </c>
      <c r="W1609" s="2" t="str">
        <f>Tabela2[[#This Row],[Coluna6]]</f>
        <v>31/12/2025</v>
      </c>
    </row>
    <row r="1610" spans="2:23" x14ac:dyDescent="0.2">
      <c r="B1610" t="s">
        <v>18</v>
      </c>
      <c r="C1610" t="s">
        <v>95</v>
      </c>
      <c r="D1610" t="s">
        <v>13</v>
      </c>
      <c r="E1610" s="8" t="s">
        <v>421</v>
      </c>
      <c r="F1610" t="s">
        <v>64</v>
      </c>
      <c r="G1610" s="8" t="s">
        <v>421</v>
      </c>
      <c r="H1610" t="s">
        <v>546</v>
      </c>
      <c r="I1610" t="e">
        <f>VLOOKUP(Tabela2[[#This Row],[Coluna7]],[1]!Tabela1[#All],2,0)</f>
        <v>#REF!</v>
      </c>
      <c r="L1610">
        <v>1500</v>
      </c>
      <c r="N1610" t="s">
        <v>584</v>
      </c>
      <c r="Q1610" s="10" t="str">
        <f>Tabela2[[#This Row],[Coluna5]]</f>
        <v>12/2025</v>
      </c>
      <c r="R1610" s="10" t="str">
        <f>IF(Tabela2[[#This Row],[Coluna9]]&gt;0,"Entrada","Saída")</f>
        <v>Saída</v>
      </c>
      <c r="S1610" s="10">
        <f>Tabela2[[#This Row],[Coluna8]]</f>
        <v>0</v>
      </c>
      <c r="T1610" s="10" t="e">
        <f>Tabela2[[#This Row],[Coluna72]]</f>
        <v>#REF!</v>
      </c>
      <c r="U1610" s="10">
        <f>SUM(Tabela2[[#This Row],[Coluna9]],Tabela2[[#This Row],[Coluna10]])</f>
        <v>1500</v>
      </c>
      <c r="V1610" s="2" t="str">
        <f>Tabela2[[#This Row],[Coluna4]]</f>
        <v>31/12/2025</v>
      </c>
      <c r="W1610" s="2" t="str">
        <f>Tabela2[[#This Row],[Coluna6]]</f>
        <v>31/12/2025</v>
      </c>
    </row>
    <row r="1611" spans="2:23" x14ac:dyDescent="0.2">
      <c r="B1611" t="s">
        <v>12</v>
      </c>
      <c r="C1611" t="s">
        <v>95</v>
      </c>
      <c r="D1611" t="s">
        <v>13</v>
      </c>
      <c r="E1611" s="8" t="s">
        <v>343</v>
      </c>
      <c r="F1611" t="s">
        <v>84</v>
      </c>
      <c r="G1611" s="8" t="s">
        <v>301</v>
      </c>
      <c r="H1611" t="s">
        <v>538</v>
      </c>
      <c r="I1611" t="e">
        <f>VLOOKUP(Tabela2[[#This Row],[Coluna7]],[1]!Tabela1[#All],2,0)</f>
        <v>#REF!</v>
      </c>
      <c r="J1611" t="s">
        <v>658</v>
      </c>
      <c r="L1611">
        <v>447</v>
      </c>
      <c r="Q1611" s="10" t="str">
        <f>Tabela2[[#This Row],[Coluna5]]</f>
        <v>01/2026</v>
      </c>
      <c r="R1611" s="10" t="str">
        <f>IF(Tabela2[[#This Row],[Coluna9]]&gt;0,"Entrada","Saída")</f>
        <v>Saída</v>
      </c>
      <c r="S1611" s="10" t="str">
        <f>Tabela2[[#This Row],[Coluna8]]</f>
        <v>3/10 GELADEIRA LUZIMAR</v>
      </c>
      <c r="T1611" s="10" t="e">
        <f>Tabela2[[#This Row],[Coluna72]]</f>
        <v>#REF!</v>
      </c>
      <c r="U1611" s="10">
        <f>SUM(Tabela2[[#This Row],[Coluna9]],Tabela2[[#This Row],[Coluna10]])</f>
        <v>447</v>
      </c>
      <c r="V1611" s="2" t="str">
        <f>Tabela2[[#This Row],[Coluna4]]</f>
        <v>03/01/2026</v>
      </c>
      <c r="W1611" s="2" t="str">
        <f>Tabela2[[#This Row],[Coluna6]]</f>
        <v>05/01/2026</v>
      </c>
    </row>
    <row r="1612" spans="2:23" x14ac:dyDescent="0.2">
      <c r="B1612" t="s">
        <v>18</v>
      </c>
      <c r="C1612" t="s">
        <v>95</v>
      </c>
      <c r="D1612" t="s">
        <v>13</v>
      </c>
      <c r="E1612" s="8" t="s">
        <v>343</v>
      </c>
      <c r="F1612" t="s">
        <v>84</v>
      </c>
      <c r="G1612" s="8" t="s">
        <v>343</v>
      </c>
      <c r="H1612" t="s">
        <v>546</v>
      </c>
      <c r="I1612" t="e">
        <f>VLOOKUP(Tabela2[[#This Row],[Coluna7]],[1]!Tabela1[#All],2,0)</f>
        <v>#REF!</v>
      </c>
      <c r="L1612">
        <v>250</v>
      </c>
      <c r="N1612" t="s">
        <v>584</v>
      </c>
      <c r="Q1612" s="10" t="str">
        <f>Tabela2[[#This Row],[Coluna5]]</f>
        <v>01/2026</v>
      </c>
      <c r="R1612" s="10" t="str">
        <f>IF(Tabela2[[#This Row],[Coluna9]]&gt;0,"Entrada","Saída")</f>
        <v>Saída</v>
      </c>
      <c r="S1612" s="10">
        <f>Tabela2[[#This Row],[Coluna8]]</f>
        <v>0</v>
      </c>
      <c r="T1612" s="10" t="e">
        <f>Tabela2[[#This Row],[Coluna72]]</f>
        <v>#REF!</v>
      </c>
      <c r="U1612" s="10">
        <f>SUM(Tabela2[[#This Row],[Coluna9]],Tabela2[[#This Row],[Coluna10]])</f>
        <v>250</v>
      </c>
      <c r="V1612" s="2" t="str">
        <f>Tabela2[[#This Row],[Coluna4]]</f>
        <v>03/01/2026</v>
      </c>
      <c r="W1612" s="2" t="str">
        <f>Tabela2[[#This Row],[Coluna6]]</f>
        <v>03/01/2026</v>
      </c>
    </row>
    <row r="1613" spans="2:23" x14ac:dyDescent="0.2">
      <c r="B1613" t="s">
        <v>12</v>
      </c>
      <c r="C1613" t="s">
        <v>95</v>
      </c>
      <c r="D1613" t="s">
        <v>13</v>
      </c>
      <c r="E1613" s="8" t="s">
        <v>345</v>
      </c>
      <c r="F1613" t="s">
        <v>84</v>
      </c>
      <c r="G1613" s="8" t="s">
        <v>345</v>
      </c>
      <c r="H1613" t="s">
        <v>570</v>
      </c>
      <c r="I1613" t="e">
        <f>VLOOKUP(Tabela2[[#This Row],[Coluna7]],[1]!Tabela1[#All],2,0)</f>
        <v>#REF!</v>
      </c>
      <c r="J1613" t="s">
        <v>616</v>
      </c>
      <c r="L1613">
        <v>15</v>
      </c>
      <c r="Q1613" s="10" t="str">
        <f>Tabela2[[#This Row],[Coluna5]]</f>
        <v>01/2026</v>
      </c>
      <c r="R1613" s="10" t="str">
        <f>IF(Tabela2[[#This Row],[Coluna9]]&gt;0,"Entrada","Saída")</f>
        <v>Saída</v>
      </c>
      <c r="S1613" s="10" t="str">
        <f>Tabela2[[#This Row],[Coluna8]]</f>
        <v>NETO CASA E CONSTRUÇÃO</v>
      </c>
      <c r="T1613" s="10" t="e">
        <f>Tabela2[[#This Row],[Coluna72]]</f>
        <v>#REF!</v>
      </c>
      <c r="U1613" s="10">
        <f>SUM(Tabela2[[#This Row],[Coluna9]],Tabela2[[#This Row],[Coluna10]])</f>
        <v>15</v>
      </c>
      <c r="V1613" s="2" t="str">
        <f>Tabela2[[#This Row],[Coluna4]]</f>
        <v>04/01/2026</v>
      </c>
      <c r="W1613" s="2" t="str">
        <f>Tabela2[[#This Row],[Coluna6]]</f>
        <v>04/01/2026</v>
      </c>
    </row>
    <row r="1614" spans="2:23" x14ac:dyDescent="0.2">
      <c r="B1614" t="s">
        <v>12</v>
      </c>
      <c r="C1614" t="s">
        <v>95</v>
      </c>
      <c r="D1614" t="s">
        <v>13</v>
      </c>
      <c r="E1614" s="8" t="s">
        <v>345</v>
      </c>
      <c r="F1614" t="s">
        <v>84</v>
      </c>
      <c r="G1614" s="8" t="s">
        <v>345</v>
      </c>
      <c r="H1614" t="s">
        <v>570</v>
      </c>
      <c r="I1614" t="e">
        <f>VLOOKUP(Tabela2[[#This Row],[Coluna7]],[1]!Tabela1[#All],2,0)</f>
        <v>#REF!</v>
      </c>
      <c r="J1614" t="s">
        <v>659</v>
      </c>
      <c r="L1614">
        <v>48.2</v>
      </c>
      <c r="Q1614" s="10" t="str">
        <f>Tabela2[[#This Row],[Coluna5]]</f>
        <v>01/2026</v>
      </c>
      <c r="R1614" s="10" t="str">
        <f>IF(Tabela2[[#This Row],[Coluna9]]&gt;0,"Entrada","Saída")</f>
        <v>Saída</v>
      </c>
      <c r="S1614" s="10" t="str">
        <f>Tabela2[[#This Row],[Coluna8]]</f>
        <v>FERREIRA COSTA</v>
      </c>
      <c r="T1614" s="10" t="e">
        <f>Tabela2[[#This Row],[Coluna72]]</f>
        <v>#REF!</v>
      </c>
      <c r="U1614" s="10">
        <f>SUM(Tabela2[[#This Row],[Coluna9]],Tabela2[[#This Row],[Coluna10]])</f>
        <v>48.2</v>
      </c>
      <c r="V1614" s="2" t="str">
        <f>Tabela2[[#This Row],[Coluna4]]</f>
        <v>04/01/2026</v>
      </c>
      <c r="W1614" s="2" t="str">
        <f>Tabela2[[#This Row],[Coluna6]]</f>
        <v>04/01/2026</v>
      </c>
    </row>
    <row r="1615" spans="2:23" x14ac:dyDescent="0.2">
      <c r="B1615" t="s">
        <v>71</v>
      </c>
      <c r="C1615" t="s">
        <v>125</v>
      </c>
      <c r="D1615" t="s">
        <v>13</v>
      </c>
      <c r="E1615" s="8" t="s">
        <v>301</v>
      </c>
      <c r="F1615" t="s">
        <v>42</v>
      </c>
      <c r="G1615" s="8" t="s">
        <v>301</v>
      </c>
      <c r="H1615" t="s">
        <v>580</v>
      </c>
      <c r="I1615" t="e">
        <f>VLOOKUP(Tabela2[[#This Row],[Coluna7]],[1]!Tabela1[#All],2,0)</f>
        <v>#REF!</v>
      </c>
      <c r="J1615" t="s">
        <v>660</v>
      </c>
      <c r="L1615">
        <v>500</v>
      </c>
      <c r="N1615" t="s">
        <v>523</v>
      </c>
      <c r="Q1615" s="10" t="str">
        <f>Tabela2[[#This Row],[Coluna5]]</f>
        <v>11/2025</v>
      </c>
      <c r="R1615" s="10" t="str">
        <f>IF(Tabela2[[#This Row],[Coluna9]]&gt;0,"Entrada","Saída")</f>
        <v>Saída</v>
      </c>
      <c r="S1615" s="10" t="str">
        <f>Tabela2[[#This Row],[Coluna8]]</f>
        <v>RECEBIMENTO EM MÃOS DE VALDIRENE</v>
      </c>
      <c r="T1615" s="10" t="e">
        <f>Tabela2[[#This Row],[Coluna72]]</f>
        <v>#REF!</v>
      </c>
      <c r="U1615" s="10">
        <f>SUM(Tabela2[[#This Row],[Coluna9]],Tabela2[[#This Row],[Coluna10]])</f>
        <v>500</v>
      </c>
      <c r="V1615" s="2" t="str">
        <f>Tabela2[[#This Row],[Coluna4]]</f>
        <v>05/01/2026</v>
      </c>
      <c r="W1615" s="2" t="str">
        <f>Tabela2[[#This Row],[Coluna6]]</f>
        <v>05/01/2026</v>
      </c>
    </row>
    <row r="1616" spans="2:23" x14ac:dyDescent="0.2">
      <c r="B1616" t="s">
        <v>27</v>
      </c>
      <c r="C1616" t="s">
        <v>95</v>
      </c>
      <c r="D1616" t="s">
        <v>13</v>
      </c>
      <c r="E1616" s="8" t="s">
        <v>301</v>
      </c>
      <c r="F1616" t="s">
        <v>84</v>
      </c>
      <c r="G1616" s="8" t="s">
        <v>88</v>
      </c>
      <c r="H1616" t="s">
        <v>538</v>
      </c>
      <c r="I1616" t="e">
        <f>VLOOKUP(Tabela2[[#This Row],[Coluna7]],[1]!Tabela1[#All],2,0)</f>
        <v>#REF!</v>
      </c>
      <c r="J1616" t="s">
        <v>619</v>
      </c>
      <c r="L1616">
        <v>150</v>
      </c>
      <c r="N1616" t="s">
        <v>640</v>
      </c>
      <c r="Q1616" s="10" t="str">
        <f>Tabela2[[#This Row],[Coluna5]]</f>
        <v>01/2026</v>
      </c>
      <c r="R1616" s="10" t="str">
        <f>IF(Tabela2[[#This Row],[Coluna9]]&gt;0,"Entrada","Saída")</f>
        <v>Saída</v>
      </c>
      <c r="S1616" s="10" t="str">
        <f>Tabela2[[#This Row],[Coluna8]]</f>
        <v>NOTAS FISCAIS</v>
      </c>
      <c r="T1616" s="10" t="e">
        <f>Tabela2[[#This Row],[Coluna72]]</f>
        <v>#REF!</v>
      </c>
      <c r="U1616" s="10">
        <f>SUM(Tabela2[[#This Row],[Coluna9]],Tabela2[[#This Row],[Coluna10]])</f>
        <v>150</v>
      </c>
      <c r="V1616" s="2" t="str">
        <f>Tabela2[[#This Row],[Coluna4]]</f>
        <v>05/01/2026</v>
      </c>
      <c r="W1616" s="2" t="str">
        <f>Tabela2[[#This Row],[Coluna6]]</f>
        <v>14/01/2026</v>
      </c>
    </row>
    <row r="1617" spans="2:23" x14ac:dyDescent="0.2">
      <c r="B1617" t="s">
        <v>71</v>
      </c>
      <c r="C1617" t="s">
        <v>95</v>
      </c>
      <c r="D1617" t="s">
        <v>13</v>
      </c>
      <c r="E1617" s="8" t="s">
        <v>87</v>
      </c>
      <c r="F1617" t="s">
        <v>84</v>
      </c>
      <c r="G1617" s="8" t="s">
        <v>87</v>
      </c>
      <c r="H1617" t="s">
        <v>542</v>
      </c>
      <c r="I1617" t="e">
        <f>VLOOKUP(Tabela2[[#This Row],[Coluna7]],[1]!Tabela1[#All],2,0)</f>
        <v>#REF!</v>
      </c>
      <c r="J1617" t="s">
        <v>661</v>
      </c>
      <c r="L1617">
        <v>500</v>
      </c>
      <c r="N1617" t="s">
        <v>662</v>
      </c>
      <c r="Q1617" s="10" t="str">
        <f>Tabela2[[#This Row],[Coluna5]]</f>
        <v>01/2026</v>
      </c>
      <c r="R1617" s="10" t="str">
        <f>IF(Tabela2[[#This Row],[Coluna9]]&gt;0,"Entrada","Saída")</f>
        <v>Saída</v>
      </c>
      <c r="S1617" s="10" t="str">
        <f>Tabela2[[#This Row],[Coluna8]]</f>
        <v>ADIANTAMENTO DE ANIVERSÁRIO - RECEBEU DO PRIMO</v>
      </c>
      <c r="T1617" s="10" t="e">
        <f>Tabela2[[#This Row],[Coluna72]]</f>
        <v>#REF!</v>
      </c>
      <c r="U1617" s="10">
        <f>SUM(Tabela2[[#This Row],[Coluna9]],Tabela2[[#This Row],[Coluna10]])</f>
        <v>500</v>
      </c>
      <c r="V1617" s="2" t="str">
        <f>Tabela2[[#This Row],[Coluna4]]</f>
        <v>07/01/2026</v>
      </c>
      <c r="W1617" s="2" t="str">
        <f>Tabela2[[#This Row],[Coluna6]]</f>
        <v>07/01/2026</v>
      </c>
    </row>
    <row r="1618" spans="2:23" x14ac:dyDescent="0.2">
      <c r="B1618" t="s">
        <v>12</v>
      </c>
      <c r="C1618" t="s">
        <v>95</v>
      </c>
      <c r="D1618" t="s">
        <v>13</v>
      </c>
      <c r="E1618" s="8" t="s">
        <v>87</v>
      </c>
      <c r="F1618" t="s">
        <v>84</v>
      </c>
      <c r="G1618" s="8" t="s">
        <v>87</v>
      </c>
      <c r="H1618" t="s">
        <v>546</v>
      </c>
      <c r="I1618" t="e">
        <f>VLOOKUP(Tabela2[[#This Row],[Coluna7]],[1]!Tabela1[#All],2,0)</f>
        <v>#REF!</v>
      </c>
      <c r="L1618">
        <v>70</v>
      </c>
      <c r="N1618" t="s">
        <v>547</v>
      </c>
      <c r="Q1618" s="10" t="str">
        <f>Tabela2[[#This Row],[Coluna5]]</f>
        <v>01/2026</v>
      </c>
      <c r="R1618" s="10" t="str">
        <f>IF(Tabela2[[#This Row],[Coluna9]]&gt;0,"Entrada","Saída")</f>
        <v>Saída</v>
      </c>
      <c r="S1618" s="10">
        <f>Tabela2[[#This Row],[Coluna8]]</f>
        <v>0</v>
      </c>
      <c r="T1618" s="10" t="e">
        <f>Tabela2[[#This Row],[Coluna72]]</f>
        <v>#REF!</v>
      </c>
      <c r="U1618" s="10">
        <f>SUM(Tabela2[[#This Row],[Coluna9]],Tabela2[[#This Row],[Coluna10]])</f>
        <v>70</v>
      </c>
      <c r="V1618" s="2" t="str">
        <f>Tabela2[[#This Row],[Coluna4]]</f>
        <v>07/01/2026</v>
      </c>
      <c r="W1618" s="2" t="str">
        <f>Tabela2[[#This Row],[Coluna6]]</f>
        <v>07/01/2026</v>
      </c>
    </row>
    <row r="1619" spans="2:23" x14ac:dyDescent="0.2">
      <c r="B1619" t="s">
        <v>12</v>
      </c>
      <c r="C1619" t="s">
        <v>95</v>
      </c>
      <c r="D1619" t="s">
        <v>13</v>
      </c>
      <c r="E1619" s="8" t="s">
        <v>87</v>
      </c>
      <c r="F1619" t="s">
        <v>84</v>
      </c>
      <c r="G1619" s="8" t="s">
        <v>87</v>
      </c>
      <c r="H1619" t="s">
        <v>546</v>
      </c>
      <c r="I1619" t="e">
        <f>VLOOKUP(Tabela2[[#This Row],[Coluna7]],[1]!Tabela1[#All],2,0)</f>
        <v>#REF!</v>
      </c>
      <c r="L1619">
        <v>100</v>
      </c>
      <c r="N1619" t="s">
        <v>584</v>
      </c>
      <c r="Q1619" s="10" t="str">
        <f>Tabela2[[#This Row],[Coluna5]]</f>
        <v>01/2026</v>
      </c>
      <c r="R1619" s="10" t="str">
        <f>IF(Tabela2[[#This Row],[Coluna9]]&gt;0,"Entrada","Saída")</f>
        <v>Saída</v>
      </c>
      <c r="S1619" s="10">
        <f>Tabela2[[#This Row],[Coluna8]]</f>
        <v>0</v>
      </c>
      <c r="T1619" s="10" t="e">
        <f>Tabela2[[#This Row],[Coluna72]]</f>
        <v>#REF!</v>
      </c>
      <c r="U1619" s="10">
        <f>SUM(Tabela2[[#This Row],[Coluna9]],Tabela2[[#This Row],[Coluna10]])</f>
        <v>100</v>
      </c>
      <c r="V1619" s="2" t="str">
        <f>Tabela2[[#This Row],[Coluna4]]</f>
        <v>07/01/2026</v>
      </c>
      <c r="W1619" s="2" t="str">
        <f>Tabela2[[#This Row],[Coluna6]]</f>
        <v>07/01/2026</v>
      </c>
    </row>
    <row r="1620" spans="2:23" x14ac:dyDescent="0.2">
      <c r="B1620" t="s">
        <v>12</v>
      </c>
      <c r="C1620" t="s">
        <v>95</v>
      </c>
      <c r="D1620" t="s">
        <v>13</v>
      </c>
      <c r="E1620" s="8" t="s">
        <v>85</v>
      </c>
      <c r="F1620" t="s">
        <v>84</v>
      </c>
      <c r="G1620" s="8" t="s">
        <v>85</v>
      </c>
      <c r="H1620" t="s">
        <v>546</v>
      </c>
      <c r="I1620" t="e">
        <f>VLOOKUP(Tabela2[[#This Row],[Coluna7]],[1]!Tabela1[#All],2,0)</f>
        <v>#REF!</v>
      </c>
      <c r="J1620" t="s">
        <v>663</v>
      </c>
      <c r="L1620">
        <v>300</v>
      </c>
      <c r="Q1620" s="10" t="str">
        <f>Tabela2[[#This Row],[Coluna5]]</f>
        <v>01/2026</v>
      </c>
      <c r="R1620" s="10" t="str">
        <f>IF(Tabela2[[#This Row],[Coluna9]]&gt;0,"Entrada","Saída")</f>
        <v>Saída</v>
      </c>
      <c r="S1620" s="10" t="str">
        <f>Tabela2[[#This Row],[Coluna8]]</f>
        <v>VIDROS E MO (DIMAS)</v>
      </c>
      <c r="T1620" s="10" t="e">
        <f>Tabela2[[#This Row],[Coluna72]]</f>
        <v>#REF!</v>
      </c>
      <c r="U1620" s="10">
        <f>SUM(Tabela2[[#This Row],[Coluna9]],Tabela2[[#This Row],[Coluna10]])</f>
        <v>300</v>
      </c>
      <c r="V1620" s="2" t="str">
        <f>Tabela2[[#This Row],[Coluna4]]</f>
        <v>08/01/2026</v>
      </c>
      <c r="W1620" s="2" t="str">
        <f>Tabela2[[#This Row],[Coluna6]]</f>
        <v>08/01/2026</v>
      </c>
    </row>
    <row r="1621" spans="2:23" x14ac:dyDescent="0.2">
      <c r="B1621" t="s">
        <v>18</v>
      </c>
      <c r="C1621" t="s">
        <v>95</v>
      </c>
      <c r="D1621" t="s">
        <v>13</v>
      </c>
      <c r="E1621" s="8" t="s">
        <v>85</v>
      </c>
      <c r="F1621" t="s">
        <v>84</v>
      </c>
      <c r="G1621" s="8" t="s">
        <v>85</v>
      </c>
      <c r="H1621" t="s">
        <v>546</v>
      </c>
      <c r="I1621" t="e">
        <f>VLOOKUP(Tabela2[[#This Row],[Coluna7]],[1]!Tabela1[#All],2,0)</f>
        <v>#REF!</v>
      </c>
      <c r="J1621" t="s">
        <v>664</v>
      </c>
      <c r="L1621">
        <v>300</v>
      </c>
      <c r="N1621" t="s">
        <v>547</v>
      </c>
      <c r="Q1621" s="10" t="str">
        <f>Tabela2[[#This Row],[Coluna5]]</f>
        <v>01/2026</v>
      </c>
      <c r="R1621" s="10" t="str">
        <f>IF(Tabela2[[#This Row],[Coluna9]]&gt;0,"Entrada","Saída")</f>
        <v>Saída</v>
      </c>
      <c r="S1621" s="10" t="str">
        <f>Tabela2[[#This Row],[Coluna8]]</f>
        <v>MARCONDES</v>
      </c>
      <c r="T1621" s="10" t="e">
        <f>Tabela2[[#This Row],[Coluna72]]</f>
        <v>#REF!</v>
      </c>
      <c r="U1621" s="10">
        <f>SUM(Tabela2[[#This Row],[Coluna9]],Tabela2[[#This Row],[Coluna10]])</f>
        <v>300</v>
      </c>
      <c r="V1621" s="2" t="str">
        <f>Tabela2[[#This Row],[Coluna4]]</f>
        <v>08/01/2026</v>
      </c>
      <c r="W1621" s="2" t="str">
        <f>Tabela2[[#This Row],[Coluna6]]</f>
        <v>08/01/2026</v>
      </c>
    </row>
    <row r="1622" spans="2:23" x14ac:dyDescent="0.2">
      <c r="B1622" t="s">
        <v>12</v>
      </c>
      <c r="C1622" t="s">
        <v>95</v>
      </c>
      <c r="D1622" t="s">
        <v>13</v>
      </c>
      <c r="E1622" s="8" t="s">
        <v>85</v>
      </c>
      <c r="F1622" t="s">
        <v>64</v>
      </c>
      <c r="G1622" s="8" t="s">
        <v>85</v>
      </c>
      <c r="H1622" t="s">
        <v>580</v>
      </c>
      <c r="I1622" t="e">
        <f>VLOOKUP(Tabela2[[#This Row],[Coluna7]],[1]!Tabela1[#All],2,0)</f>
        <v>#REF!</v>
      </c>
      <c r="J1622" t="s">
        <v>656</v>
      </c>
      <c r="L1622">
        <v>400</v>
      </c>
      <c r="N1622" t="s">
        <v>583</v>
      </c>
      <c r="Q1622" s="10" t="str">
        <f>Tabela2[[#This Row],[Coluna5]]</f>
        <v>12/2025</v>
      </c>
      <c r="R1622" s="10" t="str">
        <f>IF(Tabela2[[#This Row],[Coluna9]]&gt;0,"Entrada","Saída")</f>
        <v>Saída</v>
      </c>
      <c r="S1622" s="10" t="str">
        <f>Tabela2[[#This Row],[Coluna8]]</f>
        <v>ADIANTAMENTO</v>
      </c>
      <c r="T1622" s="10" t="e">
        <f>Tabela2[[#This Row],[Coluna72]]</f>
        <v>#REF!</v>
      </c>
      <c r="U1622" s="10">
        <f>SUM(Tabela2[[#This Row],[Coluna9]],Tabela2[[#This Row],[Coluna10]])</f>
        <v>400</v>
      </c>
      <c r="V1622" s="2" t="str">
        <f>Tabela2[[#This Row],[Coluna4]]</f>
        <v>08/01/2026</v>
      </c>
      <c r="W1622" s="2" t="str">
        <f>Tabela2[[#This Row],[Coluna6]]</f>
        <v>08/01/2026</v>
      </c>
    </row>
    <row r="1623" spans="2:23" x14ac:dyDescent="0.2">
      <c r="B1623" t="s">
        <v>12</v>
      </c>
      <c r="C1623" t="s">
        <v>95</v>
      </c>
      <c r="D1623" t="s">
        <v>13</v>
      </c>
      <c r="E1623" s="8" t="s">
        <v>348</v>
      </c>
      <c r="F1623" t="s">
        <v>665</v>
      </c>
      <c r="G1623" s="8" t="s">
        <v>348</v>
      </c>
      <c r="H1623" t="s">
        <v>580</v>
      </c>
      <c r="I1623" t="e">
        <f>VLOOKUP(Tabela2[[#This Row],[Coluna7]],[1]!Tabela1[#All],2,0)</f>
        <v>#REF!</v>
      </c>
      <c r="L1623">
        <v>2668.06</v>
      </c>
      <c r="N1623" t="s">
        <v>583</v>
      </c>
      <c r="Q1623" s="10" t="str">
        <f>Tabela2[[#This Row],[Coluna5]]</f>
        <v>12/2026</v>
      </c>
      <c r="R1623" s="10" t="str">
        <f>IF(Tabela2[[#This Row],[Coluna9]]&gt;0,"Entrada","Saída")</f>
        <v>Saída</v>
      </c>
      <c r="S1623" s="10">
        <f>Tabela2[[#This Row],[Coluna8]]</f>
        <v>0</v>
      </c>
      <c r="T1623" s="10" t="e">
        <f>Tabela2[[#This Row],[Coluna72]]</f>
        <v>#REF!</v>
      </c>
      <c r="U1623" s="10">
        <f>SUM(Tabela2[[#This Row],[Coluna9]],Tabela2[[#This Row],[Coluna10]])</f>
        <v>2668.06</v>
      </c>
      <c r="V1623" s="2" t="str">
        <f>Tabela2[[#This Row],[Coluna4]]</f>
        <v>09/01/2026</v>
      </c>
      <c r="W1623" s="2" t="str">
        <f>Tabela2[[#This Row],[Coluna6]]</f>
        <v>09/01/2026</v>
      </c>
    </row>
    <row r="1624" spans="2:23" x14ac:dyDescent="0.2">
      <c r="B1624" t="s">
        <v>12</v>
      </c>
      <c r="C1624" t="s">
        <v>95</v>
      </c>
      <c r="D1624" t="s">
        <v>13</v>
      </c>
      <c r="E1624" s="8" t="s">
        <v>348</v>
      </c>
      <c r="F1624" t="s">
        <v>84</v>
      </c>
      <c r="G1624" s="8" t="s">
        <v>348</v>
      </c>
      <c r="H1624" t="s">
        <v>546</v>
      </c>
      <c r="I1624" t="e">
        <f>VLOOKUP(Tabela2[[#This Row],[Coluna7]],[1]!Tabela1[#All],2,0)</f>
        <v>#REF!</v>
      </c>
      <c r="L1624">
        <v>600</v>
      </c>
      <c r="N1624" t="s">
        <v>547</v>
      </c>
      <c r="Q1624" s="10" t="str">
        <f>Tabela2[[#This Row],[Coluna5]]</f>
        <v>01/2026</v>
      </c>
      <c r="R1624" s="10" t="str">
        <f>IF(Tabela2[[#This Row],[Coluna9]]&gt;0,"Entrada","Saída")</f>
        <v>Saída</v>
      </c>
      <c r="S1624" s="10">
        <f>Tabela2[[#This Row],[Coluna8]]</f>
        <v>0</v>
      </c>
      <c r="T1624" s="10" t="e">
        <f>Tabela2[[#This Row],[Coluna72]]</f>
        <v>#REF!</v>
      </c>
      <c r="U1624" s="10">
        <f>SUM(Tabela2[[#This Row],[Coluna9]],Tabela2[[#This Row],[Coluna10]])</f>
        <v>600</v>
      </c>
      <c r="V1624" s="2" t="str">
        <f>Tabela2[[#This Row],[Coluna4]]</f>
        <v>09/01/2026</v>
      </c>
      <c r="W1624" s="2" t="str">
        <f>Tabela2[[#This Row],[Coluna6]]</f>
        <v>09/01/2026</v>
      </c>
    </row>
    <row r="1625" spans="2:23" x14ac:dyDescent="0.2">
      <c r="B1625" t="s">
        <v>12</v>
      </c>
      <c r="C1625" t="s">
        <v>95</v>
      </c>
      <c r="D1625" t="s">
        <v>13</v>
      </c>
      <c r="E1625" s="8" t="s">
        <v>348</v>
      </c>
      <c r="F1625" t="s">
        <v>84</v>
      </c>
      <c r="G1625" s="8" t="s">
        <v>348</v>
      </c>
      <c r="H1625" t="s">
        <v>546</v>
      </c>
      <c r="I1625" t="e">
        <f>VLOOKUP(Tabela2[[#This Row],[Coluna7]],[1]!Tabela1[#All],2,0)</f>
        <v>#REF!</v>
      </c>
      <c r="L1625">
        <v>100</v>
      </c>
      <c r="N1625" t="s">
        <v>584</v>
      </c>
      <c r="Q1625" s="10" t="str">
        <f>Tabela2[[#This Row],[Coluna5]]</f>
        <v>01/2026</v>
      </c>
      <c r="R1625" s="10" t="str">
        <f>IF(Tabela2[[#This Row],[Coluna9]]&gt;0,"Entrada","Saída")</f>
        <v>Saída</v>
      </c>
      <c r="S1625" s="10">
        <f>Tabela2[[#This Row],[Coluna8]]</f>
        <v>0</v>
      </c>
      <c r="T1625" s="10" t="e">
        <f>Tabela2[[#This Row],[Coluna72]]</f>
        <v>#REF!</v>
      </c>
      <c r="U1625" s="10">
        <f>SUM(Tabela2[[#This Row],[Coluna9]],Tabela2[[#This Row],[Coluna10]])</f>
        <v>100</v>
      </c>
      <c r="V1625" s="2" t="str">
        <f>Tabela2[[#This Row],[Coluna4]]</f>
        <v>09/01/2026</v>
      </c>
      <c r="W1625" s="2" t="str">
        <f>Tabela2[[#This Row],[Coluna6]]</f>
        <v>09/01/2026</v>
      </c>
    </row>
    <row r="1626" spans="2:23" x14ac:dyDescent="0.2">
      <c r="B1626" t="s">
        <v>71</v>
      </c>
      <c r="C1626" t="s">
        <v>95</v>
      </c>
      <c r="D1626" t="s">
        <v>13</v>
      </c>
      <c r="E1626" s="8" t="s">
        <v>351</v>
      </c>
      <c r="F1626" t="s">
        <v>84</v>
      </c>
      <c r="G1626" s="8" t="s">
        <v>351</v>
      </c>
      <c r="H1626" t="s">
        <v>538</v>
      </c>
      <c r="I1626" t="e">
        <f>VLOOKUP(Tabela2[[#This Row],[Coluna7]],[1]!Tabela1[#All],2,0)</f>
        <v>#REF!</v>
      </c>
      <c r="J1626" t="s">
        <v>649</v>
      </c>
      <c r="L1626">
        <v>70</v>
      </c>
      <c r="N1626" t="s">
        <v>408</v>
      </c>
      <c r="Q1626" s="10" t="str">
        <f>Tabela2[[#This Row],[Coluna5]]</f>
        <v>01/2026</v>
      </c>
      <c r="R1626" s="10" t="str">
        <f>IF(Tabela2[[#This Row],[Coluna9]]&gt;0,"Entrada","Saída")</f>
        <v>Saída</v>
      </c>
      <c r="S1626" s="10" t="str">
        <f>Tabela2[[#This Row],[Coluna8]]</f>
        <v>HORA EXTRA</v>
      </c>
      <c r="T1626" s="10" t="e">
        <f>Tabela2[[#This Row],[Coluna72]]</f>
        <v>#REF!</v>
      </c>
      <c r="U1626" s="10">
        <f>SUM(Tabela2[[#This Row],[Coluna9]],Tabela2[[#This Row],[Coluna10]])</f>
        <v>70</v>
      </c>
      <c r="V1626" s="2" t="str">
        <f>Tabela2[[#This Row],[Coluna4]]</f>
        <v>10/01/2026</v>
      </c>
      <c r="W1626" s="2" t="str">
        <f>Tabela2[[#This Row],[Coluna6]]</f>
        <v>10/01/2026</v>
      </c>
    </row>
    <row r="1627" spans="2:23" x14ac:dyDescent="0.2">
      <c r="B1627" t="s">
        <v>12</v>
      </c>
      <c r="C1627" t="s">
        <v>95</v>
      </c>
      <c r="D1627" t="s">
        <v>13</v>
      </c>
      <c r="E1627" s="8" t="s">
        <v>351</v>
      </c>
      <c r="F1627" t="s">
        <v>84</v>
      </c>
      <c r="G1627" s="8" t="s">
        <v>351</v>
      </c>
      <c r="H1627" t="s">
        <v>546</v>
      </c>
      <c r="I1627" t="e">
        <f>VLOOKUP(Tabela2[[#This Row],[Coluna7]],[1]!Tabela1[#All],2,0)</f>
        <v>#REF!</v>
      </c>
      <c r="L1627">
        <v>1000</v>
      </c>
      <c r="N1627" t="s">
        <v>584</v>
      </c>
      <c r="Q1627" s="10" t="str">
        <f>Tabela2[[#This Row],[Coluna5]]</f>
        <v>01/2026</v>
      </c>
      <c r="R1627" s="10" t="str">
        <f>IF(Tabela2[[#This Row],[Coluna9]]&gt;0,"Entrada","Saída")</f>
        <v>Saída</v>
      </c>
      <c r="S1627" s="10">
        <f>Tabela2[[#This Row],[Coluna8]]</f>
        <v>0</v>
      </c>
      <c r="T1627" s="10" t="e">
        <f>Tabela2[[#This Row],[Coluna72]]</f>
        <v>#REF!</v>
      </c>
      <c r="U1627" s="10">
        <f>SUM(Tabela2[[#This Row],[Coluna9]],Tabela2[[#This Row],[Coluna10]])</f>
        <v>1000</v>
      </c>
      <c r="V1627" s="2" t="str">
        <f>Tabela2[[#This Row],[Coluna4]]</f>
        <v>10/01/2026</v>
      </c>
      <c r="W1627" s="2" t="str">
        <f>Tabela2[[#This Row],[Coluna6]]</f>
        <v>10/01/2026</v>
      </c>
    </row>
    <row r="1628" spans="2:23" x14ac:dyDescent="0.2">
      <c r="B1628" t="s">
        <v>12</v>
      </c>
      <c r="C1628" t="s">
        <v>95</v>
      </c>
      <c r="D1628" t="s">
        <v>13</v>
      </c>
      <c r="E1628" s="8" t="s">
        <v>351</v>
      </c>
      <c r="F1628" t="s">
        <v>84</v>
      </c>
      <c r="G1628" s="8" t="s">
        <v>351</v>
      </c>
      <c r="H1628" t="s">
        <v>546</v>
      </c>
      <c r="I1628" t="e">
        <f>VLOOKUP(Tabela2[[#This Row],[Coluna7]],[1]!Tabela1[#All],2,0)</f>
        <v>#REF!</v>
      </c>
      <c r="J1628" t="s">
        <v>666</v>
      </c>
      <c r="L1628">
        <v>1500</v>
      </c>
      <c r="Q1628" s="10" t="str">
        <f>Tabela2[[#This Row],[Coluna5]]</f>
        <v>01/2026</v>
      </c>
      <c r="R1628" s="10" t="str">
        <f>IF(Tabela2[[#This Row],[Coluna9]]&gt;0,"Entrada","Saída")</f>
        <v>Saída</v>
      </c>
      <c r="S1628" s="10" t="str">
        <f>Tabela2[[#This Row],[Coluna8]]</f>
        <v>TROCA DE QUADRO ELETRICO</v>
      </c>
      <c r="T1628" s="10" t="e">
        <f>Tabela2[[#This Row],[Coluna72]]</f>
        <v>#REF!</v>
      </c>
      <c r="U1628" s="10">
        <f>SUM(Tabela2[[#This Row],[Coluna9]],Tabela2[[#This Row],[Coluna10]])</f>
        <v>1500</v>
      </c>
      <c r="V1628" s="2" t="str">
        <f>Tabela2[[#This Row],[Coluna4]]</f>
        <v>10/01/2026</v>
      </c>
      <c r="W1628" s="2" t="str">
        <f>Tabela2[[#This Row],[Coluna6]]</f>
        <v>10/01/2026</v>
      </c>
    </row>
    <row r="1629" spans="2:23" x14ac:dyDescent="0.2">
      <c r="B1629" t="s">
        <v>12</v>
      </c>
      <c r="C1629" t="s">
        <v>95</v>
      </c>
      <c r="D1629" t="s">
        <v>13</v>
      </c>
      <c r="E1629" s="8" t="s">
        <v>351</v>
      </c>
      <c r="F1629" t="s">
        <v>84</v>
      </c>
      <c r="G1629" s="8" t="s">
        <v>351</v>
      </c>
      <c r="H1629" t="s">
        <v>570</v>
      </c>
      <c r="I1629" t="e">
        <f>VLOOKUP(Tabela2[[#This Row],[Coluna7]],[1]!Tabela1[#All],2,0)</f>
        <v>#REF!</v>
      </c>
      <c r="L1629">
        <v>36</v>
      </c>
      <c r="Q1629" s="10" t="str">
        <f>Tabela2[[#This Row],[Coluna5]]</f>
        <v>01/2026</v>
      </c>
      <c r="R1629" s="10" t="str">
        <f>IF(Tabela2[[#This Row],[Coluna9]]&gt;0,"Entrada","Saída")</f>
        <v>Saída</v>
      </c>
      <c r="S1629" s="10">
        <f>Tabela2[[#This Row],[Coluna8]]</f>
        <v>0</v>
      </c>
      <c r="T1629" s="10" t="e">
        <f>Tabela2[[#This Row],[Coluna72]]</f>
        <v>#REF!</v>
      </c>
      <c r="U1629" s="10">
        <f>SUM(Tabela2[[#This Row],[Coluna9]],Tabela2[[#This Row],[Coluna10]])</f>
        <v>36</v>
      </c>
      <c r="V1629" s="2" t="str">
        <f>Tabela2[[#This Row],[Coluna4]]</f>
        <v>10/01/2026</v>
      </c>
      <c r="W1629" s="2" t="str">
        <f>Tabela2[[#This Row],[Coluna6]]</f>
        <v>10/01/2026</v>
      </c>
    </row>
    <row r="1630" spans="2:23" x14ac:dyDescent="0.2">
      <c r="B1630" t="s">
        <v>12</v>
      </c>
      <c r="C1630" t="s">
        <v>95</v>
      </c>
      <c r="D1630" t="s">
        <v>13</v>
      </c>
      <c r="E1630" s="8" t="s">
        <v>351</v>
      </c>
      <c r="F1630" t="s">
        <v>84</v>
      </c>
      <c r="G1630" s="8" t="s">
        <v>351</v>
      </c>
      <c r="H1630" t="s">
        <v>546</v>
      </c>
      <c r="I1630" t="e">
        <f>VLOOKUP(Tabela2[[#This Row],[Coluna7]],[1]!Tabela1[#All],2,0)</f>
        <v>#REF!</v>
      </c>
      <c r="J1630" t="s">
        <v>667</v>
      </c>
      <c r="L1630">
        <v>350</v>
      </c>
      <c r="Q1630" s="10" t="str">
        <f>Tabela2[[#This Row],[Coluna5]]</f>
        <v>01/2026</v>
      </c>
      <c r="R1630" s="10" t="str">
        <f>IF(Tabela2[[#This Row],[Coluna9]]&gt;0,"Entrada","Saída")</f>
        <v>Saída</v>
      </c>
      <c r="S1630" s="10" t="str">
        <f>Tabela2[[#This Row],[Coluna8]]</f>
        <v>SILVESTRE</v>
      </c>
      <c r="T1630" s="10" t="e">
        <f>Tabela2[[#This Row],[Coluna72]]</f>
        <v>#REF!</v>
      </c>
      <c r="U1630" s="10">
        <f>SUM(Tabela2[[#This Row],[Coluna9]],Tabela2[[#This Row],[Coluna10]])</f>
        <v>350</v>
      </c>
      <c r="V1630" s="2" t="str">
        <f>Tabela2[[#This Row],[Coluna4]]</f>
        <v>10/01/2026</v>
      </c>
      <c r="W1630" s="2" t="str">
        <f>Tabela2[[#This Row],[Coluna6]]</f>
        <v>10/01/2026</v>
      </c>
    </row>
    <row r="1631" spans="2:23" x14ac:dyDescent="0.2">
      <c r="B1631" t="s">
        <v>12</v>
      </c>
      <c r="C1631" t="s">
        <v>95</v>
      </c>
      <c r="D1631" t="s">
        <v>13</v>
      </c>
      <c r="E1631" s="8" t="s">
        <v>668</v>
      </c>
      <c r="F1631" t="s">
        <v>84</v>
      </c>
      <c r="G1631" s="8" t="s">
        <v>668</v>
      </c>
      <c r="H1631" t="s">
        <v>546</v>
      </c>
      <c r="I1631" t="e">
        <f>VLOOKUP(Tabela2[[#This Row],[Coluna7]],[1]!Tabela1[#All],2,0)</f>
        <v>#REF!</v>
      </c>
      <c r="L1631">
        <v>500</v>
      </c>
      <c r="N1631" t="s">
        <v>584</v>
      </c>
      <c r="Q1631" s="10" t="str">
        <f>Tabela2[[#This Row],[Coluna5]]</f>
        <v>01/2026</v>
      </c>
      <c r="R1631" s="10" t="str">
        <f>IF(Tabela2[[#This Row],[Coluna9]]&gt;0,"Entrada","Saída")</f>
        <v>Saída</v>
      </c>
      <c r="S1631" s="10">
        <f>Tabela2[[#This Row],[Coluna8]]</f>
        <v>0</v>
      </c>
      <c r="T1631" s="10" t="e">
        <f>Tabela2[[#This Row],[Coluna72]]</f>
        <v>#REF!</v>
      </c>
      <c r="U1631" s="10">
        <f>SUM(Tabela2[[#This Row],[Coluna9]],Tabela2[[#This Row],[Coluna10]])</f>
        <v>500</v>
      </c>
      <c r="V1631" s="2" t="str">
        <f>Tabela2[[#This Row],[Coluna4]]</f>
        <v>11/01/2026</v>
      </c>
      <c r="W1631" s="2" t="str">
        <f>Tabela2[[#This Row],[Coluna6]]</f>
        <v>11/01/2026</v>
      </c>
    </row>
    <row r="1632" spans="2:23" x14ac:dyDescent="0.2">
      <c r="B1632" t="s">
        <v>12</v>
      </c>
      <c r="C1632" t="s">
        <v>95</v>
      </c>
      <c r="D1632" t="s">
        <v>13</v>
      </c>
      <c r="E1632" s="8" t="s">
        <v>346</v>
      </c>
      <c r="F1632" t="s">
        <v>84</v>
      </c>
      <c r="G1632" s="8" t="s">
        <v>346</v>
      </c>
      <c r="H1632" t="s">
        <v>570</v>
      </c>
      <c r="I1632" t="e">
        <f>VLOOKUP(Tabela2[[#This Row],[Coluna7]],[1]!Tabela1[#All],2,0)</f>
        <v>#REF!</v>
      </c>
      <c r="L1632">
        <v>9</v>
      </c>
      <c r="Q1632" s="10" t="str">
        <f>Tabela2[[#This Row],[Coluna5]]</f>
        <v>01/2026</v>
      </c>
      <c r="R1632" s="10" t="str">
        <f>IF(Tabela2[[#This Row],[Coluna9]]&gt;0,"Entrada","Saída")</f>
        <v>Saída</v>
      </c>
      <c r="S1632" s="10">
        <f>Tabela2[[#This Row],[Coluna8]]</f>
        <v>0</v>
      </c>
      <c r="T1632" s="10" t="e">
        <f>Tabela2[[#This Row],[Coluna72]]</f>
        <v>#REF!</v>
      </c>
      <c r="U1632" s="10">
        <f>SUM(Tabela2[[#This Row],[Coluna9]],Tabela2[[#This Row],[Coluna10]])</f>
        <v>9</v>
      </c>
      <c r="V1632" s="2" t="str">
        <f>Tabela2[[#This Row],[Coluna4]]</f>
        <v>12/01/2026</v>
      </c>
      <c r="W1632" s="2" t="str">
        <f>Tabela2[[#This Row],[Coluna6]]</f>
        <v>12/01/2026</v>
      </c>
    </row>
    <row r="1633" spans="2:23" x14ac:dyDescent="0.2">
      <c r="B1633" t="s">
        <v>12</v>
      </c>
      <c r="C1633" t="s">
        <v>95</v>
      </c>
      <c r="D1633" t="s">
        <v>13</v>
      </c>
      <c r="E1633" s="8" t="s">
        <v>346</v>
      </c>
      <c r="F1633" t="s">
        <v>84</v>
      </c>
      <c r="G1633" s="8" t="s">
        <v>346</v>
      </c>
      <c r="H1633" t="s">
        <v>580</v>
      </c>
      <c r="I1633" t="e">
        <f>VLOOKUP(Tabela2[[#This Row],[Coluna7]],[1]!Tabela1[#All],2,0)</f>
        <v>#REF!</v>
      </c>
      <c r="L1633">
        <v>15000</v>
      </c>
      <c r="N1633" t="s">
        <v>669</v>
      </c>
      <c r="Q1633" s="10" t="str">
        <f>Tabela2[[#This Row],[Coluna5]]</f>
        <v>01/2026</v>
      </c>
      <c r="R1633" s="10" t="str">
        <f>IF(Tabela2[[#This Row],[Coluna9]]&gt;0,"Entrada","Saída")</f>
        <v>Saída</v>
      </c>
      <c r="S1633" s="10">
        <f>Tabela2[[#This Row],[Coluna8]]</f>
        <v>0</v>
      </c>
      <c r="T1633" s="10" t="e">
        <f>Tabela2[[#This Row],[Coluna72]]</f>
        <v>#REF!</v>
      </c>
      <c r="U1633" s="10">
        <f>SUM(Tabela2[[#This Row],[Coluna9]],Tabela2[[#This Row],[Coluna10]])</f>
        <v>15000</v>
      </c>
      <c r="V1633" s="2" t="str">
        <f>Tabela2[[#This Row],[Coluna4]]</f>
        <v>12/01/2026</v>
      </c>
      <c r="W1633" s="2" t="str">
        <f>Tabela2[[#This Row],[Coluna6]]</f>
        <v>12/01/2026</v>
      </c>
    </row>
    <row r="1634" spans="2:23" x14ac:dyDescent="0.2">
      <c r="B1634" t="s">
        <v>12</v>
      </c>
      <c r="C1634" t="s">
        <v>95</v>
      </c>
      <c r="D1634" t="s">
        <v>13</v>
      </c>
      <c r="E1634" s="8" t="s">
        <v>346</v>
      </c>
      <c r="F1634" t="s">
        <v>64</v>
      </c>
      <c r="G1634" s="8" t="s">
        <v>346</v>
      </c>
      <c r="H1634" t="s">
        <v>580</v>
      </c>
      <c r="I1634" t="e">
        <f>VLOOKUP(Tabela2[[#This Row],[Coluna7]],[1]!Tabela1[#All],2,0)</f>
        <v>#REF!</v>
      </c>
      <c r="L1634">
        <v>3500</v>
      </c>
      <c r="N1634" t="s">
        <v>583</v>
      </c>
      <c r="Q1634" s="10" t="str">
        <f>Tabela2[[#This Row],[Coluna5]]</f>
        <v>12/2025</v>
      </c>
      <c r="R1634" s="10" t="str">
        <f>IF(Tabela2[[#This Row],[Coluna9]]&gt;0,"Entrada","Saída")</f>
        <v>Saída</v>
      </c>
      <c r="S1634" s="10">
        <f>Tabela2[[#This Row],[Coluna8]]</f>
        <v>0</v>
      </c>
      <c r="T1634" s="10" t="e">
        <f>Tabela2[[#This Row],[Coluna72]]</f>
        <v>#REF!</v>
      </c>
      <c r="U1634" s="10">
        <f>SUM(Tabela2[[#This Row],[Coluna9]],Tabela2[[#This Row],[Coluna10]])</f>
        <v>3500</v>
      </c>
      <c r="V1634" s="2" t="str">
        <f>Tabela2[[#This Row],[Coluna4]]</f>
        <v>12/01/2026</v>
      </c>
      <c r="W1634" s="2" t="str">
        <f>Tabela2[[#This Row],[Coluna6]]</f>
        <v>12/01/2026</v>
      </c>
    </row>
    <row r="1635" spans="2:23" x14ac:dyDescent="0.2">
      <c r="B1635" t="s">
        <v>18</v>
      </c>
      <c r="C1635" t="s">
        <v>95</v>
      </c>
      <c r="D1635" t="s">
        <v>13</v>
      </c>
      <c r="E1635" s="8" t="s">
        <v>86</v>
      </c>
      <c r="F1635" t="s">
        <v>84</v>
      </c>
      <c r="G1635" s="8" t="s">
        <v>86</v>
      </c>
      <c r="H1635" t="s">
        <v>561</v>
      </c>
      <c r="I1635" t="e">
        <f>VLOOKUP(Tabela2[[#This Row],[Coluna7]],[1]!Tabela1[#All],2,0)</f>
        <v>#REF!</v>
      </c>
      <c r="J1635" t="s">
        <v>670</v>
      </c>
      <c r="L1635">
        <v>100</v>
      </c>
      <c r="Q1635" s="10" t="str">
        <f>Tabela2[[#This Row],[Coluna5]]</f>
        <v>01/2026</v>
      </c>
      <c r="R1635" s="10" t="str">
        <f>IF(Tabela2[[#This Row],[Coluna9]]&gt;0,"Entrada","Saída")</f>
        <v>Saída</v>
      </c>
      <c r="S1635" s="10" t="str">
        <f>Tabela2[[#This Row],[Coluna8]]</f>
        <v>LUIZ HENRIQUE DA SILVA</v>
      </c>
      <c r="T1635" s="10" t="e">
        <f>Tabela2[[#This Row],[Coluna72]]</f>
        <v>#REF!</v>
      </c>
      <c r="U1635" s="10">
        <f>SUM(Tabela2[[#This Row],[Coluna9]],Tabela2[[#This Row],[Coluna10]])</f>
        <v>100</v>
      </c>
      <c r="V1635" s="2" t="str">
        <f>Tabela2[[#This Row],[Coluna4]]</f>
        <v>13/01/2026</v>
      </c>
      <c r="W1635" s="2" t="str">
        <f>Tabela2[[#This Row],[Coluna6]]</f>
        <v>13/01/2026</v>
      </c>
    </row>
    <row r="1636" spans="2:23" x14ac:dyDescent="0.2">
      <c r="B1636" t="s">
        <v>18</v>
      </c>
      <c r="C1636" t="s">
        <v>95</v>
      </c>
      <c r="D1636" t="s">
        <v>13</v>
      </c>
      <c r="E1636" s="8" t="s">
        <v>88</v>
      </c>
      <c r="F1636" t="s">
        <v>84</v>
      </c>
      <c r="G1636" s="8" t="s">
        <v>88</v>
      </c>
      <c r="H1636" t="s">
        <v>538</v>
      </c>
      <c r="I1636" t="e">
        <f>VLOOKUP(Tabela2[[#This Row],[Coluna7]],[1]!Tabela1[#All],2,0)</f>
        <v>#REF!</v>
      </c>
      <c r="J1636" t="s">
        <v>671</v>
      </c>
      <c r="L1636">
        <v>60</v>
      </c>
      <c r="Q1636" s="10" t="str">
        <f>Tabela2[[#This Row],[Coluna5]]</f>
        <v>01/2026</v>
      </c>
      <c r="R1636" s="10" t="str">
        <f>IF(Tabela2[[#This Row],[Coluna9]]&gt;0,"Entrada","Saída")</f>
        <v>Saída</v>
      </c>
      <c r="S1636" s="10" t="str">
        <f>Tabela2[[#This Row],[Coluna8]]</f>
        <v>MARCOS SANTOS DO CARMO</v>
      </c>
      <c r="T1636" s="10" t="e">
        <f>Tabela2[[#This Row],[Coluna72]]</f>
        <v>#REF!</v>
      </c>
      <c r="U1636" s="10">
        <f>SUM(Tabela2[[#This Row],[Coluna9]],Tabela2[[#This Row],[Coluna10]])</f>
        <v>60</v>
      </c>
      <c r="V1636" s="2" t="str">
        <f>Tabela2[[#This Row],[Coluna4]]</f>
        <v>14/01/2026</v>
      </c>
      <c r="W1636" s="2" t="str">
        <f>Tabela2[[#This Row],[Coluna6]]</f>
        <v>14/01/2026</v>
      </c>
    </row>
    <row r="1637" spans="2:23" x14ac:dyDescent="0.2">
      <c r="B1637" t="s">
        <v>18</v>
      </c>
      <c r="C1637" t="s">
        <v>95</v>
      </c>
      <c r="D1637" t="s">
        <v>13</v>
      </c>
      <c r="E1637" s="8" t="s">
        <v>88</v>
      </c>
      <c r="F1637" t="s">
        <v>84</v>
      </c>
      <c r="G1637" s="8" t="s">
        <v>88</v>
      </c>
      <c r="H1637" t="s">
        <v>546</v>
      </c>
      <c r="I1637" t="e">
        <f>VLOOKUP(Tabela2[[#This Row],[Coluna7]],[1]!Tabela1[#All],2,0)</f>
        <v>#REF!</v>
      </c>
      <c r="J1637" t="s">
        <v>547</v>
      </c>
      <c r="L1637">
        <v>50</v>
      </c>
      <c r="Q1637" s="10" t="str">
        <f>Tabela2[[#This Row],[Coluna5]]</f>
        <v>01/2026</v>
      </c>
      <c r="R1637" s="10" t="str">
        <f>IF(Tabela2[[#This Row],[Coluna9]]&gt;0,"Entrada","Saída")</f>
        <v>Saída</v>
      </c>
      <c r="S1637" s="10" t="str">
        <f>Tabela2[[#This Row],[Coluna8]]</f>
        <v>LEANDRO JOAO BATISTA DOS SANTOS</v>
      </c>
      <c r="T1637" s="10" t="e">
        <f>Tabela2[[#This Row],[Coluna72]]</f>
        <v>#REF!</v>
      </c>
      <c r="U1637" s="10">
        <f>SUM(Tabela2[[#This Row],[Coluna9]],Tabela2[[#This Row],[Coluna10]])</f>
        <v>50</v>
      </c>
      <c r="V1637" s="2" t="str">
        <f>Tabela2[[#This Row],[Coluna4]]</f>
        <v>14/01/2026</v>
      </c>
      <c r="W1637" s="2" t="str">
        <f>Tabela2[[#This Row],[Coluna6]]</f>
        <v>14/01/2026</v>
      </c>
    </row>
    <row r="1638" spans="2:23" x14ac:dyDescent="0.2">
      <c r="B1638" t="s">
        <v>18</v>
      </c>
      <c r="C1638" t="s">
        <v>95</v>
      </c>
      <c r="D1638" t="s">
        <v>13</v>
      </c>
      <c r="E1638" s="8" t="s">
        <v>89</v>
      </c>
      <c r="F1638" t="s">
        <v>84</v>
      </c>
      <c r="G1638" s="8" t="s">
        <v>89</v>
      </c>
      <c r="H1638" t="s">
        <v>580</v>
      </c>
      <c r="I1638" t="e">
        <f>VLOOKUP(Tabela2[[#This Row],[Coluna7]],[1]!Tabela1[#All],2,0)</f>
        <v>#REF!</v>
      </c>
      <c r="J1638" t="s">
        <v>672</v>
      </c>
      <c r="L1638">
        <v>371</v>
      </c>
      <c r="Q1638" s="10" t="str">
        <f>Tabela2[[#This Row],[Coluna5]]</f>
        <v>01/2026</v>
      </c>
      <c r="R1638" s="10" t="str">
        <f>IF(Tabela2[[#This Row],[Coluna9]]&gt;0,"Entrada","Saída")</f>
        <v>Saída</v>
      </c>
      <c r="S1638" s="10" t="str">
        <f>Tabela2[[#This Row],[Coluna8]]</f>
        <v>JASILA</v>
      </c>
      <c r="T1638" s="10" t="e">
        <f>Tabela2[[#This Row],[Coluna72]]</f>
        <v>#REF!</v>
      </c>
      <c r="U1638" s="10">
        <f>SUM(Tabela2[[#This Row],[Coluna9]],Tabela2[[#This Row],[Coluna10]])</f>
        <v>371</v>
      </c>
      <c r="V1638" s="2" t="str">
        <f>Tabela2[[#This Row],[Coluna4]]</f>
        <v>15/01/2026</v>
      </c>
      <c r="W1638" s="2" t="str">
        <f>Tabela2[[#This Row],[Coluna6]]</f>
        <v>15/01/2026</v>
      </c>
    </row>
    <row r="1639" spans="2:23" x14ac:dyDescent="0.2">
      <c r="B1639" t="s">
        <v>27</v>
      </c>
      <c r="C1639" t="s">
        <v>95</v>
      </c>
      <c r="D1639" t="s">
        <v>13</v>
      </c>
      <c r="E1639" s="8" t="s">
        <v>89</v>
      </c>
      <c r="F1639" t="s">
        <v>84</v>
      </c>
      <c r="G1639" s="8" t="s">
        <v>89</v>
      </c>
      <c r="H1639" t="s">
        <v>538</v>
      </c>
      <c r="I1639" t="e">
        <f>VLOOKUP(Tabela2[[#This Row],[Coluna7]],[1]!Tabela1[#All],2,0)</f>
        <v>#REF!</v>
      </c>
      <c r="J1639" t="s">
        <v>673</v>
      </c>
      <c r="L1639">
        <v>2035.63</v>
      </c>
      <c r="Q1639" s="10" t="str">
        <f>Tabela2[[#This Row],[Coluna5]]</f>
        <v>01/2026</v>
      </c>
      <c r="R1639" s="10" t="str">
        <f>IF(Tabela2[[#This Row],[Coluna9]]&gt;0,"Entrada","Saída")</f>
        <v>Saída</v>
      </c>
      <c r="S1639" s="10" t="str">
        <f>Tabela2[[#This Row],[Coluna8]]</f>
        <v>DÉBITO CARTÃO BRADESCO</v>
      </c>
      <c r="T1639" s="10" t="e">
        <f>Tabela2[[#This Row],[Coluna72]]</f>
        <v>#REF!</v>
      </c>
      <c r="U1639" s="10">
        <f>SUM(Tabela2[[#This Row],[Coluna9]],Tabela2[[#This Row],[Coluna10]])</f>
        <v>2035.63</v>
      </c>
      <c r="V1639" s="2" t="str">
        <f>Tabela2[[#This Row],[Coluna4]]</f>
        <v>15/01/2026</v>
      </c>
      <c r="W1639" s="2" t="str">
        <f>Tabela2[[#This Row],[Coluna6]]</f>
        <v>15/01/2026</v>
      </c>
    </row>
    <row r="1640" spans="2:23" x14ac:dyDescent="0.2">
      <c r="B1640" t="s">
        <v>18</v>
      </c>
      <c r="C1640" t="s">
        <v>95</v>
      </c>
      <c r="D1640" t="s">
        <v>13</v>
      </c>
      <c r="E1640" s="8" t="s">
        <v>352</v>
      </c>
      <c r="F1640" t="s">
        <v>84</v>
      </c>
      <c r="G1640" s="8" t="s">
        <v>352</v>
      </c>
      <c r="H1640" t="s">
        <v>580</v>
      </c>
      <c r="I1640" t="e">
        <f>VLOOKUP(Tabela2[[#This Row],[Coluna7]],[1]!Tabela1[#All],2,0)</f>
        <v>#REF!</v>
      </c>
      <c r="L1640">
        <v>1400</v>
      </c>
      <c r="N1640" t="s">
        <v>583</v>
      </c>
      <c r="Q1640" s="10" t="str">
        <f>Tabela2[[#This Row],[Coluna5]]</f>
        <v>01/2026</v>
      </c>
      <c r="R1640" s="10" t="str">
        <f>IF(Tabela2[[#This Row],[Coluna9]]&gt;0,"Entrada","Saída")</f>
        <v>Saída</v>
      </c>
      <c r="S1640" s="10">
        <f>Tabela2[[#This Row],[Coluna8]]</f>
        <v>0</v>
      </c>
      <c r="T1640" s="10" t="e">
        <f>Tabela2[[#This Row],[Coluna72]]</f>
        <v>#REF!</v>
      </c>
      <c r="U1640" s="10">
        <f>SUM(Tabela2[[#This Row],[Coluna9]],Tabela2[[#This Row],[Coluna10]])</f>
        <v>1400</v>
      </c>
      <c r="V1640" s="2" t="str">
        <f>Tabela2[[#This Row],[Coluna4]]</f>
        <v>16/01/2026</v>
      </c>
      <c r="W1640" s="2" t="str">
        <f>Tabela2[[#This Row],[Coluna6]]</f>
        <v>16/01/2026</v>
      </c>
    </row>
    <row r="1641" spans="2:23" x14ac:dyDescent="0.2">
      <c r="B1641" t="s">
        <v>18</v>
      </c>
      <c r="C1641" t="s">
        <v>95</v>
      </c>
      <c r="D1641" t="s">
        <v>13</v>
      </c>
      <c r="E1641" s="8" t="s">
        <v>352</v>
      </c>
      <c r="F1641" t="s">
        <v>84</v>
      </c>
      <c r="G1641" s="8" t="s">
        <v>352</v>
      </c>
      <c r="H1641" t="s">
        <v>546</v>
      </c>
      <c r="I1641" t="e">
        <f>VLOOKUP(Tabela2[[#This Row],[Coluna7]],[1]!Tabela1[#All],2,0)</f>
        <v>#REF!</v>
      </c>
      <c r="J1641" t="s">
        <v>584</v>
      </c>
      <c r="L1641">
        <v>210</v>
      </c>
      <c r="Q1641" s="10" t="str">
        <f>Tabela2[[#This Row],[Coluna5]]</f>
        <v>01/2026</v>
      </c>
      <c r="R1641" s="10" t="str">
        <f>IF(Tabela2[[#This Row],[Coluna9]]&gt;0,"Entrada","Saída")</f>
        <v>Saída</v>
      </c>
      <c r="S1641" s="10" t="str">
        <f>Tabela2[[#This Row],[Coluna8]]</f>
        <v>ELIEL ANTONIO DA SILVA</v>
      </c>
      <c r="T1641" s="10" t="e">
        <f>Tabela2[[#This Row],[Coluna72]]</f>
        <v>#REF!</v>
      </c>
      <c r="U1641" s="10">
        <f>SUM(Tabela2[[#This Row],[Coluna9]],Tabela2[[#This Row],[Coluna10]])</f>
        <v>210</v>
      </c>
      <c r="V1641" s="2" t="str">
        <f>Tabela2[[#This Row],[Coluna4]]</f>
        <v>16/01/2026</v>
      </c>
      <c r="W1641" s="2" t="str">
        <f>Tabela2[[#This Row],[Coluna6]]</f>
        <v>16/01/2026</v>
      </c>
    </row>
    <row r="1642" spans="2:23" x14ac:dyDescent="0.2">
      <c r="B1642" t="s">
        <v>18</v>
      </c>
      <c r="C1642" t="s">
        <v>95</v>
      </c>
      <c r="D1642" t="s">
        <v>13</v>
      </c>
      <c r="E1642" s="8" t="s">
        <v>352</v>
      </c>
      <c r="F1642" t="s">
        <v>84</v>
      </c>
      <c r="G1642" s="8" t="s">
        <v>352</v>
      </c>
      <c r="H1642" t="s">
        <v>546</v>
      </c>
      <c r="I1642" t="e">
        <f>VLOOKUP(Tabela2[[#This Row],[Coluna7]],[1]!Tabela1[#All],2,0)</f>
        <v>#REF!</v>
      </c>
      <c r="J1642" t="s">
        <v>547</v>
      </c>
      <c r="L1642">
        <v>100</v>
      </c>
      <c r="Q1642" s="10" t="str">
        <f>Tabela2[[#This Row],[Coluna5]]</f>
        <v>01/2026</v>
      </c>
      <c r="R1642" s="10" t="str">
        <f>IF(Tabela2[[#This Row],[Coluna9]]&gt;0,"Entrada","Saída")</f>
        <v>Saída</v>
      </c>
      <c r="S1642" s="10" t="str">
        <f>Tabela2[[#This Row],[Coluna8]]</f>
        <v>LEANDRO JOAO BATISTA DOS SANTOS</v>
      </c>
      <c r="T1642" s="10" t="e">
        <f>Tabela2[[#This Row],[Coluna72]]</f>
        <v>#REF!</v>
      </c>
      <c r="U1642" s="10">
        <f>SUM(Tabela2[[#This Row],[Coluna9]],Tabela2[[#This Row],[Coluna10]])</f>
        <v>100</v>
      </c>
      <c r="V1642" s="2" t="str">
        <f>Tabela2[[#This Row],[Coluna4]]</f>
        <v>16/01/2026</v>
      </c>
      <c r="W1642" s="2" t="str">
        <f>Tabela2[[#This Row],[Coluna6]]</f>
        <v>16/01/2026</v>
      </c>
    </row>
    <row r="1643" spans="2:23" x14ac:dyDescent="0.2">
      <c r="B1643" t="s">
        <v>18</v>
      </c>
      <c r="C1643" t="s">
        <v>95</v>
      </c>
      <c r="D1643" t="s">
        <v>13</v>
      </c>
      <c r="E1643" s="8" t="s">
        <v>352</v>
      </c>
      <c r="F1643" t="s">
        <v>84</v>
      </c>
      <c r="G1643" s="8" t="s">
        <v>352</v>
      </c>
      <c r="H1643" t="s">
        <v>538</v>
      </c>
      <c r="I1643" t="e">
        <f>VLOOKUP(Tabela2[[#This Row],[Coluna7]],[1]!Tabela1[#All],2,0)</f>
        <v>#REF!</v>
      </c>
      <c r="J1643" t="s">
        <v>674</v>
      </c>
      <c r="L1643">
        <v>426.1</v>
      </c>
      <c r="Q1643" s="10" t="str">
        <f>Tabela2[[#This Row],[Coluna5]]</f>
        <v>01/2026</v>
      </c>
      <c r="R1643" s="10" t="str">
        <f>IF(Tabela2[[#This Row],[Coluna9]]&gt;0,"Entrada","Saída")</f>
        <v>Saída</v>
      </c>
      <c r="S1643" s="10" t="str">
        <f>Tabela2[[#This Row],[Coluna8]]</f>
        <v>PANELA | PRATO | TAÇA</v>
      </c>
      <c r="T1643" s="10" t="e">
        <f>Tabela2[[#This Row],[Coluna72]]</f>
        <v>#REF!</v>
      </c>
      <c r="U1643" s="10">
        <f>SUM(Tabela2[[#This Row],[Coluna9]],Tabela2[[#This Row],[Coluna10]])</f>
        <v>426.1</v>
      </c>
      <c r="V1643" s="2" t="str">
        <f>Tabela2[[#This Row],[Coluna4]]</f>
        <v>16/01/2026</v>
      </c>
      <c r="W1643" s="2" t="str">
        <f>Tabela2[[#This Row],[Coluna6]]</f>
        <v>16/01/2026</v>
      </c>
    </row>
    <row r="1644" spans="2:23" x14ac:dyDescent="0.2">
      <c r="B1644" t="s">
        <v>18</v>
      </c>
      <c r="C1644" t="s">
        <v>95</v>
      </c>
      <c r="D1644" t="s">
        <v>13</v>
      </c>
      <c r="E1644" s="8" t="s">
        <v>515</v>
      </c>
      <c r="F1644" t="s">
        <v>84</v>
      </c>
      <c r="G1644" s="8" t="s">
        <v>515</v>
      </c>
      <c r="H1644" t="s">
        <v>546</v>
      </c>
      <c r="I1644" t="e">
        <f>VLOOKUP(Tabela2[[#This Row],[Coluna7]],[1]!Tabela1[#All],2,0)</f>
        <v>#REF!</v>
      </c>
      <c r="J1644" t="s">
        <v>547</v>
      </c>
      <c r="L1644">
        <v>485</v>
      </c>
      <c r="Q1644" s="10" t="str">
        <f>Tabela2[[#This Row],[Coluna5]]</f>
        <v>01/2026</v>
      </c>
      <c r="R1644" s="10" t="str">
        <f>IF(Tabela2[[#This Row],[Coluna9]]&gt;0,"Entrada","Saída")</f>
        <v>Saída</v>
      </c>
      <c r="S1644" s="10" t="str">
        <f>Tabela2[[#This Row],[Coluna8]]</f>
        <v>LEANDRO JOAO BATISTA DOS SANTOS</v>
      </c>
      <c r="T1644" s="10" t="e">
        <f>Tabela2[[#This Row],[Coluna72]]</f>
        <v>#REF!</v>
      </c>
      <c r="U1644" s="10">
        <f>SUM(Tabela2[[#This Row],[Coluna9]],Tabela2[[#This Row],[Coluna10]])</f>
        <v>485</v>
      </c>
      <c r="V1644" s="2" t="str">
        <f>Tabela2[[#This Row],[Coluna4]]</f>
        <v>17/01/2026</v>
      </c>
      <c r="W1644" s="2" t="str">
        <f>Tabela2[[#This Row],[Coluna6]]</f>
        <v>17/01/2026</v>
      </c>
    </row>
    <row r="1645" spans="2:23" x14ac:dyDescent="0.2">
      <c r="B1645" t="s">
        <v>18</v>
      </c>
      <c r="C1645" t="s">
        <v>95</v>
      </c>
      <c r="D1645" t="s">
        <v>13</v>
      </c>
      <c r="E1645" s="8" t="s">
        <v>515</v>
      </c>
      <c r="F1645" t="s">
        <v>84</v>
      </c>
      <c r="G1645" s="8" t="s">
        <v>515</v>
      </c>
      <c r="H1645" t="s">
        <v>538</v>
      </c>
      <c r="I1645" t="e">
        <f>VLOOKUP(Tabela2[[#This Row],[Coluna7]],[1]!Tabela1[#All],2,0)</f>
        <v>#REF!</v>
      </c>
      <c r="J1645" t="s">
        <v>675</v>
      </c>
      <c r="L1645">
        <v>130</v>
      </c>
      <c r="Q1645" s="10" t="str">
        <f>Tabela2[[#This Row],[Coluna5]]</f>
        <v>01/2026</v>
      </c>
      <c r="R1645" s="10" t="str">
        <f>IF(Tabela2[[#This Row],[Coluna9]]&gt;0,"Entrada","Saída")</f>
        <v>Saída</v>
      </c>
      <c r="S1645" s="10" t="str">
        <f>Tabela2[[#This Row],[Coluna8]]</f>
        <v>LUCIANA DA SILVA SOUZA - CONFIRMAR CATEGORIA</v>
      </c>
      <c r="T1645" s="10" t="e">
        <f>Tabela2[[#This Row],[Coluna72]]</f>
        <v>#REF!</v>
      </c>
      <c r="U1645" s="10">
        <f>SUM(Tabela2[[#This Row],[Coluna9]],Tabela2[[#This Row],[Coluna10]])</f>
        <v>130</v>
      </c>
      <c r="V1645" s="2" t="str">
        <f>Tabela2[[#This Row],[Coluna4]]</f>
        <v>17/01/2026</v>
      </c>
      <c r="W1645" s="2" t="str">
        <f>Tabela2[[#This Row],[Coluna6]]</f>
        <v>17/01/2026</v>
      </c>
    </row>
    <row r="1646" spans="2:23" x14ac:dyDescent="0.2">
      <c r="B1646" t="s">
        <v>18</v>
      </c>
      <c r="C1646" t="s">
        <v>95</v>
      </c>
      <c r="D1646" t="s">
        <v>13</v>
      </c>
      <c r="E1646" s="8" t="s">
        <v>515</v>
      </c>
      <c r="F1646" t="s">
        <v>84</v>
      </c>
      <c r="G1646" s="8" t="s">
        <v>515</v>
      </c>
      <c r="H1646" t="s">
        <v>546</v>
      </c>
      <c r="I1646" t="e">
        <f>VLOOKUP(Tabela2[[#This Row],[Coluna7]],[1]!Tabela1[#All],2,0)</f>
        <v>#REF!</v>
      </c>
      <c r="J1646" t="s">
        <v>584</v>
      </c>
      <c r="L1646">
        <v>1000</v>
      </c>
      <c r="Q1646" s="10" t="str">
        <f>Tabela2[[#This Row],[Coluna5]]</f>
        <v>01/2026</v>
      </c>
      <c r="R1646" s="10" t="str">
        <f>IF(Tabela2[[#This Row],[Coluna9]]&gt;0,"Entrada","Saída")</f>
        <v>Saída</v>
      </c>
      <c r="S1646" s="10" t="str">
        <f>Tabela2[[#This Row],[Coluna8]]</f>
        <v>ELIEL ANTONIO DA SILVA</v>
      </c>
      <c r="T1646" s="10" t="e">
        <f>Tabela2[[#This Row],[Coluna72]]</f>
        <v>#REF!</v>
      </c>
      <c r="U1646" s="10">
        <f>SUM(Tabela2[[#This Row],[Coluna9]],Tabela2[[#This Row],[Coluna10]])</f>
        <v>1000</v>
      </c>
      <c r="V1646" s="2" t="str">
        <f>Tabela2[[#This Row],[Coluna4]]</f>
        <v>17/01/2026</v>
      </c>
      <c r="W1646" s="2" t="str">
        <f>Tabela2[[#This Row],[Coluna6]]</f>
        <v>17/01/2026</v>
      </c>
    </row>
    <row r="1647" spans="2:23" x14ac:dyDescent="0.2">
      <c r="B1647" t="s">
        <v>18</v>
      </c>
      <c r="C1647" t="s">
        <v>95</v>
      </c>
      <c r="D1647" t="s">
        <v>13</v>
      </c>
      <c r="E1647" s="8" t="s">
        <v>676</v>
      </c>
      <c r="F1647" t="s">
        <v>84</v>
      </c>
      <c r="G1647" s="8" t="s">
        <v>676</v>
      </c>
      <c r="H1647" t="s">
        <v>580</v>
      </c>
      <c r="I1647" t="e">
        <f>VLOOKUP(Tabela2[[#This Row],[Coluna7]],[1]!Tabela1[#All],2,0)</f>
        <v>#REF!</v>
      </c>
      <c r="L1647">
        <v>150</v>
      </c>
      <c r="N1647" t="s">
        <v>583</v>
      </c>
      <c r="Q1647" s="10" t="str">
        <f>Tabela2[[#This Row],[Coluna5]]</f>
        <v>01/2026</v>
      </c>
      <c r="R1647" s="10" t="str">
        <f>IF(Tabela2[[#This Row],[Coluna9]]&gt;0,"Entrada","Saída")</f>
        <v>Saída</v>
      </c>
      <c r="S1647" s="10">
        <f>Tabela2[[#This Row],[Coluna8]]</f>
        <v>0</v>
      </c>
      <c r="T1647" s="10" t="e">
        <f>Tabela2[[#This Row],[Coluna72]]</f>
        <v>#REF!</v>
      </c>
      <c r="U1647" s="10">
        <f>SUM(Tabela2[[#This Row],[Coluna9]],Tabela2[[#This Row],[Coluna10]])</f>
        <v>150</v>
      </c>
      <c r="V1647" s="2" t="str">
        <f>Tabela2[[#This Row],[Coluna4]]</f>
        <v>18/01/2026</v>
      </c>
      <c r="W1647" s="2" t="str">
        <f>Tabela2[[#This Row],[Coluna6]]</f>
        <v>18/01/2026</v>
      </c>
    </row>
    <row r="1648" spans="2:23" x14ac:dyDescent="0.2">
      <c r="B1648" t="s">
        <v>18</v>
      </c>
      <c r="C1648" t="s">
        <v>95</v>
      </c>
      <c r="D1648" t="s">
        <v>13</v>
      </c>
      <c r="E1648" s="8" t="s">
        <v>90</v>
      </c>
      <c r="F1648" t="s">
        <v>84</v>
      </c>
      <c r="G1648" s="8" t="s">
        <v>90</v>
      </c>
      <c r="H1648" t="s">
        <v>580</v>
      </c>
      <c r="I1648" t="e">
        <f>VLOOKUP(Tabela2[[#This Row],[Coluna7]],[1]!Tabela1[#All],2,0)</f>
        <v>#REF!</v>
      </c>
      <c r="L1648">
        <v>300</v>
      </c>
      <c r="N1648" t="s">
        <v>499</v>
      </c>
      <c r="Q1648" s="10" t="str">
        <f>Tabela2[[#This Row],[Coluna5]]</f>
        <v>01/2026</v>
      </c>
      <c r="R1648" s="10" t="str">
        <f>IF(Tabela2[[#This Row],[Coluna9]]&gt;0,"Entrada","Saída")</f>
        <v>Saída</v>
      </c>
      <c r="S1648" s="10">
        <f>Tabela2[[#This Row],[Coluna8]]</f>
        <v>0</v>
      </c>
      <c r="T1648" s="10" t="e">
        <f>Tabela2[[#This Row],[Coluna72]]</f>
        <v>#REF!</v>
      </c>
      <c r="U1648" s="10">
        <f>SUM(Tabela2[[#This Row],[Coluna9]],Tabela2[[#This Row],[Coluna10]])</f>
        <v>300</v>
      </c>
      <c r="V1648" s="2" t="str">
        <f>Tabela2[[#This Row],[Coluna4]]</f>
        <v>19/01/2026</v>
      </c>
      <c r="W1648" s="2" t="str">
        <f>Tabela2[[#This Row],[Coluna6]]</f>
        <v>19/01/2026</v>
      </c>
    </row>
    <row r="1649" spans="2:23" x14ac:dyDescent="0.2">
      <c r="B1649" t="s">
        <v>27</v>
      </c>
      <c r="C1649" t="s">
        <v>95</v>
      </c>
      <c r="D1649" t="s">
        <v>13</v>
      </c>
      <c r="E1649" s="8" t="s">
        <v>90</v>
      </c>
      <c r="F1649" t="s">
        <v>84</v>
      </c>
      <c r="G1649" s="8" t="s">
        <v>90</v>
      </c>
      <c r="H1649" t="s">
        <v>538</v>
      </c>
      <c r="I1649" t="e">
        <f>VLOOKUP(Tabela2[[#This Row],[Coluna7]],[1]!Tabela1[#All],2,0)</f>
        <v>#REF!</v>
      </c>
      <c r="J1649" t="s">
        <v>677</v>
      </c>
      <c r="L1649">
        <v>1700</v>
      </c>
      <c r="Q1649" s="10" t="str">
        <f>Tabela2[[#This Row],[Coluna5]]</f>
        <v>01/2026</v>
      </c>
      <c r="R1649" s="10" t="str">
        <f>IF(Tabela2[[#This Row],[Coluna9]]&gt;0,"Entrada","Saída")</f>
        <v>Saída</v>
      </c>
      <c r="S1649" s="10" t="str">
        <f>Tabela2[[#This Row],[Coluna8]]</f>
        <v>LUCIANO SILVA DE ALBU</v>
      </c>
      <c r="T1649" s="10" t="e">
        <f>Tabela2[[#This Row],[Coluna72]]</f>
        <v>#REF!</v>
      </c>
      <c r="U1649" s="10">
        <f>SUM(Tabela2[[#This Row],[Coluna9]],Tabela2[[#This Row],[Coluna10]])</f>
        <v>1700</v>
      </c>
      <c r="V1649" s="2" t="str">
        <f>Tabela2[[#This Row],[Coluna4]]</f>
        <v>19/01/2026</v>
      </c>
      <c r="W1649" s="2" t="str">
        <f>Tabela2[[#This Row],[Coluna6]]</f>
        <v>19/01/2026</v>
      </c>
    </row>
    <row r="1650" spans="2:23" x14ac:dyDescent="0.2">
      <c r="B1650" t="s">
        <v>12</v>
      </c>
      <c r="C1650" t="s">
        <v>95</v>
      </c>
      <c r="D1650" t="s">
        <v>13</v>
      </c>
      <c r="E1650" s="8" t="s">
        <v>90</v>
      </c>
      <c r="F1650" t="s">
        <v>84</v>
      </c>
      <c r="G1650" s="8" t="s">
        <v>90</v>
      </c>
      <c r="H1650" t="s">
        <v>580</v>
      </c>
      <c r="I1650" t="e">
        <f>VLOOKUP(Tabela2[[#This Row],[Coluna7]],[1]!Tabela1[#All],2,0)</f>
        <v>#REF!</v>
      </c>
      <c r="L1650">
        <v>300</v>
      </c>
      <c r="N1650" t="s">
        <v>517</v>
      </c>
      <c r="Q1650" s="10" t="str">
        <f>Tabela2[[#This Row],[Coluna5]]</f>
        <v>01/2026</v>
      </c>
      <c r="R1650" s="10" t="str">
        <f>IF(Tabela2[[#This Row],[Coluna9]]&gt;0,"Entrada","Saída")</f>
        <v>Saída</v>
      </c>
      <c r="S1650" s="10">
        <f>Tabela2[[#This Row],[Coluna8]]</f>
        <v>0</v>
      </c>
      <c r="T1650" s="10" t="e">
        <f>Tabela2[[#This Row],[Coluna72]]</f>
        <v>#REF!</v>
      </c>
      <c r="U1650" s="10">
        <f>SUM(Tabela2[[#This Row],[Coluna9]],Tabela2[[#This Row],[Coluna10]])</f>
        <v>300</v>
      </c>
      <c r="V1650" s="2" t="str">
        <f>Tabela2[[#This Row],[Coluna4]]</f>
        <v>19/01/2026</v>
      </c>
      <c r="W1650" s="2" t="str">
        <f>Tabela2[[#This Row],[Coluna6]]</f>
        <v>19/01/2026</v>
      </c>
    </row>
    <row r="1651" spans="2:23" x14ac:dyDescent="0.2">
      <c r="B1651" t="s">
        <v>18</v>
      </c>
      <c r="C1651" t="s">
        <v>125</v>
      </c>
      <c r="D1651" t="s">
        <v>13</v>
      </c>
      <c r="E1651" s="8" t="s">
        <v>91</v>
      </c>
      <c r="F1651" t="s">
        <v>84</v>
      </c>
      <c r="G1651" s="8" t="s">
        <v>356</v>
      </c>
      <c r="H1651" t="s">
        <v>551</v>
      </c>
      <c r="I1651" t="e">
        <f>VLOOKUP(Tabela2[[#This Row],[Coluna7]],[1]!Tabela1[#All],2,0)</f>
        <v>#REF!</v>
      </c>
      <c r="L1651">
        <v>237.91</v>
      </c>
      <c r="N1651" t="s">
        <v>678</v>
      </c>
      <c r="Q1651" s="10" t="str">
        <f>Tabela2[[#This Row],[Coluna5]]</f>
        <v>01/2026</v>
      </c>
      <c r="R1651" s="10" t="str">
        <f>IF(Tabela2[[#This Row],[Coluna9]]&gt;0,"Entrada","Saída")</f>
        <v>Saída</v>
      </c>
      <c r="S1651" s="10">
        <f>Tabela2[[#This Row],[Coluna8]]</f>
        <v>0</v>
      </c>
      <c r="T1651" s="10" t="e">
        <f>Tabela2[[#This Row],[Coluna72]]</f>
        <v>#REF!</v>
      </c>
      <c r="U1651" s="10">
        <f>SUM(Tabela2[[#This Row],[Coluna9]],Tabela2[[#This Row],[Coluna10]])</f>
        <v>237.91</v>
      </c>
      <c r="V1651" s="2" t="str">
        <f>Tabela2[[#This Row],[Coluna4]]</f>
        <v>20/01/2026</v>
      </c>
      <c r="W1651" s="2" t="str">
        <f>Tabela2[[#This Row],[Coluna6]]</f>
        <v>21/01/2026</v>
      </c>
    </row>
    <row r="1652" spans="2:23" x14ac:dyDescent="0.2">
      <c r="B1652" t="s">
        <v>18</v>
      </c>
      <c r="C1652" t="s">
        <v>95</v>
      </c>
      <c r="D1652" t="s">
        <v>13</v>
      </c>
      <c r="E1652" s="8" t="s">
        <v>91</v>
      </c>
      <c r="F1652" t="s">
        <v>84</v>
      </c>
      <c r="G1652" s="8" t="s">
        <v>91</v>
      </c>
      <c r="H1652" t="s">
        <v>595</v>
      </c>
      <c r="I1652" t="e">
        <f>VLOOKUP(Tabela2[[#This Row],[Coluna7]],[1]!Tabela1[#All],2,0)</f>
        <v>#REF!</v>
      </c>
      <c r="L1652">
        <v>613.16999999999996</v>
      </c>
      <c r="N1652" t="s">
        <v>420</v>
      </c>
      <c r="Q1652" s="10" t="str">
        <f>Tabela2[[#This Row],[Coluna5]]</f>
        <v>01/2026</v>
      </c>
      <c r="R1652" s="10" t="str">
        <f>IF(Tabela2[[#This Row],[Coluna9]]&gt;0,"Entrada","Saída")</f>
        <v>Saída</v>
      </c>
      <c r="S1652" s="10">
        <f>Tabela2[[#This Row],[Coluna8]]</f>
        <v>0</v>
      </c>
      <c r="T1652" s="10" t="e">
        <f>Tabela2[[#This Row],[Coluna72]]</f>
        <v>#REF!</v>
      </c>
      <c r="U1652" s="10">
        <f>SUM(Tabela2[[#This Row],[Coluna9]],Tabela2[[#This Row],[Coluna10]])</f>
        <v>613.16999999999996</v>
      </c>
      <c r="V1652" s="2" t="str">
        <f>Tabela2[[#This Row],[Coluna4]]</f>
        <v>20/01/2026</v>
      </c>
      <c r="W1652" s="2" t="str">
        <f>Tabela2[[#This Row],[Coluna6]]</f>
        <v>20/01/2026</v>
      </c>
    </row>
    <row r="1653" spans="2:23" x14ac:dyDescent="0.2">
      <c r="B1653" t="s">
        <v>18</v>
      </c>
      <c r="C1653" t="s">
        <v>95</v>
      </c>
      <c r="D1653" t="s">
        <v>13</v>
      </c>
      <c r="E1653" s="8" t="s">
        <v>91</v>
      </c>
      <c r="F1653" t="s">
        <v>84</v>
      </c>
      <c r="G1653" s="8" t="s">
        <v>91</v>
      </c>
      <c r="H1653" t="s">
        <v>595</v>
      </c>
      <c r="I1653" t="e">
        <f>VLOOKUP(Tabela2[[#This Row],[Coluna7]],[1]!Tabela1[#All],2,0)</f>
        <v>#REF!</v>
      </c>
      <c r="L1653">
        <v>3265.46</v>
      </c>
      <c r="N1653" t="s">
        <v>396</v>
      </c>
      <c r="Q1653" s="10" t="str">
        <f>Tabela2[[#This Row],[Coluna5]]</f>
        <v>01/2026</v>
      </c>
      <c r="R1653" s="10" t="str">
        <f>IF(Tabela2[[#This Row],[Coluna9]]&gt;0,"Entrada","Saída")</f>
        <v>Saída</v>
      </c>
      <c r="S1653" s="10">
        <f>Tabela2[[#This Row],[Coluna8]]</f>
        <v>0</v>
      </c>
      <c r="T1653" s="10" t="e">
        <f>Tabela2[[#This Row],[Coluna72]]</f>
        <v>#REF!</v>
      </c>
      <c r="U1653" s="10">
        <f>SUM(Tabela2[[#This Row],[Coluna9]],Tabela2[[#This Row],[Coluna10]])</f>
        <v>3265.46</v>
      </c>
      <c r="V1653" s="2" t="str">
        <f>Tabela2[[#This Row],[Coluna4]]</f>
        <v>20/01/2026</v>
      </c>
      <c r="W1653" s="2" t="str">
        <f>Tabela2[[#This Row],[Coluna6]]</f>
        <v>20/01/2026</v>
      </c>
    </row>
    <row r="1654" spans="2:23" x14ac:dyDescent="0.2">
      <c r="B1654" t="s">
        <v>12</v>
      </c>
      <c r="C1654" t="s">
        <v>95</v>
      </c>
      <c r="D1654" t="s">
        <v>13</v>
      </c>
      <c r="E1654" s="8" t="s">
        <v>91</v>
      </c>
      <c r="F1654" t="s">
        <v>84</v>
      </c>
      <c r="G1654" s="8" t="s">
        <v>91</v>
      </c>
      <c r="H1654" t="s">
        <v>580</v>
      </c>
      <c r="I1654" t="e">
        <f>VLOOKUP(Tabela2[[#This Row],[Coluna7]],[1]!Tabela1[#All],2,0)</f>
        <v>#REF!</v>
      </c>
      <c r="L1654">
        <v>63.55</v>
      </c>
      <c r="N1654" t="s">
        <v>517</v>
      </c>
      <c r="Q1654" s="10" t="str">
        <f>Tabela2[[#This Row],[Coluna5]]</f>
        <v>01/2026</v>
      </c>
      <c r="R1654" s="10" t="str">
        <f>IF(Tabela2[[#This Row],[Coluna9]]&gt;0,"Entrada","Saída")</f>
        <v>Saída</v>
      </c>
      <c r="S1654" s="10">
        <f>Tabela2[[#This Row],[Coluna8]]</f>
        <v>0</v>
      </c>
      <c r="T1654" s="10" t="e">
        <f>Tabela2[[#This Row],[Coluna72]]</f>
        <v>#REF!</v>
      </c>
      <c r="U1654" s="10">
        <f>SUM(Tabela2[[#This Row],[Coluna9]],Tabela2[[#This Row],[Coluna10]])</f>
        <v>63.55</v>
      </c>
      <c r="V1654" s="2" t="str">
        <f>Tabela2[[#This Row],[Coluna4]]</f>
        <v>20/01/2026</v>
      </c>
      <c r="W1654" s="2" t="str">
        <f>Tabela2[[#This Row],[Coluna6]]</f>
        <v>20/01/2026</v>
      </c>
    </row>
    <row r="1655" spans="2:23" x14ac:dyDescent="0.2">
      <c r="B1655" t="s">
        <v>18</v>
      </c>
      <c r="C1655" t="s">
        <v>95</v>
      </c>
      <c r="D1655" t="s">
        <v>13</v>
      </c>
      <c r="E1655" s="8" t="s">
        <v>356</v>
      </c>
      <c r="F1655" t="s">
        <v>84</v>
      </c>
      <c r="G1655" s="8" t="s">
        <v>356</v>
      </c>
      <c r="H1655" t="s">
        <v>580</v>
      </c>
      <c r="I1655" t="e">
        <f>VLOOKUP(Tabela2[[#This Row],[Coluna7]],[1]!Tabela1[#All],2,0)</f>
        <v>#REF!</v>
      </c>
      <c r="L1655">
        <v>120</v>
      </c>
      <c r="N1655" t="s">
        <v>583</v>
      </c>
      <c r="Q1655" s="10" t="str">
        <f>Tabela2[[#This Row],[Coluna5]]</f>
        <v>01/2026</v>
      </c>
      <c r="R1655" s="10" t="str">
        <f>IF(Tabela2[[#This Row],[Coluna9]]&gt;0,"Entrada","Saída")</f>
        <v>Saída</v>
      </c>
      <c r="S1655" s="10">
        <f>Tabela2[[#This Row],[Coluna8]]</f>
        <v>0</v>
      </c>
      <c r="T1655" s="10" t="e">
        <f>Tabela2[[#This Row],[Coluna72]]</f>
        <v>#REF!</v>
      </c>
      <c r="U1655" s="10">
        <f>SUM(Tabela2[[#This Row],[Coluna9]],Tabela2[[#This Row],[Coluna10]])</f>
        <v>120</v>
      </c>
      <c r="V1655" s="2" t="str">
        <f>Tabela2[[#This Row],[Coluna4]]</f>
        <v>21/01/2026</v>
      </c>
      <c r="W1655" s="2" t="str">
        <f>Tabela2[[#This Row],[Coluna6]]</f>
        <v>21/01/2026</v>
      </c>
    </row>
    <row r="1656" spans="2:23" x14ac:dyDescent="0.2">
      <c r="B1656" t="s">
        <v>18</v>
      </c>
      <c r="C1656" t="s">
        <v>95</v>
      </c>
      <c r="D1656" t="s">
        <v>13</v>
      </c>
      <c r="E1656" s="8" t="s">
        <v>356</v>
      </c>
      <c r="F1656" t="s">
        <v>84</v>
      </c>
      <c r="G1656" s="8" t="s">
        <v>356</v>
      </c>
      <c r="H1656" t="s">
        <v>570</v>
      </c>
      <c r="I1656" t="e">
        <f>VLOOKUP(Tabela2[[#This Row],[Coluna7]],[1]!Tabela1[#All],2,0)</f>
        <v>#REF!</v>
      </c>
      <c r="J1656" t="s">
        <v>679</v>
      </c>
      <c r="L1656">
        <v>195.08</v>
      </c>
      <c r="Q1656" s="10" t="str">
        <f>Tabela2[[#This Row],[Coluna5]]</f>
        <v>01/2026</v>
      </c>
      <c r="R1656" s="10" t="str">
        <f>IF(Tabela2[[#This Row],[Coluna9]]&gt;0,"Entrada","Saída")</f>
        <v>Saída</v>
      </c>
      <c r="S1656" s="10" t="str">
        <f>Tabela2[[#This Row],[Coluna8]]</f>
        <v>ILUMINAÇÃO</v>
      </c>
      <c r="T1656" s="10" t="e">
        <f>Tabela2[[#This Row],[Coluna72]]</f>
        <v>#REF!</v>
      </c>
      <c r="U1656" s="10">
        <f>SUM(Tabela2[[#This Row],[Coluna9]],Tabela2[[#This Row],[Coluna10]])</f>
        <v>195.08</v>
      </c>
      <c r="V1656" s="2" t="str">
        <f>Tabela2[[#This Row],[Coluna4]]</f>
        <v>21/01/2026</v>
      </c>
      <c r="W1656" s="2" t="str">
        <f>Tabela2[[#This Row],[Coluna6]]</f>
        <v>21/01/2026</v>
      </c>
    </row>
    <row r="1657" spans="2:23" x14ac:dyDescent="0.2">
      <c r="B1657" t="s">
        <v>18</v>
      </c>
      <c r="C1657" t="s">
        <v>95</v>
      </c>
      <c r="D1657" t="s">
        <v>13</v>
      </c>
      <c r="E1657" s="8" t="s">
        <v>356</v>
      </c>
      <c r="F1657" t="s">
        <v>84</v>
      </c>
      <c r="G1657" s="8" t="s">
        <v>356</v>
      </c>
      <c r="H1657" t="s">
        <v>580</v>
      </c>
      <c r="I1657" t="e">
        <f>VLOOKUP(Tabela2[[#This Row],[Coluna7]],[1]!Tabela1[#All],2,0)</f>
        <v>#REF!</v>
      </c>
      <c r="L1657">
        <v>1700</v>
      </c>
      <c r="N1657" t="s">
        <v>583</v>
      </c>
      <c r="Q1657" s="10" t="str">
        <f>Tabela2[[#This Row],[Coluna5]]</f>
        <v>01/2026</v>
      </c>
      <c r="R1657" s="10" t="str">
        <f>IF(Tabela2[[#This Row],[Coluna9]]&gt;0,"Entrada","Saída")</f>
        <v>Saída</v>
      </c>
      <c r="S1657" s="10">
        <f>Tabela2[[#This Row],[Coluna8]]</f>
        <v>0</v>
      </c>
      <c r="T1657" s="10" t="e">
        <f>Tabela2[[#This Row],[Coluna72]]</f>
        <v>#REF!</v>
      </c>
      <c r="U1657" s="10">
        <f>SUM(Tabela2[[#This Row],[Coluna9]],Tabela2[[#This Row],[Coluna10]])</f>
        <v>1700</v>
      </c>
      <c r="V1657" s="2" t="str">
        <f>Tabela2[[#This Row],[Coluna4]]</f>
        <v>21/01/2026</v>
      </c>
      <c r="W1657" s="2" t="str">
        <f>Tabela2[[#This Row],[Coluna6]]</f>
        <v>21/01/2026</v>
      </c>
    </row>
    <row r="1658" spans="2:23" x14ac:dyDescent="0.2">
      <c r="B1658" t="s">
        <v>12</v>
      </c>
      <c r="C1658" t="s">
        <v>95</v>
      </c>
      <c r="D1658" t="s">
        <v>13</v>
      </c>
      <c r="E1658" s="8" t="s">
        <v>356</v>
      </c>
      <c r="F1658" t="s">
        <v>84</v>
      </c>
      <c r="G1658" s="8" t="s">
        <v>356</v>
      </c>
      <c r="H1658" t="s">
        <v>595</v>
      </c>
      <c r="I1658" t="e">
        <f>VLOOKUP(Tabela2[[#This Row],[Coluna7]],[1]!Tabela1[#All],2,0)</f>
        <v>#REF!</v>
      </c>
      <c r="L1658">
        <v>1438.61</v>
      </c>
      <c r="N1658" t="s">
        <v>596</v>
      </c>
      <c r="Q1658" s="10" t="str">
        <f>Tabela2[[#This Row],[Coluna5]]</f>
        <v>01/2026</v>
      </c>
      <c r="R1658" s="10" t="str">
        <f>IF(Tabela2[[#This Row],[Coluna9]]&gt;0,"Entrada","Saída")</f>
        <v>Saída</v>
      </c>
      <c r="S1658" s="10">
        <f>Tabela2[[#This Row],[Coluna8]]</f>
        <v>0</v>
      </c>
      <c r="T1658" s="10" t="e">
        <f>Tabela2[[#This Row],[Coluna72]]</f>
        <v>#REF!</v>
      </c>
      <c r="U1658" s="10">
        <f>SUM(Tabela2[[#This Row],[Coluna9]],Tabela2[[#This Row],[Coluna10]])</f>
        <v>1438.61</v>
      </c>
      <c r="V1658" s="2" t="str">
        <f>Tabela2[[#This Row],[Coluna4]]</f>
        <v>21/01/2026</v>
      </c>
      <c r="W1658" s="2" t="str">
        <f>Tabela2[[#This Row],[Coluna6]]</f>
        <v>21/01/2026</v>
      </c>
    </row>
    <row r="1659" spans="2:23" x14ac:dyDescent="0.2">
      <c r="B1659" t="s">
        <v>12</v>
      </c>
      <c r="C1659" t="s">
        <v>95</v>
      </c>
      <c r="D1659" t="s">
        <v>13</v>
      </c>
      <c r="E1659" s="8" t="s">
        <v>92</v>
      </c>
      <c r="F1659" t="s">
        <v>84</v>
      </c>
      <c r="G1659" s="8" t="s">
        <v>92</v>
      </c>
      <c r="H1659" t="s">
        <v>580</v>
      </c>
      <c r="I1659" t="e">
        <f>VLOOKUP(Tabela2[[#This Row],[Coluna7]],[1]!Tabela1[#All],2,0)</f>
        <v>#REF!</v>
      </c>
      <c r="L1659">
        <v>220</v>
      </c>
      <c r="N1659" t="s">
        <v>583</v>
      </c>
      <c r="Q1659" s="10" t="str">
        <f>Tabela2[[#This Row],[Coluna5]]</f>
        <v>01/2026</v>
      </c>
      <c r="R1659" s="10" t="str">
        <f>IF(Tabela2[[#This Row],[Coluna9]]&gt;0,"Entrada","Saída")</f>
        <v>Saída</v>
      </c>
      <c r="S1659" s="10">
        <f>Tabela2[[#This Row],[Coluna8]]</f>
        <v>0</v>
      </c>
      <c r="T1659" s="10" t="e">
        <f>Tabela2[[#This Row],[Coluna72]]</f>
        <v>#REF!</v>
      </c>
      <c r="U1659" s="10">
        <f>SUM(Tabela2[[#This Row],[Coluna9]],Tabela2[[#This Row],[Coluna10]])</f>
        <v>220</v>
      </c>
      <c r="V1659" s="2" t="str">
        <f>Tabela2[[#This Row],[Coluna4]]</f>
        <v>22/01/2026</v>
      </c>
      <c r="W1659" s="2" t="str">
        <f>Tabela2[[#This Row],[Coluna6]]</f>
        <v>22/01/2026</v>
      </c>
    </row>
    <row r="1660" spans="2:23" x14ac:dyDescent="0.2">
      <c r="B1660" t="s">
        <v>18</v>
      </c>
      <c r="C1660" t="s">
        <v>95</v>
      </c>
      <c r="D1660" t="s">
        <v>13</v>
      </c>
      <c r="E1660" s="8" t="s">
        <v>357</v>
      </c>
      <c r="F1660" t="s">
        <v>84</v>
      </c>
      <c r="G1660" s="8" t="s">
        <v>357</v>
      </c>
      <c r="H1660" t="s">
        <v>580</v>
      </c>
      <c r="I1660" t="e">
        <f>VLOOKUP(Tabela2[[#This Row],[Coluna7]],[1]!Tabela1[#All],2,0)</f>
        <v>#REF!</v>
      </c>
      <c r="J1660" t="s">
        <v>680</v>
      </c>
      <c r="L1660">
        <v>3477.14</v>
      </c>
      <c r="N1660" t="s">
        <v>681</v>
      </c>
      <c r="Q1660" s="10" t="str">
        <f>Tabela2[[#This Row],[Coluna5]]</f>
        <v>01/2026</v>
      </c>
      <c r="R1660" s="10" t="str">
        <f>IF(Tabela2[[#This Row],[Coluna9]]&gt;0,"Entrada","Saída")</f>
        <v>Saída</v>
      </c>
      <c r="S1660" s="10" t="str">
        <f>Tabela2[[#This Row],[Coluna8]]</f>
        <v>OUT | NOV | DEZ</v>
      </c>
      <c r="T1660" s="10" t="e">
        <f>Tabela2[[#This Row],[Coluna72]]</f>
        <v>#REF!</v>
      </c>
      <c r="U1660" s="10">
        <f>SUM(Tabela2[[#This Row],[Coluna9]],Tabela2[[#This Row],[Coluna10]])</f>
        <v>3477.14</v>
      </c>
      <c r="V1660" s="2" t="str">
        <f>Tabela2[[#This Row],[Coluna4]]</f>
        <v>23/01/2026</v>
      </c>
      <c r="W1660" s="2" t="str">
        <f>Tabela2[[#This Row],[Coluna6]]</f>
        <v>23/01/2026</v>
      </c>
    </row>
    <row r="1661" spans="2:23" x14ac:dyDescent="0.2">
      <c r="B1661" t="s">
        <v>18</v>
      </c>
      <c r="C1661" t="s">
        <v>95</v>
      </c>
      <c r="D1661" t="s">
        <v>13</v>
      </c>
      <c r="E1661" s="8" t="s">
        <v>357</v>
      </c>
      <c r="F1661" t="s">
        <v>84</v>
      </c>
      <c r="G1661" s="8" t="s">
        <v>357</v>
      </c>
      <c r="H1661" t="s">
        <v>580</v>
      </c>
      <c r="I1661" t="e">
        <f>VLOOKUP(Tabela2[[#This Row],[Coluna7]],[1]!Tabela1[#All],2,0)</f>
        <v>#REF!</v>
      </c>
      <c r="J1661" t="s">
        <v>682</v>
      </c>
      <c r="L1661">
        <v>531.70000000000005</v>
      </c>
      <c r="Q1661" s="10" t="str">
        <f>Tabela2[[#This Row],[Coluna5]]</f>
        <v>01/2026</v>
      </c>
      <c r="R1661" s="10" t="str">
        <f>IF(Tabela2[[#This Row],[Coluna9]]&gt;0,"Entrada","Saída")</f>
        <v>Saída</v>
      </c>
      <c r="S1661" s="10" t="str">
        <f>Tabela2[[#This Row],[Coluna8]]</f>
        <v>IGOR GUSTAVO LOPES</v>
      </c>
      <c r="T1661" s="10" t="e">
        <f>Tabela2[[#This Row],[Coluna72]]</f>
        <v>#REF!</v>
      </c>
      <c r="U1661" s="10">
        <f>SUM(Tabela2[[#This Row],[Coluna9]],Tabela2[[#This Row],[Coluna10]])</f>
        <v>531.70000000000005</v>
      </c>
      <c r="V1661" s="2" t="str">
        <f>Tabela2[[#This Row],[Coluna4]]</f>
        <v>23/01/2026</v>
      </c>
      <c r="W1661" s="2" t="str">
        <f>Tabela2[[#This Row],[Coluna6]]</f>
        <v>23/01/2026</v>
      </c>
    </row>
    <row r="1662" spans="2:23" x14ac:dyDescent="0.2">
      <c r="B1662" t="s">
        <v>18</v>
      </c>
      <c r="C1662" t="s">
        <v>95</v>
      </c>
      <c r="D1662" t="s">
        <v>13</v>
      </c>
      <c r="E1662" s="8" t="s">
        <v>357</v>
      </c>
      <c r="F1662" t="s">
        <v>84</v>
      </c>
      <c r="G1662" s="8" t="s">
        <v>357</v>
      </c>
      <c r="H1662" t="s">
        <v>538</v>
      </c>
      <c r="I1662" t="e">
        <f>VLOOKUP(Tabela2[[#This Row],[Coluna7]],[1]!Tabela1[#All],2,0)</f>
        <v>#REF!</v>
      </c>
      <c r="J1662" t="s">
        <v>683</v>
      </c>
      <c r="L1662">
        <v>399.99</v>
      </c>
      <c r="Q1662" s="10" t="str">
        <f>Tabela2[[#This Row],[Coluna5]]</f>
        <v>01/2026</v>
      </c>
      <c r="R1662" s="10" t="str">
        <f>IF(Tabela2[[#This Row],[Coluna9]]&gt;0,"Entrada","Saída")</f>
        <v>Saída</v>
      </c>
      <c r="S1662" s="10" t="str">
        <f>Tabela2[[#This Row],[Coluna8]]</f>
        <v>CURSO ALISSON - DEVOLUÇÃO DE THIAGO PARA ALISSON</v>
      </c>
      <c r="T1662" s="10" t="e">
        <f>Tabela2[[#This Row],[Coluna72]]</f>
        <v>#REF!</v>
      </c>
      <c r="U1662" s="10">
        <f>SUM(Tabela2[[#This Row],[Coluna9]],Tabela2[[#This Row],[Coluna10]])</f>
        <v>399.99</v>
      </c>
      <c r="V1662" s="2" t="str">
        <f>Tabela2[[#This Row],[Coluna4]]</f>
        <v>23/01/2026</v>
      </c>
      <c r="W1662" s="2" t="str">
        <f>Tabela2[[#This Row],[Coluna6]]</f>
        <v>23/01/2026</v>
      </c>
    </row>
    <row r="1663" spans="2:23" x14ac:dyDescent="0.2">
      <c r="B1663" t="s">
        <v>27</v>
      </c>
      <c r="C1663" t="s">
        <v>95</v>
      </c>
      <c r="D1663" t="s">
        <v>13</v>
      </c>
      <c r="E1663" s="8" t="s">
        <v>357</v>
      </c>
      <c r="F1663" t="s">
        <v>84</v>
      </c>
      <c r="G1663" s="8" t="s">
        <v>357</v>
      </c>
      <c r="H1663" t="s">
        <v>538</v>
      </c>
      <c r="I1663" t="e">
        <f>VLOOKUP(Tabela2[[#This Row],[Coluna7]],[1]!Tabela1[#All],2,0)</f>
        <v>#REF!</v>
      </c>
      <c r="J1663" t="s">
        <v>684</v>
      </c>
      <c r="L1663">
        <v>808.4</v>
      </c>
      <c r="Q1663" s="10" t="str">
        <f>Tabela2[[#This Row],[Coluna5]]</f>
        <v>01/2026</v>
      </c>
      <c r="R1663" s="10" t="str">
        <f>IF(Tabela2[[#This Row],[Coluna9]]&gt;0,"Entrada","Saída")</f>
        <v>Saída</v>
      </c>
      <c r="S1663" s="10" t="str">
        <f>Tabela2[[#This Row],[Coluna8]]</f>
        <v>CARTÃO BRADESCO</v>
      </c>
      <c r="T1663" s="10" t="e">
        <f>Tabela2[[#This Row],[Coluna72]]</f>
        <v>#REF!</v>
      </c>
      <c r="U1663" s="10">
        <f>SUM(Tabela2[[#This Row],[Coluna9]],Tabela2[[#This Row],[Coluna10]])</f>
        <v>808.4</v>
      </c>
      <c r="V1663" s="2" t="str">
        <f>Tabela2[[#This Row],[Coluna4]]</f>
        <v>23/01/2026</v>
      </c>
      <c r="W1663" s="2" t="str">
        <f>Tabela2[[#This Row],[Coluna6]]</f>
        <v>23/01/2026</v>
      </c>
    </row>
    <row r="1664" spans="2:23" x14ac:dyDescent="0.2">
      <c r="B1664" t="s">
        <v>12</v>
      </c>
      <c r="C1664" t="s">
        <v>95</v>
      </c>
      <c r="D1664" t="s">
        <v>13</v>
      </c>
      <c r="E1664" s="8" t="s">
        <v>357</v>
      </c>
      <c r="F1664" t="s">
        <v>84</v>
      </c>
      <c r="G1664" s="8" t="s">
        <v>357</v>
      </c>
      <c r="H1664" t="s">
        <v>546</v>
      </c>
      <c r="I1664" t="e">
        <f>VLOOKUP(Tabela2[[#This Row],[Coluna7]],[1]!Tabela1[#All],2,0)</f>
        <v>#REF!</v>
      </c>
      <c r="J1664" t="s">
        <v>584</v>
      </c>
      <c r="L1664">
        <v>100</v>
      </c>
      <c r="Q1664" s="10" t="str">
        <f>Tabela2[[#This Row],[Coluna5]]</f>
        <v>01/2026</v>
      </c>
      <c r="R1664" s="10" t="str">
        <f>IF(Tabela2[[#This Row],[Coluna9]]&gt;0,"Entrada","Saída")</f>
        <v>Saída</v>
      </c>
      <c r="S1664" s="10" t="str">
        <f>Tabela2[[#This Row],[Coluna8]]</f>
        <v>ELIEL ANTONIO DA SILVA</v>
      </c>
      <c r="T1664" s="10" t="e">
        <f>Tabela2[[#This Row],[Coluna72]]</f>
        <v>#REF!</v>
      </c>
      <c r="U1664" s="10">
        <f>SUM(Tabela2[[#This Row],[Coluna9]],Tabela2[[#This Row],[Coluna10]])</f>
        <v>100</v>
      </c>
      <c r="V1664" s="2" t="str">
        <f>Tabela2[[#This Row],[Coluna4]]</f>
        <v>23/01/2026</v>
      </c>
      <c r="W1664" s="2" t="str">
        <f>Tabela2[[#This Row],[Coluna6]]</f>
        <v>23/01/2026</v>
      </c>
    </row>
    <row r="1665" spans="2:23" x14ac:dyDescent="0.2">
      <c r="B1665" t="s">
        <v>12</v>
      </c>
      <c r="C1665" t="s">
        <v>95</v>
      </c>
      <c r="D1665" t="s">
        <v>13</v>
      </c>
      <c r="E1665" s="8" t="s">
        <v>532</v>
      </c>
      <c r="F1665" t="s">
        <v>84</v>
      </c>
      <c r="G1665" s="8" t="s">
        <v>532</v>
      </c>
      <c r="H1665" t="s">
        <v>570</v>
      </c>
      <c r="I1665" t="e">
        <f>VLOOKUP(Tabela2[[#This Row],[Coluna7]],[1]!Tabela1[#All],2,0)</f>
        <v>#REF!</v>
      </c>
      <c r="J1665" t="s">
        <v>685</v>
      </c>
      <c r="L1665">
        <v>24</v>
      </c>
      <c r="Q1665" s="10" t="str">
        <f>Tabela2[[#This Row],[Coluna5]]</f>
        <v>01/2026</v>
      </c>
      <c r="R1665" s="10" t="str">
        <f>IF(Tabela2[[#This Row],[Coluna9]]&gt;0,"Entrada","Saída")</f>
        <v>Saída</v>
      </c>
      <c r="S1665" s="10" t="str">
        <f>Tabela2[[#This Row],[Coluna8]]</f>
        <v>CENTER LED</v>
      </c>
      <c r="T1665" s="10" t="e">
        <f>Tabela2[[#This Row],[Coluna72]]</f>
        <v>#REF!</v>
      </c>
      <c r="U1665" s="10">
        <f>SUM(Tabela2[[#This Row],[Coluna9]],Tabela2[[#This Row],[Coluna10]])</f>
        <v>24</v>
      </c>
      <c r="V1665" s="2" t="str">
        <f>Tabela2[[#This Row],[Coluna4]]</f>
        <v>24/01/2026</v>
      </c>
      <c r="W1665" s="2" t="str">
        <f>Tabela2[[#This Row],[Coluna6]]</f>
        <v>24/01/2026</v>
      </c>
    </row>
    <row r="1666" spans="2:23" x14ac:dyDescent="0.2">
      <c r="B1666" t="s">
        <v>12</v>
      </c>
      <c r="C1666" t="s">
        <v>95</v>
      </c>
      <c r="D1666" t="s">
        <v>13</v>
      </c>
      <c r="E1666" s="8" t="s">
        <v>532</v>
      </c>
      <c r="F1666" t="s">
        <v>84</v>
      </c>
      <c r="G1666" s="8" t="s">
        <v>532</v>
      </c>
      <c r="H1666" t="s">
        <v>546</v>
      </c>
      <c r="I1666" t="e">
        <f>VLOOKUP(Tabela2[[#This Row],[Coluna7]],[1]!Tabela1[#All],2,0)</f>
        <v>#REF!</v>
      </c>
      <c r="J1666" t="s">
        <v>584</v>
      </c>
      <c r="L1666">
        <v>800</v>
      </c>
      <c r="Q1666" s="10" t="str">
        <f>Tabela2[[#This Row],[Coluna5]]</f>
        <v>01/2026</v>
      </c>
      <c r="R1666" s="10" t="str">
        <f>IF(Tabela2[[#This Row],[Coluna9]]&gt;0,"Entrada","Saída")</f>
        <v>Saída</v>
      </c>
      <c r="S1666" s="10" t="str">
        <f>Tabela2[[#This Row],[Coluna8]]</f>
        <v>ELIEL ANTONIO DA SILVA</v>
      </c>
      <c r="T1666" s="10" t="e">
        <f>Tabela2[[#This Row],[Coluna72]]</f>
        <v>#REF!</v>
      </c>
      <c r="U1666" s="10">
        <f>SUM(Tabela2[[#This Row],[Coluna9]],Tabela2[[#This Row],[Coluna10]])</f>
        <v>800</v>
      </c>
      <c r="V1666" s="2" t="str">
        <f>Tabela2[[#This Row],[Coluna4]]</f>
        <v>24/01/2026</v>
      </c>
      <c r="W1666" s="2" t="str">
        <f>Tabela2[[#This Row],[Coluna6]]</f>
        <v>24/01/2026</v>
      </c>
    </row>
    <row r="1667" spans="2:23" x14ac:dyDescent="0.2">
      <c r="B1667" t="s">
        <v>12</v>
      </c>
      <c r="C1667" t="s">
        <v>95</v>
      </c>
      <c r="D1667" t="s">
        <v>13</v>
      </c>
      <c r="E1667" s="8" t="s">
        <v>532</v>
      </c>
      <c r="F1667" t="s">
        <v>84</v>
      </c>
      <c r="G1667" s="8" t="s">
        <v>532</v>
      </c>
      <c r="H1667" t="s">
        <v>546</v>
      </c>
      <c r="I1667" t="e">
        <f>VLOOKUP(Tabela2[[#This Row],[Coluna7]],[1]!Tabela1[#All],2,0)</f>
        <v>#REF!</v>
      </c>
      <c r="J1667" t="s">
        <v>569</v>
      </c>
      <c r="L1667">
        <v>500</v>
      </c>
      <c r="Q1667" s="10" t="str">
        <f>Tabela2[[#This Row],[Coluna5]]</f>
        <v>01/2026</v>
      </c>
      <c r="R1667" s="10" t="str">
        <f>IF(Tabela2[[#This Row],[Coluna9]]&gt;0,"Entrada","Saída")</f>
        <v>Saída</v>
      </c>
      <c r="S1667" s="10" t="str">
        <f>Tabela2[[#This Row],[Coluna8]]</f>
        <v>LEANDRO JOÃO BATISTA</v>
      </c>
      <c r="T1667" s="10" t="e">
        <f>Tabela2[[#This Row],[Coluna72]]</f>
        <v>#REF!</v>
      </c>
      <c r="U1667" s="10">
        <f>SUM(Tabela2[[#This Row],[Coluna9]],Tabela2[[#This Row],[Coluna10]])</f>
        <v>500</v>
      </c>
      <c r="V1667" s="2" t="str">
        <f>Tabela2[[#This Row],[Coluna4]]</f>
        <v>24/01/2026</v>
      </c>
      <c r="W1667" s="2" t="str">
        <f>Tabela2[[#This Row],[Coluna6]]</f>
        <v>24/01/2026</v>
      </c>
    </row>
    <row r="1668" spans="2:23" x14ac:dyDescent="0.2">
      <c r="B1668" t="s">
        <v>18</v>
      </c>
      <c r="C1668" t="s">
        <v>95</v>
      </c>
      <c r="D1668" t="s">
        <v>13</v>
      </c>
      <c r="E1668" s="8" t="s">
        <v>93</v>
      </c>
      <c r="F1668" t="s">
        <v>84</v>
      </c>
      <c r="G1668" s="8" t="s">
        <v>93</v>
      </c>
      <c r="H1668" t="s">
        <v>580</v>
      </c>
      <c r="I1668" t="e">
        <f>VLOOKUP(Tabela2[[#This Row],[Coluna7]],[1]!Tabela1[#All],2,0)</f>
        <v>#REF!</v>
      </c>
      <c r="J1668" t="s">
        <v>686</v>
      </c>
      <c r="L1668">
        <v>325.93</v>
      </c>
      <c r="Q1668" s="10" t="str">
        <f>Tabela2[[#This Row],[Coluna5]]</f>
        <v>01/2026</v>
      </c>
      <c r="R1668" s="10" t="str">
        <f>IF(Tabela2[[#This Row],[Coluna9]]&gt;0,"Entrada","Saída")</f>
        <v>Saída</v>
      </c>
      <c r="S1668" s="10" t="str">
        <f>Tabela2[[#This Row],[Coluna8]]</f>
        <v>LUZINALDO CUNHA LIRA</v>
      </c>
      <c r="T1668" s="10" t="e">
        <f>Tabela2[[#This Row],[Coluna72]]</f>
        <v>#REF!</v>
      </c>
      <c r="U1668" s="10">
        <f>SUM(Tabela2[[#This Row],[Coluna9]],Tabela2[[#This Row],[Coluna10]])</f>
        <v>325.93</v>
      </c>
      <c r="V1668" s="2" t="str">
        <f>Tabela2[[#This Row],[Coluna4]]</f>
        <v>26/01/2026</v>
      </c>
      <c r="W1668" s="2" t="str">
        <f>Tabela2[[#This Row],[Coluna6]]</f>
        <v>26/01/2026</v>
      </c>
    </row>
    <row r="1669" spans="2:23" x14ac:dyDescent="0.2">
      <c r="B1669" t="s">
        <v>18</v>
      </c>
      <c r="C1669" t="s">
        <v>95</v>
      </c>
      <c r="D1669" t="s">
        <v>13</v>
      </c>
      <c r="E1669" s="8" t="s">
        <v>93</v>
      </c>
      <c r="F1669" t="s">
        <v>84</v>
      </c>
      <c r="G1669" s="8" t="s">
        <v>93</v>
      </c>
      <c r="H1669" t="s">
        <v>580</v>
      </c>
      <c r="I1669" t="e">
        <f>VLOOKUP(Tabela2[[#This Row],[Coluna7]],[1]!Tabela1[#All],2,0)</f>
        <v>#REF!</v>
      </c>
      <c r="J1669" t="s">
        <v>602</v>
      </c>
      <c r="L1669">
        <v>516</v>
      </c>
      <c r="Q1669" s="10" t="str">
        <f>Tabela2[[#This Row],[Coluna5]]</f>
        <v>01/2026</v>
      </c>
      <c r="R1669" s="10" t="str">
        <f>IF(Tabela2[[#This Row],[Coluna9]]&gt;0,"Entrada","Saída")</f>
        <v>Saída</v>
      </c>
      <c r="S1669" s="10" t="str">
        <f>Tabela2[[#This Row],[Coluna8]]</f>
        <v>REINALDO SANTANA CABRAL</v>
      </c>
      <c r="T1669" s="10" t="e">
        <f>Tabela2[[#This Row],[Coluna72]]</f>
        <v>#REF!</v>
      </c>
      <c r="U1669" s="10">
        <f>SUM(Tabela2[[#This Row],[Coluna9]],Tabela2[[#This Row],[Coluna10]])</f>
        <v>516</v>
      </c>
      <c r="V1669" s="2" t="str">
        <f>Tabela2[[#This Row],[Coluna4]]</f>
        <v>26/01/2026</v>
      </c>
      <c r="W1669" s="2" t="str">
        <f>Tabela2[[#This Row],[Coluna6]]</f>
        <v>26/01/2026</v>
      </c>
    </row>
    <row r="1670" spans="2:23" x14ac:dyDescent="0.2">
      <c r="B1670" t="s">
        <v>18</v>
      </c>
      <c r="C1670" t="s">
        <v>95</v>
      </c>
      <c r="D1670" t="s">
        <v>13</v>
      </c>
      <c r="E1670" s="8" t="s">
        <v>93</v>
      </c>
      <c r="F1670" t="s">
        <v>84</v>
      </c>
      <c r="G1670" s="8" t="s">
        <v>93</v>
      </c>
      <c r="H1670" t="s">
        <v>580</v>
      </c>
      <c r="I1670" t="e">
        <f>VLOOKUP(Tabela2[[#This Row],[Coluna7]],[1]!Tabela1[#All],2,0)</f>
        <v>#REF!</v>
      </c>
      <c r="J1670" t="s">
        <v>687</v>
      </c>
      <c r="L1670">
        <v>114.16</v>
      </c>
      <c r="Q1670" s="10" t="str">
        <f>Tabela2[[#This Row],[Coluna5]]</f>
        <v>01/2026</v>
      </c>
      <c r="R1670" s="10" t="str">
        <f>IF(Tabela2[[#This Row],[Coluna9]]&gt;0,"Entrada","Saída")</f>
        <v>Saída</v>
      </c>
      <c r="S1670" s="10" t="str">
        <f>Tabela2[[#This Row],[Coluna8]]</f>
        <v>FABIO DO SINDICATO</v>
      </c>
      <c r="T1670" s="10" t="e">
        <f>Tabela2[[#This Row],[Coluna72]]</f>
        <v>#REF!</v>
      </c>
      <c r="U1670" s="10">
        <f>SUM(Tabela2[[#This Row],[Coluna9]],Tabela2[[#This Row],[Coluna10]])</f>
        <v>114.16</v>
      </c>
      <c r="V1670" s="2" t="str">
        <f>Tabela2[[#This Row],[Coluna4]]</f>
        <v>26/01/2026</v>
      </c>
      <c r="W1670" s="2" t="str">
        <f>Tabela2[[#This Row],[Coluna6]]</f>
        <v>26/01/2026</v>
      </c>
    </row>
    <row r="1671" spans="2:23" x14ac:dyDescent="0.2">
      <c r="B1671" t="s">
        <v>18</v>
      </c>
      <c r="C1671" t="s">
        <v>95</v>
      </c>
      <c r="D1671" t="s">
        <v>13</v>
      </c>
      <c r="E1671" s="8" t="s">
        <v>93</v>
      </c>
      <c r="F1671" t="s">
        <v>84</v>
      </c>
      <c r="G1671" s="8" t="s">
        <v>93</v>
      </c>
      <c r="H1671" t="s">
        <v>546</v>
      </c>
      <c r="I1671" t="e">
        <f>VLOOKUP(Tabela2[[#This Row],[Coluna7]],[1]!Tabela1[#All],2,0)</f>
        <v>#REF!</v>
      </c>
      <c r="J1671" t="s">
        <v>584</v>
      </c>
      <c r="L1671">
        <v>400</v>
      </c>
      <c r="Q1671" s="10" t="str">
        <f>Tabela2[[#This Row],[Coluna5]]</f>
        <v>01/2026</v>
      </c>
      <c r="R1671" s="10" t="str">
        <f>IF(Tabela2[[#This Row],[Coluna9]]&gt;0,"Entrada","Saída")</f>
        <v>Saída</v>
      </c>
      <c r="S1671" s="10" t="str">
        <f>Tabela2[[#This Row],[Coluna8]]</f>
        <v>ELIEL ANTONIO DA SILVA</v>
      </c>
      <c r="T1671" s="10" t="e">
        <f>Tabela2[[#This Row],[Coluna72]]</f>
        <v>#REF!</v>
      </c>
      <c r="U1671" s="10">
        <f>SUM(Tabela2[[#This Row],[Coluna9]],Tabela2[[#This Row],[Coluna10]])</f>
        <v>400</v>
      </c>
      <c r="V1671" s="2" t="str">
        <f>Tabela2[[#This Row],[Coluna4]]</f>
        <v>26/01/2026</v>
      </c>
      <c r="W1671" s="2" t="str">
        <f>Tabela2[[#This Row],[Coluna6]]</f>
        <v>26/01/2026</v>
      </c>
    </row>
    <row r="1672" spans="2:23" x14ac:dyDescent="0.2">
      <c r="B1672" t="s">
        <v>18</v>
      </c>
      <c r="C1672" t="s">
        <v>95</v>
      </c>
      <c r="D1672" t="s">
        <v>13</v>
      </c>
      <c r="E1672" s="8" t="s">
        <v>93</v>
      </c>
      <c r="F1672" t="s">
        <v>84</v>
      </c>
      <c r="G1672" s="8" t="s">
        <v>93</v>
      </c>
      <c r="H1672" t="s">
        <v>580</v>
      </c>
      <c r="I1672" t="e">
        <f>VLOOKUP(Tabela2[[#This Row],[Coluna7]],[1]!Tabela1[#All],2,0)</f>
        <v>#REF!</v>
      </c>
      <c r="J1672" t="s">
        <v>688</v>
      </c>
      <c r="L1672">
        <v>959.24</v>
      </c>
      <c r="N1672" t="s">
        <v>523</v>
      </c>
      <c r="Q1672" s="10" t="str">
        <f>Tabela2[[#This Row],[Coluna5]]</f>
        <v>01/2026</v>
      </c>
      <c r="R1672" s="10" t="str">
        <f>IF(Tabela2[[#This Row],[Coluna9]]&gt;0,"Entrada","Saída")</f>
        <v>Saída</v>
      </c>
      <c r="S1672" s="10" t="str">
        <f>Tabela2[[#This Row],[Coluna8]]</f>
        <v>DEZ</v>
      </c>
      <c r="T1672" s="10" t="e">
        <f>Tabela2[[#This Row],[Coluna72]]</f>
        <v>#REF!</v>
      </c>
      <c r="U1672" s="10">
        <f>SUM(Tabela2[[#This Row],[Coluna9]],Tabela2[[#This Row],[Coluna10]])</f>
        <v>959.24</v>
      </c>
      <c r="V1672" s="2" t="str">
        <f>Tabela2[[#This Row],[Coluna4]]</f>
        <v>26/01/2026</v>
      </c>
      <c r="W1672" s="2" t="str">
        <f>Tabela2[[#This Row],[Coluna6]]</f>
        <v>26/01/2026</v>
      </c>
    </row>
    <row r="1673" spans="2:23" x14ac:dyDescent="0.2">
      <c r="B1673" t="s">
        <v>18</v>
      </c>
      <c r="C1673" t="s">
        <v>95</v>
      </c>
      <c r="D1673" t="s">
        <v>13</v>
      </c>
      <c r="E1673" s="8" t="s">
        <v>93</v>
      </c>
      <c r="F1673" t="s">
        <v>84</v>
      </c>
      <c r="G1673" s="8" t="s">
        <v>93</v>
      </c>
      <c r="H1673" t="s">
        <v>580</v>
      </c>
      <c r="I1673" t="e">
        <f>VLOOKUP(Tabela2[[#This Row],[Coluna7]],[1]!Tabela1[#All],2,0)</f>
        <v>#REF!</v>
      </c>
      <c r="J1673" t="s">
        <v>689</v>
      </c>
      <c r="L1673">
        <v>354.49</v>
      </c>
      <c r="Q1673" s="10" t="str">
        <f>Tabela2[[#This Row],[Coluna5]]</f>
        <v>01/2026</v>
      </c>
      <c r="R1673" s="10" t="str">
        <f>IF(Tabela2[[#This Row],[Coluna9]]&gt;0,"Entrada","Saída")</f>
        <v>Saída</v>
      </c>
      <c r="S1673" s="10" t="str">
        <f>Tabela2[[#This Row],[Coluna8]]</f>
        <v>ZÉ LUIZ  - LUIZ HENRIQUE DA SILVA</v>
      </c>
      <c r="T1673" s="10" t="e">
        <f>Tabela2[[#This Row],[Coluna72]]</f>
        <v>#REF!</v>
      </c>
      <c r="U1673" s="10">
        <f>SUM(Tabela2[[#This Row],[Coluna9]],Tabela2[[#This Row],[Coluna10]])</f>
        <v>354.49</v>
      </c>
      <c r="V1673" s="2" t="str">
        <f>Tabela2[[#This Row],[Coluna4]]</f>
        <v>26/01/2026</v>
      </c>
      <c r="W1673" s="2" t="str">
        <f>Tabela2[[#This Row],[Coluna6]]</f>
        <v>26/01/2026</v>
      </c>
    </row>
    <row r="1674" spans="2:23" x14ac:dyDescent="0.2">
      <c r="B1674" t="s">
        <v>18</v>
      </c>
      <c r="C1674" t="s">
        <v>95</v>
      </c>
      <c r="D1674" t="s">
        <v>13</v>
      </c>
      <c r="E1674" s="8" t="s">
        <v>93</v>
      </c>
      <c r="F1674" t="s">
        <v>84</v>
      </c>
      <c r="G1674" s="8" t="s">
        <v>93</v>
      </c>
      <c r="H1674" t="s">
        <v>546</v>
      </c>
      <c r="I1674" t="e">
        <f>VLOOKUP(Tabela2[[#This Row],[Coluna7]],[1]!Tabela1[#All],2,0)</f>
        <v>#REF!</v>
      </c>
      <c r="J1674" t="s">
        <v>584</v>
      </c>
      <c r="L1674">
        <v>5000</v>
      </c>
      <c r="Q1674" s="10" t="str">
        <f>Tabela2[[#This Row],[Coluna5]]</f>
        <v>01/2026</v>
      </c>
      <c r="R1674" s="10" t="str">
        <f>IF(Tabela2[[#This Row],[Coluna9]]&gt;0,"Entrada","Saída")</f>
        <v>Saída</v>
      </c>
      <c r="S1674" s="10" t="str">
        <f>Tabela2[[#This Row],[Coluna8]]</f>
        <v>ELIEL ANTONIO DA SILVA</v>
      </c>
      <c r="T1674" s="10" t="e">
        <f>Tabela2[[#This Row],[Coluna72]]</f>
        <v>#REF!</v>
      </c>
      <c r="U1674" s="10">
        <f>SUM(Tabela2[[#This Row],[Coluna9]],Tabela2[[#This Row],[Coluna10]])</f>
        <v>5000</v>
      </c>
      <c r="V1674" s="2" t="str">
        <f>Tabela2[[#This Row],[Coluna4]]</f>
        <v>26/01/2026</v>
      </c>
      <c r="W1674" s="2" t="str">
        <f>Tabela2[[#This Row],[Coluna6]]</f>
        <v>26/01/2026</v>
      </c>
    </row>
    <row r="1675" spans="2:23" x14ac:dyDescent="0.2">
      <c r="B1675" t="s">
        <v>18</v>
      </c>
      <c r="C1675" t="s">
        <v>95</v>
      </c>
      <c r="D1675" t="s">
        <v>13</v>
      </c>
      <c r="E1675" s="8" t="s">
        <v>358</v>
      </c>
      <c r="F1675" t="s">
        <v>84</v>
      </c>
      <c r="G1675" s="8" t="s">
        <v>358</v>
      </c>
      <c r="H1675" t="s">
        <v>580</v>
      </c>
      <c r="I1675" t="e">
        <f>VLOOKUP(Tabela2[[#This Row],[Coluna7]],[1]!Tabela1[#All],2,0)</f>
        <v>#REF!</v>
      </c>
      <c r="L1675">
        <v>250</v>
      </c>
      <c r="N1675" t="s">
        <v>499</v>
      </c>
      <c r="Q1675" s="10" t="str">
        <f>Tabela2[[#This Row],[Coluna5]]</f>
        <v>01/2026</v>
      </c>
      <c r="R1675" s="10" t="str">
        <f>IF(Tabela2[[#This Row],[Coluna9]]&gt;0,"Entrada","Saída")</f>
        <v>Saída</v>
      </c>
      <c r="S1675" s="10">
        <f>Tabela2[[#This Row],[Coluna8]]</f>
        <v>0</v>
      </c>
      <c r="T1675" s="10" t="e">
        <f>Tabela2[[#This Row],[Coluna72]]</f>
        <v>#REF!</v>
      </c>
      <c r="U1675" s="10">
        <f>SUM(Tabela2[[#This Row],[Coluna9]],Tabela2[[#This Row],[Coluna10]])</f>
        <v>250</v>
      </c>
      <c r="V1675" s="2" t="str">
        <f>Tabela2[[#This Row],[Coluna4]]</f>
        <v>27/01/2026</v>
      </c>
      <c r="W1675" s="2" t="str">
        <f>Tabela2[[#This Row],[Coluna6]]</f>
        <v>27/01/2026</v>
      </c>
    </row>
    <row r="1676" spans="2:23" x14ac:dyDescent="0.2">
      <c r="B1676" t="s">
        <v>12</v>
      </c>
      <c r="C1676" t="s">
        <v>95</v>
      </c>
      <c r="D1676" t="s">
        <v>13</v>
      </c>
      <c r="E1676" s="8" t="s">
        <v>359</v>
      </c>
      <c r="F1676" t="s">
        <v>84</v>
      </c>
      <c r="G1676" s="8" t="s">
        <v>359</v>
      </c>
      <c r="H1676" t="s">
        <v>570</v>
      </c>
      <c r="I1676" t="e">
        <f>VLOOKUP(Tabela2[[#This Row],[Coluna7]],[1]!Tabela1[#All],2,0)</f>
        <v>#REF!</v>
      </c>
      <c r="J1676" t="s">
        <v>679</v>
      </c>
      <c r="L1676">
        <v>19</v>
      </c>
      <c r="Q1676" s="10" t="str">
        <f>Tabela2[[#This Row],[Coluna5]]</f>
        <v>01/2026</v>
      </c>
      <c r="R1676" s="10" t="str">
        <f>IF(Tabela2[[#This Row],[Coluna9]]&gt;0,"Entrada","Saída")</f>
        <v>Saída</v>
      </c>
      <c r="S1676" s="10" t="str">
        <f>Tabela2[[#This Row],[Coluna8]]</f>
        <v>ILUMINAÇÃO</v>
      </c>
      <c r="T1676" s="10" t="e">
        <f>Tabela2[[#This Row],[Coluna72]]</f>
        <v>#REF!</v>
      </c>
      <c r="U1676" s="10">
        <f>SUM(Tabela2[[#This Row],[Coluna9]],Tabela2[[#This Row],[Coluna10]])</f>
        <v>19</v>
      </c>
      <c r="V1676" s="2" t="str">
        <f>Tabela2[[#This Row],[Coluna4]]</f>
        <v>28/01/2026</v>
      </c>
      <c r="W1676" s="2" t="str">
        <f>Tabela2[[#This Row],[Coluna6]]</f>
        <v>28/01/2026</v>
      </c>
    </row>
    <row r="1677" spans="2:23" x14ac:dyDescent="0.2">
      <c r="B1677" t="s">
        <v>18</v>
      </c>
      <c r="C1677" t="s">
        <v>95</v>
      </c>
      <c r="D1677" t="s">
        <v>13</v>
      </c>
      <c r="E1677" s="8" t="s">
        <v>359</v>
      </c>
      <c r="F1677" t="s">
        <v>84</v>
      </c>
      <c r="G1677" s="8" t="s">
        <v>359</v>
      </c>
      <c r="H1677" t="s">
        <v>538</v>
      </c>
      <c r="I1677" t="e">
        <f>VLOOKUP(Tabela2[[#This Row],[Coluna7]],[1]!Tabela1[#All],2,0)</f>
        <v>#REF!</v>
      </c>
      <c r="J1677" t="s">
        <v>690</v>
      </c>
      <c r="L1677">
        <v>87.98</v>
      </c>
      <c r="Q1677" s="10" t="str">
        <f>Tabela2[[#This Row],[Coluna5]]</f>
        <v>01/2026</v>
      </c>
      <c r="R1677" s="10" t="str">
        <f>IF(Tabela2[[#This Row],[Coluna9]]&gt;0,"Entrada","Saída")</f>
        <v>Saída</v>
      </c>
      <c r="S1677" s="10" t="str">
        <f>Tabela2[[#This Row],[Coluna8]]</f>
        <v>PAGAMENTO DE FATURA CARREFOUR</v>
      </c>
      <c r="T1677" s="10" t="e">
        <f>Tabela2[[#This Row],[Coluna72]]</f>
        <v>#REF!</v>
      </c>
      <c r="U1677" s="10">
        <f>SUM(Tabela2[[#This Row],[Coluna9]],Tabela2[[#This Row],[Coluna10]])</f>
        <v>87.98</v>
      </c>
      <c r="V1677" s="2" t="str">
        <f>Tabela2[[#This Row],[Coluna4]]</f>
        <v>28/01/2026</v>
      </c>
      <c r="W1677" s="2" t="str">
        <f>Tabela2[[#This Row],[Coluna6]]</f>
        <v>28/01/2026</v>
      </c>
    </row>
    <row r="1678" spans="2:23" x14ac:dyDescent="0.2">
      <c r="B1678" t="s">
        <v>27</v>
      </c>
      <c r="C1678" t="s">
        <v>95</v>
      </c>
      <c r="D1678" t="s">
        <v>13</v>
      </c>
      <c r="E1678" s="8" t="s">
        <v>534</v>
      </c>
      <c r="F1678" t="s">
        <v>84</v>
      </c>
      <c r="G1678" s="8" t="s">
        <v>359</v>
      </c>
      <c r="H1678" t="s">
        <v>600</v>
      </c>
      <c r="I1678" t="e">
        <f>VLOOKUP(Tabela2[[#This Row],[Coluna7]],[1]!Tabela1[#All],2,0)</f>
        <v>#REF!</v>
      </c>
      <c r="J1678" t="s">
        <v>601</v>
      </c>
      <c r="L1678">
        <v>250</v>
      </c>
      <c r="Q1678" s="10" t="str">
        <f>Tabela2[[#This Row],[Coluna5]]</f>
        <v>01/2026</v>
      </c>
      <c r="R1678" s="10" t="str">
        <f>IF(Tabela2[[#This Row],[Coluna9]]&gt;0,"Entrada","Saída")</f>
        <v>Saída</v>
      </c>
      <c r="S1678" s="10" t="str">
        <f>Tabela2[[#This Row],[Coluna8]]</f>
        <v>FALCÃO</v>
      </c>
      <c r="T1678" s="10" t="e">
        <f>Tabela2[[#This Row],[Coluna72]]</f>
        <v>#REF!</v>
      </c>
      <c r="U1678" s="10">
        <f>SUM(Tabela2[[#This Row],[Coluna9]],Tabela2[[#This Row],[Coluna10]])</f>
        <v>250</v>
      </c>
      <c r="V1678" s="2" t="str">
        <f>Tabela2[[#This Row],[Coluna4]]</f>
        <v>31/01/2026</v>
      </c>
      <c r="W1678" s="2" t="str">
        <f>Tabela2[[#This Row],[Coluna6]]</f>
        <v>28/01/2026</v>
      </c>
    </row>
    <row r="1679" spans="2:23" x14ac:dyDescent="0.2">
      <c r="B1679" t="s">
        <v>18</v>
      </c>
      <c r="C1679" t="s">
        <v>95</v>
      </c>
      <c r="D1679" t="s">
        <v>13</v>
      </c>
      <c r="E1679" s="8" t="s">
        <v>534</v>
      </c>
      <c r="F1679" t="s">
        <v>84</v>
      </c>
      <c r="G1679" s="8" t="s">
        <v>534</v>
      </c>
      <c r="H1679" t="s">
        <v>580</v>
      </c>
      <c r="I1679" t="e">
        <f>VLOOKUP(Tabela2[[#This Row],[Coluna7]],[1]!Tabela1[#All],2,0)</f>
        <v>#REF!</v>
      </c>
      <c r="L1679">
        <v>650</v>
      </c>
      <c r="N1679" t="s">
        <v>499</v>
      </c>
      <c r="Q1679" s="10" t="str">
        <f>Tabela2[[#This Row],[Coluna5]]</f>
        <v>01/2026</v>
      </c>
      <c r="R1679" s="10" t="str">
        <f>IF(Tabela2[[#This Row],[Coluna9]]&gt;0,"Entrada","Saída")</f>
        <v>Saída</v>
      </c>
      <c r="S1679" s="10">
        <f>Tabela2[[#This Row],[Coluna8]]</f>
        <v>0</v>
      </c>
      <c r="T1679" s="10" t="e">
        <f>Tabela2[[#This Row],[Coluna72]]</f>
        <v>#REF!</v>
      </c>
      <c r="U1679" s="10">
        <f>SUM(Tabela2[[#This Row],[Coluna9]],Tabela2[[#This Row],[Coluna10]])</f>
        <v>650</v>
      </c>
      <c r="V1679" s="2" t="str">
        <f>Tabela2[[#This Row],[Coluna4]]</f>
        <v>31/01/2026</v>
      </c>
      <c r="W1679" s="2" t="str">
        <f>Tabela2[[#This Row],[Coluna6]]</f>
        <v>31/01/2026</v>
      </c>
    </row>
    <row r="1680" spans="2:23" x14ac:dyDescent="0.2">
      <c r="B1680" t="s">
        <v>18</v>
      </c>
      <c r="C1680" t="s">
        <v>95</v>
      </c>
      <c r="D1680" t="s">
        <v>13</v>
      </c>
      <c r="E1680" s="8" t="s">
        <v>534</v>
      </c>
      <c r="F1680" t="s">
        <v>84</v>
      </c>
      <c r="G1680" s="8" t="s">
        <v>534</v>
      </c>
      <c r="H1680" t="s">
        <v>546</v>
      </c>
      <c r="I1680" t="e">
        <f>VLOOKUP(Tabela2[[#This Row],[Coluna7]],[1]!Tabela1[#All],2,0)</f>
        <v>#REF!</v>
      </c>
      <c r="J1680" t="s">
        <v>584</v>
      </c>
      <c r="L1680">
        <v>800</v>
      </c>
      <c r="Q1680" s="10" t="str">
        <f>Tabela2[[#This Row],[Coluna5]]</f>
        <v>01/2026</v>
      </c>
      <c r="R1680" s="10" t="str">
        <f>IF(Tabela2[[#This Row],[Coluna9]]&gt;0,"Entrada","Saída")</f>
        <v>Saída</v>
      </c>
      <c r="S1680" s="10" t="str">
        <f>Tabela2[[#This Row],[Coluna8]]</f>
        <v>ELIEL ANTONIO DA SILVA</v>
      </c>
      <c r="T1680" s="10" t="e">
        <f>Tabela2[[#This Row],[Coluna72]]</f>
        <v>#REF!</v>
      </c>
      <c r="U1680" s="10">
        <f>SUM(Tabela2[[#This Row],[Coluna9]],Tabela2[[#This Row],[Coluna10]])</f>
        <v>800</v>
      </c>
      <c r="V1680" s="2" t="str">
        <f>Tabela2[[#This Row],[Coluna4]]</f>
        <v>31/01/2026</v>
      </c>
      <c r="W1680" s="2" t="str">
        <f>Tabela2[[#This Row],[Coluna6]]</f>
        <v>31/01/2026</v>
      </c>
    </row>
    <row r="1681" spans="2:23" x14ac:dyDescent="0.2">
      <c r="B1681" t="s">
        <v>18</v>
      </c>
      <c r="C1681" t="s">
        <v>95</v>
      </c>
      <c r="D1681" t="s">
        <v>13</v>
      </c>
      <c r="E1681" s="8" t="s">
        <v>534</v>
      </c>
      <c r="F1681" t="s">
        <v>84</v>
      </c>
      <c r="G1681" s="8" t="s">
        <v>534</v>
      </c>
      <c r="H1681" t="s">
        <v>546</v>
      </c>
      <c r="I1681" t="e">
        <f>VLOOKUP(Tabela2[[#This Row],[Coluna7]],[1]!Tabela1[#All],2,0)</f>
        <v>#REF!</v>
      </c>
      <c r="J1681" t="s">
        <v>547</v>
      </c>
      <c r="L1681">
        <v>500</v>
      </c>
      <c r="Q1681" s="10" t="str">
        <f>Tabela2[[#This Row],[Coluna5]]</f>
        <v>01/2026</v>
      </c>
      <c r="R1681" s="10" t="str">
        <f>IF(Tabela2[[#This Row],[Coluna9]]&gt;0,"Entrada","Saída")</f>
        <v>Saída</v>
      </c>
      <c r="S1681" s="10" t="str">
        <f>Tabela2[[#This Row],[Coluna8]]</f>
        <v>LEANDRO JOAO BATISTA DOS SANTOS</v>
      </c>
      <c r="T1681" s="10" t="e">
        <f>Tabela2[[#This Row],[Coluna72]]</f>
        <v>#REF!</v>
      </c>
      <c r="U1681" s="10">
        <f>SUM(Tabela2[[#This Row],[Coluna9]],Tabela2[[#This Row],[Coluna10]])</f>
        <v>500</v>
      </c>
      <c r="V1681" s="2" t="str">
        <f>Tabela2[[#This Row],[Coluna4]]</f>
        <v>31/01/2026</v>
      </c>
      <c r="W1681" s="2" t="str">
        <f>Tabela2[[#This Row],[Coluna6]]</f>
        <v>31/01/2026</v>
      </c>
    </row>
    <row r="1682" spans="2:23" x14ac:dyDescent="0.2">
      <c r="B1682" t="s">
        <v>18</v>
      </c>
      <c r="C1682" t="s">
        <v>125</v>
      </c>
      <c r="D1682" t="s">
        <v>13</v>
      </c>
      <c r="E1682" s="8" t="s">
        <v>691</v>
      </c>
      <c r="F1682" t="s">
        <v>84</v>
      </c>
      <c r="G1682" s="8" t="s">
        <v>352</v>
      </c>
      <c r="H1682" t="s">
        <v>580</v>
      </c>
      <c r="I1682" t="e">
        <f>VLOOKUP(Tabela2[[#This Row],[Coluna7]],[1]!Tabela1[#All],2,0)</f>
        <v>#REF!</v>
      </c>
      <c r="J1682" t="s">
        <v>692</v>
      </c>
      <c r="L1682">
        <v>1454</v>
      </c>
      <c r="M1682" t="s">
        <v>341</v>
      </c>
      <c r="N1682" t="s">
        <v>342</v>
      </c>
      <c r="Q1682" s="10" t="str">
        <f>Tabela2[[#This Row],[Coluna5]]</f>
        <v>01/2026</v>
      </c>
      <c r="R1682" s="10" t="str">
        <f>IF(Tabela2[[#This Row],[Coluna9]]&gt;0,"Entrada","Saída")</f>
        <v>Saída</v>
      </c>
      <c r="S1682" s="10" t="str">
        <f>Tabela2[[#This Row],[Coluna8]]</f>
        <v>DINHO</v>
      </c>
      <c r="T1682" s="10" t="e">
        <f>Tabela2[[#This Row],[Coluna72]]</f>
        <v>#REF!</v>
      </c>
      <c r="U1682" s="10">
        <f>SUM(Tabela2[[#This Row],[Coluna9]],Tabela2[[#This Row],[Coluna10]])</f>
        <v>1454</v>
      </c>
      <c r="V1682" s="2" t="str">
        <f>Tabela2[[#This Row],[Coluna4]]</f>
        <v>15/02/2026</v>
      </c>
      <c r="W1682" s="2" t="str">
        <f>Tabela2[[#This Row],[Coluna6]]</f>
        <v>16/01/2026</v>
      </c>
    </row>
    <row r="1683" spans="2:23" x14ac:dyDescent="0.2">
      <c r="B1683" t="s">
        <v>18</v>
      </c>
      <c r="C1683" t="s">
        <v>95</v>
      </c>
      <c r="D1683" t="s">
        <v>13</v>
      </c>
      <c r="E1683" s="8" t="s">
        <v>14</v>
      </c>
      <c r="F1683" t="s">
        <v>15</v>
      </c>
      <c r="G1683" s="8" t="s">
        <v>14</v>
      </c>
      <c r="H1683" t="s">
        <v>693</v>
      </c>
      <c r="I1683" t="e">
        <f>VLOOKUP(Tabela2[[#This Row],[Coluna7]],[1]!Tabela1[#All],2,0)</f>
        <v>#REF!</v>
      </c>
      <c r="L1683">
        <v>3.45</v>
      </c>
      <c r="Q1683" s="10" t="str">
        <f>Tabela2[[#This Row],[Coluna5]]</f>
        <v>10/2025</v>
      </c>
      <c r="R1683" s="10" t="str">
        <f>IF(Tabela2[[#This Row],[Coluna9]]&gt;0,"Entrada","Saída")</f>
        <v>Saída</v>
      </c>
      <c r="S1683" s="10">
        <f>Tabela2[[#This Row],[Coluna8]]</f>
        <v>0</v>
      </c>
      <c r="T1683" s="10" t="e">
        <f>Tabela2[[#This Row],[Coluna72]]</f>
        <v>#REF!</v>
      </c>
      <c r="U1683" s="10">
        <f>SUM(Tabela2[[#This Row],[Coluna9]],Tabela2[[#This Row],[Coluna10]])</f>
        <v>3.45</v>
      </c>
      <c r="V1683" s="2" t="str">
        <f>Tabela2[[#This Row],[Coluna4]]</f>
        <v>01/10/2025</v>
      </c>
      <c r="W1683" s="2" t="str">
        <f>Tabela2[[#This Row],[Coluna6]]</f>
        <v>01/10/2025</v>
      </c>
    </row>
    <row r="1684" spans="2:23" x14ac:dyDescent="0.2">
      <c r="B1684" t="s">
        <v>18</v>
      </c>
      <c r="C1684" t="s">
        <v>95</v>
      </c>
      <c r="D1684" t="s">
        <v>13</v>
      </c>
      <c r="E1684" s="8" t="s">
        <v>14</v>
      </c>
      <c r="F1684" t="s">
        <v>15</v>
      </c>
      <c r="G1684" s="8" t="s">
        <v>14</v>
      </c>
      <c r="H1684" t="s">
        <v>693</v>
      </c>
      <c r="I1684" t="e">
        <f>VLOOKUP(Tabela2[[#This Row],[Coluna7]],[1]!Tabela1[#All],2,0)</f>
        <v>#REF!</v>
      </c>
      <c r="L1684">
        <v>3.45</v>
      </c>
      <c r="Q1684" s="10" t="str">
        <f>Tabela2[[#This Row],[Coluna5]]</f>
        <v>10/2025</v>
      </c>
      <c r="R1684" s="10" t="str">
        <f>IF(Tabela2[[#This Row],[Coluna9]]&gt;0,"Entrada","Saída")</f>
        <v>Saída</v>
      </c>
      <c r="S1684" s="10">
        <f>Tabela2[[#This Row],[Coluna8]]</f>
        <v>0</v>
      </c>
      <c r="T1684" s="10" t="e">
        <f>Tabela2[[#This Row],[Coluna72]]</f>
        <v>#REF!</v>
      </c>
      <c r="U1684" s="10">
        <f>SUM(Tabela2[[#This Row],[Coluna9]],Tabela2[[#This Row],[Coluna10]])</f>
        <v>3.45</v>
      </c>
      <c r="V1684" s="2" t="str">
        <f>Tabela2[[#This Row],[Coluna4]]</f>
        <v>01/10/2025</v>
      </c>
      <c r="W1684" s="2" t="str">
        <f>Tabela2[[#This Row],[Coluna6]]</f>
        <v>01/10/2025</v>
      </c>
    </row>
    <row r="1685" spans="2:23" x14ac:dyDescent="0.2">
      <c r="B1685" t="s">
        <v>18</v>
      </c>
      <c r="C1685" t="s">
        <v>95</v>
      </c>
      <c r="D1685" t="s">
        <v>13</v>
      </c>
      <c r="E1685" s="8" t="s">
        <v>114</v>
      </c>
      <c r="F1685" t="s">
        <v>15</v>
      </c>
      <c r="G1685" s="8" t="s">
        <v>114</v>
      </c>
      <c r="H1685" t="s">
        <v>693</v>
      </c>
      <c r="I1685" t="e">
        <f>VLOOKUP(Tabela2[[#This Row],[Coluna7]],[1]!Tabela1[#All],2,0)</f>
        <v>#REF!</v>
      </c>
      <c r="L1685">
        <v>3.45</v>
      </c>
      <c r="Q1685" s="10" t="str">
        <f>Tabela2[[#This Row],[Coluna5]]</f>
        <v>10/2025</v>
      </c>
      <c r="R1685" s="10" t="str">
        <f>IF(Tabela2[[#This Row],[Coluna9]]&gt;0,"Entrada","Saída")</f>
        <v>Saída</v>
      </c>
      <c r="S1685" s="10">
        <f>Tabela2[[#This Row],[Coluna8]]</f>
        <v>0</v>
      </c>
      <c r="T1685" s="10" t="e">
        <f>Tabela2[[#This Row],[Coluna72]]</f>
        <v>#REF!</v>
      </c>
      <c r="U1685" s="10">
        <f>SUM(Tabela2[[#This Row],[Coluna9]],Tabela2[[#This Row],[Coluna10]])</f>
        <v>3.45</v>
      </c>
      <c r="V1685" s="2" t="str">
        <f>Tabela2[[#This Row],[Coluna4]]</f>
        <v>02/10/2025</v>
      </c>
      <c r="W1685" s="2" t="str">
        <f>Tabela2[[#This Row],[Coluna6]]</f>
        <v>02/10/2025</v>
      </c>
    </row>
    <row r="1686" spans="2:23" x14ac:dyDescent="0.2">
      <c r="B1686" t="s">
        <v>18</v>
      </c>
      <c r="C1686" t="s">
        <v>95</v>
      </c>
      <c r="D1686" t="s">
        <v>13</v>
      </c>
      <c r="E1686" s="8" t="s">
        <v>21</v>
      </c>
      <c r="F1686" t="s">
        <v>15</v>
      </c>
      <c r="G1686" s="8" t="s">
        <v>21</v>
      </c>
      <c r="H1686" t="s">
        <v>693</v>
      </c>
      <c r="I1686" t="e">
        <f>VLOOKUP(Tabela2[[#This Row],[Coluna7]],[1]!Tabela1[#All],2,0)</f>
        <v>#REF!</v>
      </c>
      <c r="L1686">
        <v>3.45</v>
      </c>
      <c r="Q1686" s="10" t="str">
        <f>Tabela2[[#This Row],[Coluna5]]</f>
        <v>10/2025</v>
      </c>
      <c r="R1686" s="10" t="str">
        <f>IF(Tabela2[[#This Row],[Coluna9]]&gt;0,"Entrada","Saída")</f>
        <v>Saída</v>
      </c>
      <c r="S1686" s="10">
        <f>Tabela2[[#This Row],[Coluna8]]</f>
        <v>0</v>
      </c>
      <c r="T1686" s="10" t="e">
        <f>Tabela2[[#This Row],[Coluna72]]</f>
        <v>#REF!</v>
      </c>
      <c r="U1686" s="10">
        <f>SUM(Tabela2[[#This Row],[Coluna9]],Tabela2[[#This Row],[Coluna10]])</f>
        <v>3.45</v>
      </c>
      <c r="V1686" s="2" t="str">
        <f>Tabela2[[#This Row],[Coluna4]]</f>
        <v>06/10/2025</v>
      </c>
      <c r="W1686" s="2" t="str">
        <f>Tabela2[[#This Row],[Coluna6]]</f>
        <v>06/10/2025</v>
      </c>
    </row>
    <row r="1687" spans="2:23" x14ac:dyDescent="0.2">
      <c r="B1687" t="s">
        <v>18</v>
      </c>
      <c r="C1687" t="s">
        <v>95</v>
      </c>
      <c r="D1687" t="s">
        <v>13</v>
      </c>
      <c r="E1687" s="8" t="s">
        <v>21</v>
      </c>
      <c r="F1687" t="s">
        <v>15</v>
      </c>
      <c r="G1687" s="8" t="s">
        <v>21</v>
      </c>
      <c r="H1687" t="s">
        <v>693</v>
      </c>
      <c r="I1687" t="e">
        <f>VLOOKUP(Tabela2[[#This Row],[Coluna7]],[1]!Tabela1[#All],2,0)</f>
        <v>#REF!</v>
      </c>
      <c r="L1687">
        <v>3.45</v>
      </c>
      <c r="Q1687" s="10" t="str">
        <f>Tabela2[[#This Row],[Coluna5]]</f>
        <v>10/2025</v>
      </c>
      <c r="R1687" s="10" t="str">
        <f>IF(Tabela2[[#This Row],[Coluna9]]&gt;0,"Entrada","Saída")</f>
        <v>Saída</v>
      </c>
      <c r="S1687" s="10">
        <f>Tabela2[[#This Row],[Coluna8]]</f>
        <v>0</v>
      </c>
      <c r="T1687" s="10" t="e">
        <f>Tabela2[[#This Row],[Coluna72]]</f>
        <v>#REF!</v>
      </c>
      <c r="U1687" s="10">
        <f>SUM(Tabela2[[#This Row],[Coluna9]],Tabela2[[#This Row],[Coluna10]])</f>
        <v>3.45</v>
      </c>
      <c r="V1687" s="2" t="str">
        <f>Tabela2[[#This Row],[Coluna4]]</f>
        <v>06/10/2025</v>
      </c>
      <c r="W1687" s="2" t="str">
        <f>Tabela2[[#This Row],[Coluna6]]</f>
        <v>06/10/2025</v>
      </c>
    </row>
    <row r="1688" spans="2:23" x14ac:dyDescent="0.2">
      <c r="B1688" t="s">
        <v>18</v>
      </c>
      <c r="C1688" t="s">
        <v>95</v>
      </c>
      <c r="D1688" t="s">
        <v>13</v>
      </c>
      <c r="E1688" s="8" t="s">
        <v>21</v>
      </c>
      <c r="F1688" t="s">
        <v>15</v>
      </c>
      <c r="G1688" s="8" t="s">
        <v>21</v>
      </c>
      <c r="H1688" t="s">
        <v>693</v>
      </c>
      <c r="I1688" t="e">
        <f>VLOOKUP(Tabela2[[#This Row],[Coluna7]],[1]!Tabela1[#All],2,0)</f>
        <v>#REF!</v>
      </c>
      <c r="L1688">
        <v>3.45</v>
      </c>
      <c r="Q1688" s="10" t="str">
        <f>Tabela2[[#This Row],[Coluna5]]</f>
        <v>10/2025</v>
      </c>
      <c r="R1688" s="10" t="str">
        <f>IF(Tabela2[[#This Row],[Coluna9]]&gt;0,"Entrada","Saída")</f>
        <v>Saída</v>
      </c>
      <c r="S1688" s="10">
        <f>Tabela2[[#This Row],[Coluna8]]</f>
        <v>0</v>
      </c>
      <c r="T1688" s="10" t="e">
        <f>Tabela2[[#This Row],[Coluna72]]</f>
        <v>#REF!</v>
      </c>
      <c r="U1688" s="10">
        <f>SUM(Tabela2[[#This Row],[Coluna9]],Tabela2[[#This Row],[Coluna10]])</f>
        <v>3.45</v>
      </c>
      <c r="V1688" s="2" t="str">
        <f>Tabela2[[#This Row],[Coluna4]]</f>
        <v>06/10/2025</v>
      </c>
      <c r="W1688" s="2" t="str">
        <f>Tabela2[[#This Row],[Coluna6]]</f>
        <v>06/10/2025</v>
      </c>
    </row>
    <row r="1689" spans="2:23" x14ac:dyDescent="0.2">
      <c r="B1689" t="s">
        <v>18</v>
      </c>
      <c r="C1689" t="s">
        <v>95</v>
      </c>
      <c r="D1689" t="s">
        <v>13</v>
      </c>
      <c r="E1689" s="8" t="s">
        <v>21</v>
      </c>
      <c r="F1689" t="s">
        <v>15</v>
      </c>
      <c r="G1689" s="8" t="s">
        <v>21</v>
      </c>
      <c r="H1689" t="s">
        <v>693</v>
      </c>
      <c r="I1689" t="e">
        <f>VLOOKUP(Tabela2[[#This Row],[Coluna7]],[1]!Tabela1[#All],2,0)</f>
        <v>#REF!</v>
      </c>
      <c r="L1689">
        <v>3.45</v>
      </c>
      <c r="Q1689" s="10" t="str">
        <f>Tabela2[[#This Row],[Coluna5]]</f>
        <v>10/2025</v>
      </c>
      <c r="R1689" s="10" t="str">
        <f>IF(Tabela2[[#This Row],[Coluna9]]&gt;0,"Entrada","Saída")</f>
        <v>Saída</v>
      </c>
      <c r="S1689" s="10">
        <f>Tabela2[[#This Row],[Coluna8]]</f>
        <v>0</v>
      </c>
      <c r="T1689" s="10" t="e">
        <f>Tabela2[[#This Row],[Coluna72]]</f>
        <v>#REF!</v>
      </c>
      <c r="U1689" s="10">
        <f>SUM(Tabela2[[#This Row],[Coluna9]],Tabela2[[#This Row],[Coluna10]])</f>
        <v>3.45</v>
      </c>
      <c r="V1689" s="2" t="str">
        <f>Tabela2[[#This Row],[Coluna4]]</f>
        <v>06/10/2025</v>
      </c>
      <c r="W1689" s="2" t="str">
        <f>Tabela2[[#This Row],[Coluna6]]</f>
        <v>06/10/2025</v>
      </c>
    </row>
    <row r="1690" spans="2:23" x14ac:dyDescent="0.2">
      <c r="B1690" t="s">
        <v>18</v>
      </c>
      <c r="C1690" t="s">
        <v>95</v>
      </c>
      <c r="D1690" t="s">
        <v>13</v>
      </c>
      <c r="E1690" s="8" t="s">
        <v>21</v>
      </c>
      <c r="F1690" t="s">
        <v>15</v>
      </c>
      <c r="G1690" s="8" t="s">
        <v>21</v>
      </c>
      <c r="H1690" t="s">
        <v>693</v>
      </c>
      <c r="I1690" t="e">
        <f>VLOOKUP(Tabela2[[#This Row],[Coluna7]],[1]!Tabela1[#All],2,0)</f>
        <v>#REF!</v>
      </c>
      <c r="L1690">
        <v>3.45</v>
      </c>
      <c r="Q1690" s="10" t="str">
        <f>Tabela2[[#This Row],[Coluna5]]</f>
        <v>10/2025</v>
      </c>
      <c r="R1690" s="10" t="str">
        <f>IF(Tabela2[[#This Row],[Coluna9]]&gt;0,"Entrada","Saída")</f>
        <v>Saída</v>
      </c>
      <c r="S1690" s="10">
        <f>Tabela2[[#This Row],[Coluna8]]</f>
        <v>0</v>
      </c>
      <c r="T1690" s="10" t="e">
        <f>Tabela2[[#This Row],[Coluna72]]</f>
        <v>#REF!</v>
      </c>
      <c r="U1690" s="10">
        <f>SUM(Tabela2[[#This Row],[Coluna9]],Tabela2[[#This Row],[Coluna10]])</f>
        <v>3.45</v>
      </c>
      <c r="V1690" s="2" t="str">
        <f>Tabela2[[#This Row],[Coluna4]]</f>
        <v>06/10/2025</v>
      </c>
      <c r="W1690" s="2" t="str">
        <f>Tabela2[[#This Row],[Coluna6]]</f>
        <v>06/10/2025</v>
      </c>
    </row>
    <row r="1691" spans="2:23" x14ac:dyDescent="0.2">
      <c r="B1691" t="s">
        <v>18</v>
      </c>
      <c r="C1691" t="s">
        <v>95</v>
      </c>
      <c r="D1691" t="s">
        <v>13</v>
      </c>
      <c r="E1691" s="8" t="s">
        <v>142</v>
      </c>
      <c r="F1691" t="s">
        <v>15</v>
      </c>
      <c r="G1691" s="8" t="s">
        <v>142</v>
      </c>
      <c r="H1691" t="s">
        <v>693</v>
      </c>
      <c r="I1691" t="e">
        <f>VLOOKUP(Tabela2[[#This Row],[Coluna7]],[1]!Tabela1[#All],2,0)</f>
        <v>#REF!</v>
      </c>
      <c r="L1691">
        <v>3.45</v>
      </c>
      <c r="Q1691" s="10" t="str">
        <f>Tabela2[[#This Row],[Coluna5]]</f>
        <v>10/2025</v>
      </c>
      <c r="R1691" s="10" t="str">
        <f>IF(Tabela2[[#This Row],[Coluna9]]&gt;0,"Entrada","Saída")</f>
        <v>Saída</v>
      </c>
      <c r="S1691" s="10">
        <f>Tabela2[[#This Row],[Coluna8]]</f>
        <v>0</v>
      </c>
      <c r="T1691" s="10" t="e">
        <f>Tabela2[[#This Row],[Coluna72]]</f>
        <v>#REF!</v>
      </c>
      <c r="U1691" s="10">
        <f>SUM(Tabela2[[#This Row],[Coluna9]],Tabela2[[#This Row],[Coluna10]])</f>
        <v>3.45</v>
      </c>
      <c r="V1691" s="2" t="str">
        <f>Tabela2[[#This Row],[Coluna4]]</f>
        <v>07/10/2025</v>
      </c>
      <c r="W1691" s="2" t="str">
        <f>Tabela2[[#This Row],[Coluna6]]</f>
        <v>07/10/2025</v>
      </c>
    </row>
    <row r="1692" spans="2:23" x14ac:dyDescent="0.2">
      <c r="B1692" t="s">
        <v>18</v>
      </c>
      <c r="C1692" t="s">
        <v>95</v>
      </c>
      <c r="D1692" t="s">
        <v>13</v>
      </c>
      <c r="E1692" s="8" t="s">
        <v>142</v>
      </c>
      <c r="F1692" t="s">
        <v>15</v>
      </c>
      <c r="G1692" s="8" t="s">
        <v>142</v>
      </c>
      <c r="H1692" t="s">
        <v>693</v>
      </c>
      <c r="I1692" t="e">
        <f>VLOOKUP(Tabela2[[#This Row],[Coluna7]],[1]!Tabela1[#All],2,0)</f>
        <v>#REF!</v>
      </c>
      <c r="L1692">
        <v>3.45</v>
      </c>
      <c r="Q1692" s="10" t="str">
        <f>Tabela2[[#This Row],[Coluna5]]</f>
        <v>10/2025</v>
      </c>
      <c r="R1692" s="10" t="str">
        <f>IF(Tabela2[[#This Row],[Coluna9]]&gt;0,"Entrada","Saída")</f>
        <v>Saída</v>
      </c>
      <c r="S1692" s="10">
        <f>Tabela2[[#This Row],[Coluna8]]</f>
        <v>0</v>
      </c>
      <c r="T1692" s="10" t="e">
        <f>Tabela2[[#This Row],[Coluna72]]</f>
        <v>#REF!</v>
      </c>
      <c r="U1692" s="10">
        <f>SUM(Tabela2[[#This Row],[Coluna9]],Tabela2[[#This Row],[Coluna10]])</f>
        <v>3.45</v>
      </c>
      <c r="V1692" s="2" t="str">
        <f>Tabela2[[#This Row],[Coluna4]]</f>
        <v>07/10/2025</v>
      </c>
      <c r="W1692" s="2" t="str">
        <f>Tabela2[[#This Row],[Coluna6]]</f>
        <v>07/10/2025</v>
      </c>
    </row>
    <row r="1693" spans="2:23" x14ac:dyDescent="0.2">
      <c r="B1693" t="s">
        <v>18</v>
      </c>
      <c r="C1693" t="s">
        <v>95</v>
      </c>
      <c r="D1693" t="s">
        <v>13</v>
      </c>
      <c r="E1693" s="8" t="s">
        <v>142</v>
      </c>
      <c r="F1693" t="s">
        <v>15</v>
      </c>
      <c r="G1693" s="8" t="s">
        <v>142</v>
      </c>
      <c r="H1693" t="s">
        <v>693</v>
      </c>
      <c r="I1693" t="e">
        <f>VLOOKUP(Tabela2[[#This Row],[Coluna7]],[1]!Tabela1[#All],2,0)</f>
        <v>#REF!</v>
      </c>
      <c r="L1693">
        <v>3.45</v>
      </c>
      <c r="Q1693" s="10" t="str">
        <f>Tabela2[[#This Row],[Coluna5]]</f>
        <v>10/2025</v>
      </c>
      <c r="R1693" s="10" t="str">
        <f>IF(Tabela2[[#This Row],[Coluna9]]&gt;0,"Entrada","Saída")</f>
        <v>Saída</v>
      </c>
      <c r="S1693" s="10">
        <f>Tabela2[[#This Row],[Coluna8]]</f>
        <v>0</v>
      </c>
      <c r="T1693" s="10" t="e">
        <f>Tabela2[[#This Row],[Coluna72]]</f>
        <v>#REF!</v>
      </c>
      <c r="U1693" s="10">
        <f>SUM(Tabela2[[#This Row],[Coluna9]],Tabela2[[#This Row],[Coluna10]])</f>
        <v>3.45</v>
      </c>
      <c r="V1693" s="2" t="str">
        <f>Tabela2[[#This Row],[Coluna4]]</f>
        <v>07/10/2025</v>
      </c>
      <c r="W1693" s="2" t="str">
        <f>Tabela2[[#This Row],[Coluna6]]</f>
        <v>07/10/2025</v>
      </c>
    </row>
    <row r="1694" spans="2:23" x14ac:dyDescent="0.2">
      <c r="B1694" t="s">
        <v>18</v>
      </c>
      <c r="C1694" t="s">
        <v>95</v>
      </c>
      <c r="D1694" t="s">
        <v>13</v>
      </c>
      <c r="E1694" s="8" t="s">
        <v>24</v>
      </c>
      <c r="F1694" t="s">
        <v>15</v>
      </c>
      <c r="G1694" s="8" t="s">
        <v>24</v>
      </c>
      <c r="H1694" t="s">
        <v>693</v>
      </c>
      <c r="I1694" t="e">
        <f>VLOOKUP(Tabela2[[#This Row],[Coluna7]],[1]!Tabela1[#All],2,0)</f>
        <v>#REF!</v>
      </c>
      <c r="L1694">
        <v>3.45</v>
      </c>
      <c r="Q1694" s="10" t="str">
        <f>Tabela2[[#This Row],[Coluna5]]</f>
        <v>10/2025</v>
      </c>
      <c r="R1694" s="10" t="str">
        <f>IF(Tabela2[[#This Row],[Coluna9]]&gt;0,"Entrada","Saída")</f>
        <v>Saída</v>
      </c>
      <c r="S1694" s="10">
        <f>Tabela2[[#This Row],[Coluna8]]</f>
        <v>0</v>
      </c>
      <c r="T1694" s="10" t="e">
        <f>Tabela2[[#This Row],[Coluna72]]</f>
        <v>#REF!</v>
      </c>
      <c r="U1694" s="10">
        <f>SUM(Tabela2[[#This Row],[Coluna9]],Tabela2[[#This Row],[Coluna10]])</f>
        <v>3.45</v>
      </c>
      <c r="V1694" s="2" t="str">
        <f>Tabela2[[#This Row],[Coluna4]]</f>
        <v>08/10/2025</v>
      </c>
      <c r="W1694" s="2" t="str">
        <f>Tabela2[[#This Row],[Coluna6]]</f>
        <v>08/10/2025</v>
      </c>
    </row>
    <row r="1695" spans="2:23" x14ac:dyDescent="0.2">
      <c r="B1695" t="s">
        <v>18</v>
      </c>
      <c r="C1695" t="s">
        <v>95</v>
      </c>
      <c r="D1695" t="s">
        <v>13</v>
      </c>
      <c r="E1695" s="8" t="s">
        <v>24</v>
      </c>
      <c r="F1695" t="s">
        <v>15</v>
      </c>
      <c r="G1695" s="8" t="s">
        <v>24</v>
      </c>
      <c r="H1695" t="s">
        <v>693</v>
      </c>
      <c r="I1695" t="e">
        <f>VLOOKUP(Tabela2[[#This Row],[Coluna7]],[1]!Tabela1[#All],2,0)</f>
        <v>#REF!</v>
      </c>
      <c r="L1695">
        <v>3.45</v>
      </c>
      <c r="Q1695" s="10" t="str">
        <f>Tabela2[[#This Row],[Coluna5]]</f>
        <v>10/2025</v>
      </c>
      <c r="R1695" s="10" t="str">
        <f>IF(Tabela2[[#This Row],[Coluna9]]&gt;0,"Entrada","Saída")</f>
        <v>Saída</v>
      </c>
      <c r="S1695" s="10">
        <f>Tabela2[[#This Row],[Coluna8]]</f>
        <v>0</v>
      </c>
      <c r="T1695" s="10" t="e">
        <f>Tabela2[[#This Row],[Coluna72]]</f>
        <v>#REF!</v>
      </c>
      <c r="U1695" s="10">
        <f>SUM(Tabela2[[#This Row],[Coluna9]],Tabela2[[#This Row],[Coluna10]])</f>
        <v>3.45</v>
      </c>
      <c r="V1695" s="2" t="str">
        <f>Tabela2[[#This Row],[Coluna4]]</f>
        <v>08/10/2025</v>
      </c>
      <c r="W1695" s="2" t="str">
        <f>Tabela2[[#This Row],[Coluna6]]</f>
        <v>08/10/2025</v>
      </c>
    </row>
    <row r="1696" spans="2:23" x14ac:dyDescent="0.2">
      <c r="B1696" t="s">
        <v>18</v>
      </c>
      <c r="C1696" t="s">
        <v>95</v>
      </c>
      <c r="D1696" t="s">
        <v>13</v>
      </c>
      <c r="E1696" s="8" t="s">
        <v>24</v>
      </c>
      <c r="F1696" t="s">
        <v>15</v>
      </c>
      <c r="G1696" s="8" t="s">
        <v>24</v>
      </c>
      <c r="H1696" t="s">
        <v>693</v>
      </c>
      <c r="I1696" t="e">
        <f>VLOOKUP(Tabela2[[#This Row],[Coluna7]],[1]!Tabela1[#All],2,0)</f>
        <v>#REF!</v>
      </c>
      <c r="L1696">
        <v>3.45</v>
      </c>
      <c r="Q1696" s="10" t="str">
        <f>Tabela2[[#This Row],[Coluna5]]</f>
        <v>10/2025</v>
      </c>
      <c r="R1696" s="10" t="str">
        <f>IF(Tabela2[[#This Row],[Coluna9]]&gt;0,"Entrada","Saída")</f>
        <v>Saída</v>
      </c>
      <c r="S1696" s="10">
        <f>Tabela2[[#This Row],[Coluna8]]</f>
        <v>0</v>
      </c>
      <c r="T1696" s="10" t="e">
        <f>Tabela2[[#This Row],[Coluna72]]</f>
        <v>#REF!</v>
      </c>
      <c r="U1696" s="10">
        <f>SUM(Tabela2[[#This Row],[Coluna9]],Tabela2[[#This Row],[Coluna10]])</f>
        <v>3.45</v>
      </c>
      <c r="V1696" s="2" t="str">
        <f>Tabela2[[#This Row],[Coluna4]]</f>
        <v>08/10/2025</v>
      </c>
      <c r="W1696" s="2" t="str">
        <f>Tabela2[[#This Row],[Coluna6]]</f>
        <v>08/10/2025</v>
      </c>
    </row>
    <row r="1697" spans="2:23" x14ac:dyDescent="0.2">
      <c r="B1697" t="s">
        <v>18</v>
      </c>
      <c r="C1697" t="s">
        <v>95</v>
      </c>
      <c r="D1697" t="s">
        <v>13</v>
      </c>
      <c r="E1697" s="8" t="s">
        <v>167</v>
      </c>
      <c r="F1697" t="s">
        <v>15</v>
      </c>
      <c r="G1697" s="8" t="s">
        <v>167</v>
      </c>
      <c r="H1697" t="s">
        <v>693</v>
      </c>
      <c r="I1697" t="e">
        <f>VLOOKUP(Tabela2[[#This Row],[Coluna7]],[1]!Tabela1[#All],2,0)</f>
        <v>#REF!</v>
      </c>
      <c r="L1697">
        <v>3.45</v>
      </c>
      <c r="Q1697" s="10" t="str">
        <f>Tabela2[[#This Row],[Coluna5]]</f>
        <v>10/2025</v>
      </c>
      <c r="R1697" s="10" t="str">
        <f>IF(Tabela2[[#This Row],[Coluna9]]&gt;0,"Entrada","Saída")</f>
        <v>Saída</v>
      </c>
      <c r="S1697" s="10">
        <f>Tabela2[[#This Row],[Coluna8]]</f>
        <v>0</v>
      </c>
      <c r="T1697" s="10" t="e">
        <f>Tabela2[[#This Row],[Coluna72]]</f>
        <v>#REF!</v>
      </c>
      <c r="U1697" s="10">
        <f>SUM(Tabela2[[#This Row],[Coluna9]],Tabela2[[#This Row],[Coluna10]])</f>
        <v>3.45</v>
      </c>
      <c r="V1697" s="2" t="str">
        <f>Tabela2[[#This Row],[Coluna4]]</f>
        <v>14/10/2025</v>
      </c>
      <c r="W1697" s="2" t="str">
        <f>Tabela2[[#This Row],[Coluna6]]</f>
        <v>14/10/2025</v>
      </c>
    </row>
    <row r="1698" spans="2:23" x14ac:dyDescent="0.2">
      <c r="B1698" t="s">
        <v>27</v>
      </c>
      <c r="C1698" t="s">
        <v>95</v>
      </c>
      <c r="D1698" t="s">
        <v>13</v>
      </c>
      <c r="E1698" s="8" t="s">
        <v>28</v>
      </c>
      <c r="F1698" t="s">
        <v>15</v>
      </c>
      <c r="G1698" s="8" t="s">
        <v>28</v>
      </c>
      <c r="H1698" t="s">
        <v>693</v>
      </c>
      <c r="I1698" t="e">
        <f>VLOOKUP(Tabela2[[#This Row],[Coluna7]],[1]!Tabela1[#All],2,0)</f>
        <v>#REF!</v>
      </c>
      <c r="J1698" t="s">
        <v>694</v>
      </c>
      <c r="L1698">
        <v>168.5</v>
      </c>
      <c r="Q1698" s="10" t="str">
        <f>Tabela2[[#This Row],[Coluna5]]</f>
        <v>10/2025</v>
      </c>
      <c r="R1698" s="10" t="str">
        <f>IF(Tabela2[[#This Row],[Coluna9]]&gt;0,"Entrada","Saída")</f>
        <v>Saída</v>
      </c>
      <c r="S1698" s="10" t="str">
        <f>Tabela2[[#This Row],[Coluna8]]</f>
        <v>CESTA PJ</v>
      </c>
      <c r="T1698" s="10" t="e">
        <f>Tabela2[[#This Row],[Coluna72]]</f>
        <v>#REF!</v>
      </c>
      <c r="U1698" s="10">
        <f>SUM(Tabela2[[#This Row],[Coluna9]],Tabela2[[#This Row],[Coluna10]])</f>
        <v>168.5</v>
      </c>
      <c r="V1698" s="2" t="str">
        <f>Tabela2[[#This Row],[Coluna4]]</f>
        <v>15/10/2025</v>
      </c>
      <c r="W1698" s="2" t="str">
        <f>Tabela2[[#This Row],[Coluna6]]</f>
        <v>15/10/2025</v>
      </c>
    </row>
    <row r="1699" spans="2:23" x14ac:dyDescent="0.2">
      <c r="B1699" t="s">
        <v>18</v>
      </c>
      <c r="C1699" t="s">
        <v>95</v>
      </c>
      <c r="D1699" t="s">
        <v>13</v>
      </c>
      <c r="E1699" s="8" t="s">
        <v>191</v>
      </c>
      <c r="F1699" t="s">
        <v>15</v>
      </c>
      <c r="G1699" s="8" t="s">
        <v>191</v>
      </c>
      <c r="H1699" t="s">
        <v>693</v>
      </c>
      <c r="I1699" t="e">
        <f>VLOOKUP(Tabela2[[#This Row],[Coluna7]],[1]!Tabela1[#All],2,0)</f>
        <v>#REF!</v>
      </c>
      <c r="J1699" t="s">
        <v>695</v>
      </c>
      <c r="L1699">
        <v>3.45</v>
      </c>
      <c r="Q1699" s="10" t="str">
        <f>Tabela2[[#This Row],[Coluna5]]</f>
        <v>10/2025</v>
      </c>
      <c r="R1699" s="10" t="str">
        <f>IF(Tabela2[[#This Row],[Coluna9]]&gt;0,"Entrada","Saída")</f>
        <v>Saída</v>
      </c>
      <c r="S1699" s="10" t="str">
        <f>Tabela2[[#This Row],[Coluna8]]</f>
        <v>EFÍ</v>
      </c>
      <c r="T1699" s="10" t="e">
        <f>Tabela2[[#This Row],[Coluna72]]</f>
        <v>#REF!</v>
      </c>
      <c r="U1699" s="10">
        <f>SUM(Tabela2[[#This Row],[Coluna9]],Tabela2[[#This Row],[Coluna10]])</f>
        <v>3.45</v>
      </c>
      <c r="V1699" s="2" t="str">
        <f>Tabela2[[#This Row],[Coluna4]]</f>
        <v>21/10/2025</v>
      </c>
      <c r="W1699" s="2" t="str">
        <f>Tabela2[[#This Row],[Coluna6]]</f>
        <v>21/10/2025</v>
      </c>
    </row>
    <row r="1700" spans="2:23" x14ac:dyDescent="0.2">
      <c r="B1700" t="s">
        <v>18</v>
      </c>
      <c r="C1700" t="s">
        <v>95</v>
      </c>
      <c r="D1700" t="s">
        <v>13</v>
      </c>
      <c r="E1700" s="8" t="s">
        <v>190</v>
      </c>
      <c r="F1700" t="s">
        <v>15</v>
      </c>
      <c r="G1700" s="8" t="s">
        <v>190</v>
      </c>
      <c r="H1700" t="s">
        <v>693</v>
      </c>
      <c r="I1700" t="e">
        <f>VLOOKUP(Tabela2[[#This Row],[Coluna7]],[1]!Tabela1[#All],2,0)</f>
        <v>#REF!</v>
      </c>
      <c r="J1700" t="s">
        <v>695</v>
      </c>
      <c r="L1700">
        <v>3.45</v>
      </c>
      <c r="Q1700" s="10" t="str">
        <f>Tabela2[[#This Row],[Coluna5]]</f>
        <v>10/2025</v>
      </c>
      <c r="R1700" s="10" t="str">
        <f>IF(Tabela2[[#This Row],[Coluna9]]&gt;0,"Entrada","Saída")</f>
        <v>Saída</v>
      </c>
      <c r="S1700" s="10" t="str">
        <f>Tabela2[[#This Row],[Coluna8]]</f>
        <v>EFÍ</v>
      </c>
      <c r="T1700" s="10" t="e">
        <f>Tabela2[[#This Row],[Coluna72]]</f>
        <v>#REF!</v>
      </c>
      <c r="U1700" s="10">
        <f>SUM(Tabela2[[#This Row],[Coluna9]],Tabela2[[#This Row],[Coluna10]])</f>
        <v>3.45</v>
      </c>
      <c r="V1700" s="2" t="str">
        <f>Tabela2[[#This Row],[Coluna4]]</f>
        <v>22/10/2025</v>
      </c>
      <c r="W1700" s="2" t="str">
        <f>Tabela2[[#This Row],[Coluna6]]</f>
        <v>22/10/2025</v>
      </c>
    </row>
    <row r="1701" spans="2:23" x14ac:dyDescent="0.2">
      <c r="B1701" t="s">
        <v>18</v>
      </c>
      <c r="C1701" t="s">
        <v>95</v>
      </c>
      <c r="D1701" t="s">
        <v>13</v>
      </c>
      <c r="E1701" s="8" t="s">
        <v>190</v>
      </c>
      <c r="F1701" t="s">
        <v>15</v>
      </c>
      <c r="G1701" s="8" t="s">
        <v>190</v>
      </c>
      <c r="H1701" t="s">
        <v>693</v>
      </c>
      <c r="I1701" t="e">
        <f>VLOOKUP(Tabela2[[#This Row],[Coluna7]],[1]!Tabela1[#All],2,0)</f>
        <v>#REF!</v>
      </c>
      <c r="J1701" t="s">
        <v>696</v>
      </c>
      <c r="L1701">
        <v>3.45</v>
      </c>
      <c r="Q1701" s="10" t="str">
        <f>Tabela2[[#This Row],[Coluna5]]</f>
        <v>10/2025</v>
      </c>
      <c r="R1701" s="10" t="str">
        <f>IF(Tabela2[[#This Row],[Coluna9]]&gt;0,"Entrada","Saída")</f>
        <v>Saída</v>
      </c>
      <c r="S1701" s="10" t="str">
        <f>Tabela2[[#This Row],[Coluna8]]</f>
        <v>EFI</v>
      </c>
      <c r="T1701" s="10" t="e">
        <f>Tabela2[[#This Row],[Coluna72]]</f>
        <v>#REF!</v>
      </c>
      <c r="U1701" s="10">
        <f>SUM(Tabela2[[#This Row],[Coluna9]],Tabela2[[#This Row],[Coluna10]])</f>
        <v>3.45</v>
      </c>
      <c r="V1701" s="2" t="str">
        <f>Tabela2[[#This Row],[Coluna4]]</f>
        <v>22/10/2025</v>
      </c>
      <c r="W1701" s="2" t="str">
        <f>Tabela2[[#This Row],[Coluna6]]</f>
        <v>22/10/2025</v>
      </c>
    </row>
    <row r="1702" spans="2:23" x14ac:dyDescent="0.2">
      <c r="B1702" t="s">
        <v>18</v>
      </c>
      <c r="C1702" t="s">
        <v>95</v>
      </c>
      <c r="D1702" t="s">
        <v>13</v>
      </c>
      <c r="E1702" s="8" t="s">
        <v>190</v>
      </c>
      <c r="F1702" t="s">
        <v>15</v>
      </c>
      <c r="G1702" s="8" t="s">
        <v>190</v>
      </c>
      <c r="H1702" t="s">
        <v>693</v>
      </c>
      <c r="I1702" t="e">
        <f>VLOOKUP(Tabela2[[#This Row],[Coluna7]],[1]!Tabela1[#All],2,0)</f>
        <v>#REF!</v>
      </c>
      <c r="J1702" t="s">
        <v>696</v>
      </c>
      <c r="L1702">
        <v>3.45</v>
      </c>
      <c r="Q1702" s="10" t="str">
        <f>Tabela2[[#This Row],[Coluna5]]</f>
        <v>10/2025</v>
      </c>
      <c r="R1702" s="10" t="str">
        <f>IF(Tabela2[[#This Row],[Coluna9]]&gt;0,"Entrada","Saída")</f>
        <v>Saída</v>
      </c>
      <c r="S1702" s="10" t="str">
        <f>Tabela2[[#This Row],[Coluna8]]</f>
        <v>EFI</v>
      </c>
      <c r="T1702" s="10" t="e">
        <f>Tabela2[[#This Row],[Coluna72]]</f>
        <v>#REF!</v>
      </c>
      <c r="U1702" s="10">
        <f>SUM(Tabela2[[#This Row],[Coluna9]],Tabela2[[#This Row],[Coluna10]])</f>
        <v>3.45</v>
      </c>
      <c r="V1702" s="2" t="str">
        <f>Tabela2[[#This Row],[Coluna4]]</f>
        <v>22/10/2025</v>
      </c>
      <c r="W1702" s="2" t="str">
        <f>Tabela2[[#This Row],[Coluna6]]</f>
        <v>22/10/2025</v>
      </c>
    </row>
    <row r="1703" spans="2:23" x14ac:dyDescent="0.2">
      <c r="B1703" t="s">
        <v>12</v>
      </c>
      <c r="C1703" t="s">
        <v>95</v>
      </c>
      <c r="D1703" t="s">
        <v>13</v>
      </c>
      <c r="E1703" s="8" t="s">
        <v>38</v>
      </c>
      <c r="F1703" t="s">
        <v>15</v>
      </c>
      <c r="G1703" s="8" t="s">
        <v>38</v>
      </c>
      <c r="H1703" t="s">
        <v>693</v>
      </c>
      <c r="I1703" t="e">
        <f>VLOOKUP(Tabela2[[#This Row],[Coluna7]],[1]!Tabela1[#All],2,0)</f>
        <v>#REF!</v>
      </c>
      <c r="J1703" t="s">
        <v>694</v>
      </c>
      <c r="L1703">
        <v>75</v>
      </c>
      <c r="Q1703" s="10" t="str">
        <f>Tabela2[[#This Row],[Coluna5]]</f>
        <v>10/2025</v>
      </c>
      <c r="R1703" s="10" t="str">
        <f>IF(Tabela2[[#This Row],[Coluna9]]&gt;0,"Entrada","Saída")</f>
        <v>Saída</v>
      </c>
      <c r="S1703" s="10" t="str">
        <f>Tabela2[[#This Row],[Coluna8]]</f>
        <v>CESTA PJ</v>
      </c>
      <c r="T1703" s="10" t="e">
        <f>Tabela2[[#This Row],[Coluna72]]</f>
        <v>#REF!</v>
      </c>
      <c r="U1703" s="10">
        <f>SUM(Tabela2[[#This Row],[Coluna9]],Tabela2[[#This Row],[Coluna10]])</f>
        <v>75</v>
      </c>
      <c r="V1703" s="2" t="str">
        <f>Tabela2[[#This Row],[Coluna4]]</f>
        <v>27/10/2025</v>
      </c>
      <c r="W1703" s="2" t="str">
        <f>Tabela2[[#This Row],[Coluna6]]</f>
        <v>27/10/2025</v>
      </c>
    </row>
    <row r="1704" spans="2:23" x14ac:dyDescent="0.2">
      <c r="B1704" t="s">
        <v>18</v>
      </c>
      <c r="C1704" t="s">
        <v>95</v>
      </c>
      <c r="D1704" t="s">
        <v>13</v>
      </c>
      <c r="E1704" s="8" t="s">
        <v>38</v>
      </c>
      <c r="F1704" t="s">
        <v>15</v>
      </c>
      <c r="G1704" s="8" t="s">
        <v>38</v>
      </c>
      <c r="H1704" t="s">
        <v>693</v>
      </c>
      <c r="I1704" t="e">
        <f>VLOOKUP(Tabela2[[#This Row],[Coluna7]],[1]!Tabela1[#All],2,0)</f>
        <v>#REF!</v>
      </c>
      <c r="J1704" t="s">
        <v>695</v>
      </c>
      <c r="L1704">
        <v>3.45</v>
      </c>
      <c r="Q1704" s="10" t="str">
        <f>Tabela2[[#This Row],[Coluna5]]</f>
        <v>10/2025</v>
      </c>
      <c r="R1704" s="10" t="str">
        <f>IF(Tabela2[[#This Row],[Coluna9]]&gt;0,"Entrada","Saída")</f>
        <v>Saída</v>
      </c>
      <c r="S1704" s="10" t="str">
        <f>Tabela2[[#This Row],[Coluna8]]</f>
        <v>EFÍ</v>
      </c>
      <c r="T1704" s="10" t="e">
        <f>Tabela2[[#This Row],[Coluna72]]</f>
        <v>#REF!</v>
      </c>
      <c r="U1704" s="10">
        <f>SUM(Tabela2[[#This Row],[Coluna9]],Tabela2[[#This Row],[Coluna10]])</f>
        <v>3.45</v>
      </c>
      <c r="V1704" s="2" t="str">
        <f>Tabela2[[#This Row],[Coluna4]]</f>
        <v>27/10/2025</v>
      </c>
      <c r="W1704" s="2" t="str">
        <f>Tabela2[[#This Row],[Coluna6]]</f>
        <v>27/10/2025</v>
      </c>
    </row>
    <row r="1705" spans="2:23" x14ac:dyDescent="0.2">
      <c r="B1705" t="s">
        <v>18</v>
      </c>
      <c r="C1705" t="s">
        <v>95</v>
      </c>
      <c r="D1705" t="s">
        <v>13</v>
      </c>
      <c r="E1705" s="8" t="s">
        <v>38</v>
      </c>
      <c r="F1705" t="s">
        <v>42</v>
      </c>
      <c r="G1705" s="8" t="s">
        <v>38</v>
      </c>
      <c r="H1705" t="s">
        <v>693</v>
      </c>
      <c r="I1705" t="e">
        <f>VLOOKUP(Tabela2[[#This Row],[Coluna7]],[1]!Tabela1[#All],2,0)</f>
        <v>#REF!</v>
      </c>
      <c r="L1705">
        <v>3.45</v>
      </c>
      <c r="Q1705" s="10" t="str">
        <f>Tabela2[[#This Row],[Coluna5]]</f>
        <v>11/2025</v>
      </c>
      <c r="R1705" s="10" t="str">
        <f>IF(Tabela2[[#This Row],[Coluna9]]&gt;0,"Entrada","Saída")</f>
        <v>Saída</v>
      </c>
      <c r="S1705" s="10">
        <f>Tabela2[[#This Row],[Coluna8]]</f>
        <v>0</v>
      </c>
      <c r="T1705" s="10" t="e">
        <f>Tabela2[[#This Row],[Coluna72]]</f>
        <v>#REF!</v>
      </c>
      <c r="U1705" s="10">
        <f>SUM(Tabela2[[#This Row],[Coluna9]],Tabela2[[#This Row],[Coluna10]])</f>
        <v>3.45</v>
      </c>
      <c r="V1705" s="2" t="str">
        <f>Tabela2[[#This Row],[Coluna4]]</f>
        <v>27/10/2025</v>
      </c>
      <c r="W1705" s="2" t="str">
        <f>Tabela2[[#This Row],[Coluna6]]</f>
        <v>27/10/2025</v>
      </c>
    </row>
    <row r="1706" spans="2:23" x14ac:dyDescent="0.2">
      <c r="B1706" t="s">
        <v>18</v>
      </c>
      <c r="C1706" t="s">
        <v>95</v>
      </c>
      <c r="D1706" t="s">
        <v>13</v>
      </c>
      <c r="E1706" s="8" t="s">
        <v>127</v>
      </c>
      <c r="F1706" t="s">
        <v>42</v>
      </c>
      <c r="G1706" s="8" t="s">
        <v>127</v>
      </c>
      <c r="H1706" t="s">
        <v>693</v>
      </c>
      <c r="I1706" t="e">
        <f>VLOOKUP(Tabela2[[#This Row],[Coluna7]],[1]!Tabela1[#All],2,0)</f>
        <v>#REF!</v>
      </c>
      <c r="J1706" t="s">
        <v>695</v>
      </c>
      <c r="L1706">
        <v>3.45</v>
      </c>
      <c r="Q1706" s="10" t="str">
        <f>Tabela2[[#This Row],[Coluna5]]</f>
        <v>11/2025</v>
      </c>
      <c r="R1706" s="10" t="str">
        <f>IF(Tabela2[[#This Row],[Coluna9]]&gt;0,"Entrada","Saída")</f>
        <v>Saída</v>
      </c>
      <c r="S1706" s="10" t="str">
        <f>Tabela2[[#This Row],[Coluna8]]</f>
        <v>EFÍ</v>
      </c>
      <c r="T1706" s="10" t="e">
        <f>Tabela2[[#This Row],[Coluna72]]</f>
        <v>#REF!</v>
      </c>
      <c r="U1706" s="10">
        <f>SUM(Tabela2[[#This Row],[Coluna9]],Tabela2[[#This Row],[Coluna10]])</f>
        <v>3.45</v>
      </c>
      <c r="V1706" s="2" t="str">
        <f>Tabela2[[#This Row],[Coluna4]]</f>
        <v>29/10/2025</v>
      </c>
      <c r="W1706" s="2" t="str">
        <f>Tabela2[[#This Row],[Coluna6]]</f>
        <v>29/10/2025</v>
      </c>
    </row>
    <row r="1707" spans="2:23" x14ac:dyDescent="0.2">
      <c r="B1707" t="s">
        <v>215</v>
      </c>
      <c r="C1707" t="s">
        <v>95</v>
      </c>
      <c r="D1707" t="s">
        <v>13</v>
      </c>
      <c r="E1707" s="8" t="s">
        <v>216</v>
      </c>
      <c r="F1707" t="s">
        <v>42</v>
      </c>
      <c r="G1707" s="8" t="s">
        <v>216</v>
      </c>
      <c r="H1707" t="s">
        <v>693</v>
      </c>
      <c r="I1707" t="e">
        <f>VLOOKUP(Tabela2[[#This Row],[Coluna7]],[1]!Tabela1[#All],2,0)</f>
        <v>#REF!</v>
      </c>
      <c r="J1707" t="s">
        <v>697</v>
      </c>
      <c r="L1707">
        <v>0.99</v>
      </c>
      <c r="Q1707" s="10" t="str">
        <f>Tabela2[[#This Row],[Coluna5]]</f>
        <v>11/2025</v>
      </c>
      <c r="R1707" s="10" t="str">
        <f>IF(Tabela2[[#This Row],[Coluna9]]&gt;0,"Entrada","Saída")</f>
        <v>Saída</v>
      </c>
      <c r="S1707" s="10" t="str">
        <f>Tabela2[[#This Row],[Coluna8]]</f>
        <v>TAXA PIX TESTE</v>
      </c>
      <c r="T1707" s="10" t="e">
        <f>Tabela2[[#This Row],[Coluna72]]</f>
        <v>#REF!</v>
      </c>
      <c r="U1707" s="10">
        <f>SUM(Tabela2[[#This Row],[Coluna9]],Tabela2[[#This Row],[Coluna10]])</f>
        <v>0.99</v>
      </c>
      <c r="V1707" s="2" t="str">
        <f>Tabela2[[#This Row],[Coluna4]]</f>
        <v>02/11/2025</v>
      </c>
      <c r="W1707" s="2" t="str">
        <f>Tabela2[[#This Row],[Coluna6]]</f>
        <v>02/11/2025</v>
      </c>
    </row>
    <row r="1708" spans="2:23" x14ac:dyDescent="0.2">
      <c r="B1708" t="s">
        <v>18</v>
      </c>
      <c r="C1708" t="s">
        <v>95</v>
      </c>
      <c r="D1708" t="s">
        <v>13</v>
      </c>
      <c r="E1708" s="8" t="s">
        <v>52</v>
      </c>
      <c r="F1708" t="s">
        <v>42</v>
      </c>
      <c r="G1708" s="8" t="s">
        <v>52</v>
      </c>
      <c r="H1708" t="s">
        <v>693</v>
      </c>
      <c r="I1708" t="e">
        <f>VLOOKUP(Tabela2[[#This Row],[Coluna7]],[1]!Tabela1[#All],2,0)</f>
        <v>#REF!</v>
      </c>
      <c r="J1708" t="s">
        <v>695</v>
      </c>
      <c r="L1708">
        <v>3.45</v>
      </c>
      <c r="Q1708" s="10" t="str">
        <f>Tabela2[[#This Row],[Coluna5]]</f>
        <v>11/2025</v>
      </c>
      <c r="R1708" s="10" t="str">
        <f>IF(Tabela2[[#This Row],[Coluna9]]&gt;0,"Entrada","Saída")</f>
        <v>Saída</v>
      </c>
      <c r="S1708" s="10" t="str">
        <f>Tabela2[[#This Row],[Coluna8]]</f>
        <v>EFÍ</v>
      </c>
      <c r="T1708" s="10" t="e">
        <f>Tabela2[[#This Row],[Coluna72]]</f>
        <v>#REF!</v>
      </c>
      <c r="U1708" s="10">
        <f>SUM(Tabela2[[#This Row],[Coluna9]],Tabela2[[#This Row],[Coluna10]])</f>
        <v>3.45</v>
      </c>
      <c r="V1708" s="2" t="str">
        <f>Tabela2[[#This Row],[Coluna4]]</f>
        <v>03/11/2025</v>
      </c>
      <c r="W1708" s="2" t="str">
        <f>Tabela2[[#This Row],[Coluna6]]</f>
        <v>03/11/2025</v>
      </c>
    </row>
    <row r="1709" spans="2:23" x14ac:dyDescent="0.2">
      <c r="B1709" t="s">
        <v>18</v>
      </c>
      <c r="C1709" t="s">
        <v>95</v>
      </c>
      <c r="D1709" t="s">
        <v>13</v>
      </c>
      <c r="E1709" s="8" t="s">
        <v>52</v>
      </c>
      <c r="F1709" t="s">
        <v>42</v>
      </c>
      <c r="G1709" s="8" t="s">
        <v>52</v>
      </c>
      <c r="H1709" t="s">
        <v>693</v>
      </c>
      <c r="I1709" t="e">
        <f>VLOOKUP(Tabela2[[#This Row],[Coluna7]],[1]!Tabela1[#All],2,0)</f>
        <v>#REF!</v>
      </c>
      <c r="J1709" t="s">
        <v>695</v>
      </c>
      <c r="L1709">
        <v>3.45</v>
      </c>
      <c r="Q1709" s="10" t="str">
        <f>Tabela2[[#This Row],[Coluna5]]</f>
        <v>11/2025</v>
      </c>
      <c r="R1709" s="10" t="str">
        <f>IF(Tabela2[[#This Row],[Coluna9]]&gt;0,"Entrada","Saída")</f>
        <v>Saída</v>
      </c>
      <c r="S1709" s="10" t="str">
        <f>Tabela2[[#This Row],[Coluna8]]</f>
        <v>EFÍ</v>
      </c>
      <c r="T1709" s="10" t="e">
        <f>Tabela2[[#This Row],[Coluna72]]</f>
        <v>#REF!</v>
      </c>
      <c r="U1709" s="10">
        <f>SUM(Tabela2[[#This Row],[Coluna9]],Tabela2[[#This Row],[Coluna10]])</f>
        <v>3.45</v>
      </c>
      <c r="V1709" s="2" t="str">
        <f>Tabela2[[#This Row],[Coluna4]]</f>
        <v>03/11/2025</v>
      </c>
      <c r="W1709" s="2" t="str">
        <f>Tabela2[[#This Row],[Coluna6]]</f>
        <v>03/11/2025</v>
      </c>
    </row>
    <row r="1710" spans="2:23" x14ac:dyDescent="0.2">
      <c r="B1710" t="s">
        <v>18</v>
      </c>
      <c r="C1710" t="s">
        <v>95</v>
      </c>
      <c r="D1710" t="s">
        <v>13</v>
      </c>
      <c r="E1710" s="8" t="s">
        <v>52</v>
      </c>
      <c r="F1710" t="s">
        <v>42</v>
      </c>
      <c r="G1710" s="8" t="s">
        <v>52</v>
      </c>
      <c r="H1710" t="s">
        <v>693</v>
      </c>
      <c r="I1710" t="e">
        <f>VLOOKUP(Tabela2[[#This Row],[Coluna7]],[1]!Tabela1[#All],2,0)</f>
        <v>#REF!</v>
      </c>
      <c r="J1710" t="s">
        <v>696</v>
      </c>
      <c r="L1710">
        <v>3.45</v>
      </c>
      <c r="Q1710" s="10" t="str">
        <f>Tabela2[[#This Row],[Coluna5]]</f>
        <v>11/2025</v>
      </c>
      <c r="R1710" s="10" t="str">
        <f>IF(Tabela2[[#This Row],[Coluna9]]&gt;0,"Entrada","Saída")</f>
        <v>Saída</v>
      </c>
      <c r="S1710" s="10" t="str">
        <f>Tabela2[[#This Row],[Coluna8]]</f>
        <v>EFI</v>
      </c>
      <c r="T1710" s="10" t="e">
        <f>Tabela2[[#This Row],[Coluna72]]</f>
        <v>#REF!</v>
      </c>
      <c r="U1710" s="10">
        <f>SUM(Tabela2[[#This Row],[Coluna9]],Tabela2[[#This Row],[Coluna10]])</f>
        <v>3.45</v>
      </c>
      <c r="V1710" s="2" t="str">
        <f>Tabela2[[#This Row],[Coluna4]]</f>
        <v>03/11/2025</v>
      </c>
      <c r="W1710" s="2" t="str">
        <f>Tabela2[[#This Row],[Coluna6]]</f>
        <v>03/11/2025</v>
      </c>
    </row>
    <row r="1711" spans="2:23" x14ac:dyDescent="0.2">
      <c r="B1711" t="s">
        <v>18</v>
      </c>
      <c r="C1711" t="s">
        <v>95</v>
      </c>
      <c r="D1711" t="s">
        <v>13</v>
      </c>
      <c r="E1711" s="8" t="s">
        <v>52</v>
      </c>
      <c r="F1711" t="s">
        <v>42</v>
      </c>
      <c r="G1711" s="8" t="s">
        <v>52</v>
      </c>
      <c r="H1711" t="s">
        <v>693</v>
      </c>
      <c r="I1711" t="e">
        <f>VLOOKUP(Tabela2[[#This Row],[Coluna7]],[1]!Tabela1[#All],2,0)</f>
        <v>#REF!</v>
      </c>
      <c r="J1711" t="s">
        <v>696</v>
      </c>
      <c r="L1711">
        <v>3.45</v>
      </c>
      <c r="Q1711" s="10" t="str">
        <f>Tabela2[[#This Row],[Coluna5]]</f>
        <v>11/2025</v>
      </c>
      <c r="R1711" s="10" t="str">
        <f>IF(Tabela2[[#This Row],[Coluna9]]&gt;0,"Entrada","Saída")</f>
        <v>Saída</v>
      </c>
      <c r="S1711" s="10" t="str">
        <f>Tabela2[[#This Row],[Coluna8]]</f>
        <v>EFI</v>
      </c>
      <c r="T1711" s="10" t="e">
        <f>Tabela2[[#This Row],[Coluna72]]</f>
        <v>#REF!</v>
      </c>
      <c r="U1711" s="10">
        <f>SUM(Tabela2[[#This Row],[Coluna9]],Tabela2[[#This Row],[Coluna10]])</f>
        <v>3.45</v>
      </c>
      <c r="V1711" s="2" t="str">
        <f>Tabela2[[#This Row],[Coluna4]]</f>
        <v>03/11/2025</v>
      </c>
      <c r="W1711" s="2" t="str">
        <f>Tabela2[[#This Row],[Coluna6]]</f>
        <v>03/11/2025</v>
      </c>
    </row>
    <row r="1712" spans="2:23" x14ac:dyDescent="0.2">
      <c r="B1712" t="s">
        <v>18</v>
      </c>
      <c r="C1712" t="s">
        <v>95</v>
      </c>
      <c r="D1712" t="s">
        <v>13</v>
      </c>
      <c r="E1712" s="8" t="s">
        <v>52</v>
      </c>
      <c r="F1712" t="s">
        <v>42</v>
      </c>
      <c r="G1712" s="8" t="s">
        <v>52</v>
      </c>
      <c r="H1712" t="s">
        <v>693</v>
      </c>
      <c r="I1712" t="e">
        <f>VLOOKUP(Tabela2[[#This Row],[Coluna7]],[1]!Tabela1[#All],2,0)</f>
        <v>#REF!</v>
      </c>
      <c r="J1712" t="s">
        <v>696</v>
      </c>
      <c r="L1712">
        <v>3.45</v>
      </c>
      <c r="Q1712" s="10" t="str">
        <f>Tabela2[[#This Row],[Coluna5]]</f>
        <v>11/2025</v>
      </c>
      <c r="R1712" s="10" t="str">
        <f>IF(Tabela2[[#This Row],[Coluna9]]&gt;0,"Entrada","Saída")</f>
        <v>Saída</v>
      </c>
      <c r="S1712" s="10" t="str">
        <f>Tabela2[[#This Row],[Coluna8]]</f>
        <v>EFI</v>
      </c>
      <c r="T1712" s="10" t="e">
        <f>Tabela2[[#This Row],[Coluna72]]</f>
        <v>#REF!</v>
      </c>
      <c r="U1712" s="10">
        <f>SUM(Tabela2[[#This Row],[Coluna9]],Tabela2[[#This Row],[Coluna10]])</f>
        <v>3.45</v>
      </c>
      <c r="V1712" s="2" t="str">
        <f>Tabela2[[#This Row],[Coluna4]]</f>
        <v>03/11/2025</v>
      </c>
      <c r="W1712" s="2" t="str">
        <f>Tabela2[[#This Row],[Coluna6]]</f>
        <v>03/11/2025</v>
      </c>
    </row>
    <row r="1713" spans="2:23" x14ac:dyDescent="0.2">
      <c r="B1713" t="s">
        <v>215</v>
      </c>
      <c r="C1713" t="s">
        <v>222</v>
      </c>
      <c r="D1713" t="s">
        <v>13</v>
      </c>
      <c r="E1713" s="8" t="s">
        <v>43</v>
      </c>
      <c r="F1713" t="s">
        <v>42</v>
      </c>
      <c r="G1713" s="8" t="s">
        <v>43</v>
      </c>
      <c r="H1713" t="s">
        <v>693</v>
      </c>
      <c r="I1713" t="e">
        <f>VLOOKUP(Tabela2[[#This Row],[Coluna7]],[1]!Tabela1[#All],2,0)</f>
        <v>#REF!</v>
      </c>
      <c r="J1713" t="s">
        <v>698</v>
      </c>
      <c r="L1713">
        <v>0.99</v>
      </c>
      <c r="M1713" t="s">
        <v>224</v>
      </c>
      <c r="N1713" t="s">
        <v>225</v>
      </c>
      <c r="Q1713" s="10" t="str">
        <f>Tabela2[[#This Row],[Coluna5]]</f>
        <v>11/2025</v>
      </c>
      <c r="R1713" s="10" t="str">
        <f>IF(Tabela2[[#This Row],[Coluna9]]&gt;0,"Entrada","Saída")</f>
        <v>Saída</v>
      </c>
      <c r="S1713" s="10" t="str">
        <f>Tabela2[[#This Row],[Coluna8]]</f>
        <v>(TAXA DO ASAAS) 1/15 HONORARIOS INICIAIS</v>
      </c>
      <c r="T1713" s="10" t="e">
        <f>Tabela2[[#This Row],[Coluna72]]</f>
        <v>#REF!</v>
      </c>
      <c r="U1713" s="10">
        <f>SUM(Tabela2[[#This Row],[Coluna9]],Tabela2[[#This Row],[Coluna10]])</f>
        <v>0.99</v>
      </c>
      <c r="V1713" s="2" t="str">
        <f>Tabela2[[#This Row],[Coluna4]]</f>
        <v>05/11/2025</v>
      </c>
      <c r="W1713" s="2" t="str">
        <f>Tabela2[[#This Row],[Coluna6]]</f>
        <v>05/11/2025</v>
      </c>
    </row>
    <row r="1714" spans="2:23" x14ac:dyDescent="0.2">
      <c r="B1714" t="s">
        <v>18</v>
      </c>
      <c r="C1714" t="s">
        <v>95</v>
      </c>
      <c r="D1714" t="s">
        <v>13</v>
      </c>
      <c r="E1714" s="8" t="s">
        <v>44</v>
      </c>
      <c r="F1714" t="s">
        <v>42</v>
      </c>
      <c r="G1714" s="8" t="s">
        <v>44</v>
      </c>
      <c r="H1714" t="s">
        <v>693</v>
      </c>
      <c r="I1714" t="e">
        <f>VLOOKUP(Tabela2[[#This Row],[Coluna7]],[1]!Tabela1[#All],2,0)</f>
        <v>#REF!</v>
      </c>
      <c r="J1714" t="s">
        <v>696</v>
      </c>
      <c r="L1714">
        <v>3.45</v>
      </c>
      <c r="Q1714" s="10" t="str">
        <f>Tabela2[[#This Row],[Coluna5]]</f>
        <v>11/2025</v>
      </c>
      <c r="R1714" s="10" t="str">
        <f>IF(Tabela2[[#This Row],[Coluna9]]&gt;0,"Entrada","Saída")</f>
        <v>Saída</v>
      </c>
      <c r="S1714" s="10" t="str">
        <f>Tabela2[[#This Row],[Coluna8]]</f>
        <v>EFI</v>
      </c>
      <c r="T1714" s="10" t="e">
        <f>Tabela2[[#This Row],[Coluna72]]</f>
        <v>#REF!</v>
      </c>
      <c r="U1714" s="10">
        <f>SUM(Tabela2[[#This Row],[Coluna9]],Tabela2[[#This Row],[Coluna10]])</f>
        <v>3.45</v>
      </c>
      <c r="V1714" s="2" t="str">
        <f>Tabela2[[#This Row],[Coluna4]]</f>
        <v>06/11/2025</v>
      </c>
      <c r="W1714" s="2" t="str">
        <f>Tabela2[[#This Row],[Coluna6]]</f>
        <v>06/11/2025</v>
      </c>
    </row>
    <row r="1715" spans="2:23" x14ac:dyDescent="0.2">
      <c r="B1715" t="s">
        <v>18</v>
      </c>
      <c r="C1715" t="s">
        <v>95</v>
      </c>
      <c r="D1715" t="s">
        <v>13</v>
      </c>
      <c r="E1715" s="8" t="s">
        <v>44</v>
      </c>
      <c r="F1715" t="s">
        <v>42</v>
      </c>
      <c r="G1715" s="8" t="s">
        <v>44</v>
      </c>
      <c r="H1715" t="s">
        <v>693</v>
      </c>
      <c r="I1715" t="e">
        <f>VLOOKUP(Tabela2[[#This Row],[Coluna7]],[1]!Tabela1[#All],2,0)</f>
        <v>#REF!</v>
      </c>
      <c r="J1715" t="s">
        <v>696</v>
      </c>
      <c r="L1715">
        <v>3.45</v>
      </c>
      <c r="Q1715" s="10" t="str">
        <f>Tabela2[[#This Row],[Coluna5]]</f>
        <v>11/2025</v>
      </c>
      <c r="R1715" s="10" t="str">
        <f>IF(Tabela2[[#This Row],[Coluna9]]&gt;0,"Entrada","Saída")</f>
        <v>Saída</v>
      </c>
      <c r="S1715" s="10" t="str">
        <f>Tabela2[[#This Row],[Coluna8]]</f>
        <v>EFI</v>
      </c>
      <c r="T1715" s="10" t="e">
        <f>Tabela2[[#This Row],[Coluna72]]</f>
        <v>#REF!</v>
      </c>
      <c r="U1715" s="10">
        <f>SUM(Tabela2[[#This Row],[Coluna9]],Tabela2[[#This Row],[Coluna10]])</f>
        <v>3.45</v>
      </c>
      <c r="V1715" s="2" t="str">
        <f>Tabela2[[#This Row],[Coluna4]]</f>
        <v>06/11/2025</v>
      </c>
      <c r="W1715" s="2" t="str">
        <f>Tabela2[[#This Row],[Coluna6]]</f>
        <v>06/11/2025</v>
      </c>
    </row>
    <row r="1716" spans="2:23" x14ac:dyDescent="0.2">
      <c r="B1716" t="s">
        <v>18</v>
      </c>
      <c r="C1716" t="s">
        <v>95</v>
      </c>
      <c r="D1716" t="s">
        <v>13</v>
      </c>
      <c r="E1716" s="8" t="s">
        <v>44</v>
      </c>
      <c r="F1716" t="s">
        <v>42</v>
      </c>
      <c r="G1716" s="8" t="s">
        <v>44</v>
      </c>
      <c r="H1716" t="s">
        <v>693</v>
      </c>
      <c r="I1716" t="e">
        <f>VLOOKUP(Tabela2[[#This Row],[Coluna7]],[1]!Tabela1[#All],2,0)</f>
        <v>#REF!</v>
      </c>
      <c r="J1716" t="s">
        <v>696</v>
      </c>
      <c r="L1716">
        <v>3.45</v>
      </c>
      <c r="Q1716" s="10" t="str">
        <f>Tabela2[[#This Row],[Coluna5]]</f>
        <v>11/2025</v>
      </c>
      <c r="R1716" s="10" t="str">
        <f>IF(Tabela2[[#This Row],[Coluna9]]&gt;0,"Entrada","Saída")</f>
        <v>Saída</v>
      </c>
      <c r="S1716" s="10" t="str">
        <f>Tabela2[[#This Row],[Coluna8]]</f>
        <v>EFI</v>
      </c>
      <c r="T1716" s="10" t="e">
        <f>Tabela2[[#This Row],[Coluna72]]</f>
        <v>#REF!</v>
      </c>
      <c r="U1716" s="10">
        <f>SUM(Tabela2[[#This Row],[Coluna9]],Tabela2[[#This Row],[Coluna10]])</f>
        <v>3.45</v>
      </c>
      <c r="V1716" s="2" t="str">
        <f>Tabela2[[#This Row],[Coluna4]]</f>
        <v>06/11/2025</v>
      </c>
      <c r="W1716" s="2" t="str">
        <f>Tabela2[[#This Row],[Coluna6]]</f>
        <v>06/11/2025</v>
      </c>
    </row>
    <row r="1717" spans="2:23" x14ac:dyDescent="0.2">
      <c r="B1717" t="s">
        <v>18</v>
      </c>
      <c r="C1717" t="s">
        <v>95</v>
      </c>
      <c r="D1717" t="s">
        <v>13</v>
      </c>
      <c r="E1717" s="8" t="s">
        <v>231</v>
      </c>
      <c r="F1717" t="s">
        <v>42</v>
      </c>
      <c r="G1717" s="8" t="s">
        <v>231</v>
      </c>
      <c r="H1717" t="s">
        <v>693</v>
      </c>
      <c r="I1717" t="e">
        <f>VLOOKUP(Tabela2[[#This Row],[Coluna7]],[1]!Tabela1[#All],2,0)</f>
        <v>#REF!</v>
      </c>
      <c r="J1717" t="s">
        <v>696</v>
      </c>
      <c r="L1717">
        <v>3.45</v>
      </c>
      <c r="Q1717" s="10" t="str">
        <f>Tabela2[[#This Row],[Coluna5]]</f>
        <v>11/2025</v>
      </c>
      <c r="R1717" s="10" t="str">
        <f>IF(Tabela2[[#This Row],[Coluna9]]&gt;0,"Entrada","Saída")</f>
        <v>Saída</v>
      </c>
      <c r="S1717" s="10" t="str">
        <f>Tabela2[[#This Row],[Coluna8]]</f>
        <v>EFI</v>
      </c>
      <c r="T1717" s="10" t="e">
        <f>Tabela2[[#This Row],[Coluna72]]</f>
        <v>#REF!</v>
      </c>
      <c r="U1717" s="10">
        <f>SUM(Tabela2[[#This Row],[Coluna9]],Tabela2[[#This Row],[Coluna10]])</f>
        <v>3.45</v>
      </c>
      <c r="V1717" s="2" t="str">
        <f>Tabela2[[#This Row],[Coluna4]]</f>
        <v>07/11/2025</v>
      </c>
      <c r="W1717" s="2" t="str">
        <f>Tabela2[[#This Row],[Coluna6]]</f>
        <v>07/11/2025</v>
      </c>
    </row>
    <row r="1718" spans="2:23" x14ac:dyDescent="0.2">
      <c r="B1718" t="s">
        <v>18</v>
      </c>
      <c r="C1718" t="s">
        <v>95</v>
      </c>
      <c r="D1718" t="s">
        <v>13</v>
      </c>
      <c r="E1718" s="8" t="s">
        <v>231</v>
      </c>
      <c r="F1718" t="s">
        <v>42</v>
      </c>
      <c r="G1718" s="8" t="s">
        <v>231</v>
      </c>
      <c r="H1718" t="s">
        <v>693</v>
      </c>
      <c r="I1718" t="e">
        <f>VLOOKUP(Tabela2[[#This Row],[Coluna7]],[1]!Tabela1[#All],2,0)</f>
        <v>#REF!</v>
      </c>
      <c r="J1718" t="s">
        <v>696</v>
      </c>
      <c r="L1718">
        <v>3.45</v>
      </c>
      <c r="Q1718" s="10" t="str">
        <f>Tabela2[[#This Row],[Coluna5]]</f>
        <v>11/2025</v>
      </c>
      <c r="R1718" s="10" t="str">
        <f>IF(Tabela2[[#This Row],[Coluna9]]&gt;0,"Entrada","Saída")</f>
        <v>Saída</v>
      </c>
      <c r="S1718" s="10" t="str">
        <f>Tabela2[[#This Row],[Coluna8]]</f>
        <v>EFI</v>
      </c>
      <c r="T1718" s="10" t="e">
        <f>Tabela2[[#This Row],[Coluna72]]</f>
        <v>#REF!</v>
      </c>
      <c r="U1718" s="10">
        <f>SUM(Tabela2[[#This Row],[Coluna9]],Tabela2[[#This Row],[Coluna10]])</f>
        <v>3.45</v>
      </c>
      <c r="V1718" s="2" t="str">
        <f>Tabela2[[#This Row],[Coluna4]]</f>
        <v>07/11/2025</v>
      </c>
      <c r="W1718" s="2" t="str">
        <f>Tabela2[[#This Row],[Coluna6]]</f>
        <v>07/11/2025</v>
      </c>
    </row>
    <row r="1719" spans="2:23" x14ac:dyDescent="0.2">
      <c r="B1719" t="s">
        <v>18</v>
      </c>
      <c r="C1719" t="s">
        <v>95</v>
      </c>
      <c r="D1719" t="s">
        <v>13</v>
      </c>
      <c r="E1719" s="8" t="s">
        <v>47</v>
      </c>
      <c r="F1719" t="s">
        <v>42</v>
      </c>
      <c r="G1719" s="8" t="s">
        <v>47</v>
      </c>
      <c r="H1719" t="s">
        <v>693</v>
      </c>
      <c r="I1719" t="e">
        <f>VLOOKUP(Tabela2[[#This Row],[Coluna7]],[1]!Tabela1[#All],2,0)</f>
        <v>#REF!</v>
      </c>
      <c r="J1719" t="s">
        <v>695</v>
      </c>
      <c r="L1719">
        <v>3.45</v>
      </c>
      <c r="Q1719" s="10" t="str">
        <f>Tabela2[[#This Row],[Coluna5]]</f>
        <v>11/2025</v>
      </c>
      <c r="R1719" s="10" t="str">
        <f>IF(Tabela2[[#This Row],[Coluna9]]&gt;0,"Entrada","Saída")</f>
        <v>Saída</v>
      </c>
      <c r="S1719" s="10" t="str">
        <f>Tabela2[[#This Row],[Coluna8]]</f>
        <v>EFÍ</v>
      </c>
      <c r="T1719" s="10" t="e">
        <f>Tabela2[[#This Row],[Coluna72]]</f>
        <v>#REF!</v>
      </c>
      <c r="U1719" s="10">
        <f>SUM(Tabela2[[#This Row],[Coluna9]],Tabela2[[#This Row],[Coluna10]])</f>
        <v>3.45</v>
      </c>
      <c r="V1719" s="2" t="str">
        <f>Tabela2[[#This Row],[Coluna4]]</f>
        <v>10/11/2025</v>
      </c>
      <c r="W1719" s="2" t="str">
        <f>Tabela2[[#This Row],[Coluna6]]</f>
        <v>10/11/2025</v>
      </c>
    </row>
    <row r="1720" spans="2:23" x14ac:dyDescent="0.2">
      <c r="B1720" t="s">
        <v>18</v>
      </c>
      <c r="C1720" t="s">
        <v>95</v>
      </c>
      <c r="D1720" t="s">
        <v>13</v>
      </c>
      <c r="E1720" s="8" t="s">
        <v>46</v>
      </c>
      <c r="F1720" t="s">
        <v>42</v>
      </c>
      <c r="G1720" s="8" t="s">
        <v>46</v>
      </c>
      <c r="H1720" t="s">
        <v>693</v>
      </c>
      <c r="I1720" t="e">
        <f>VLOOKUP(Tabela2[[#This Row],[Coluna7]],[1]!Tabela1[#All],2,0)</f>
        <v>#REF!</v>
      </c>
      <c r="J1720" t="s">
        <v>696</v>
      </c>
      <c r="L1720">
        <v>3.45</v>
      </c>
      <c r="Q1720" s="10" t="str">
        <f>Tabela2[[#This Row],[Coluna5]]</f>
        <v>11/2025</v>
      </c>
      <c r="R1720" s="10" t="str">
        <f>IF(Tabela2[[#This Row],[Coluna9]]&gt;0,"Entrada","Saída")</f>
        <v>Saída</v>
      </c>
      <c r="S1720" s="10" t="str">
        <f>Tabela2[[#This Row],[Coluna8]]</f>
        <v>EFI</v>
      </c>
      <c r="T1720" s="10" t="e">
        <f>Tabela2[[#This Row],[Coluna72]]</f>
        <v>#REF!</v>
      </c>
      <c r="U1720" s="10">
        <f>SUM(Tabela2[[#This Row],[Coluna9]],Tabela2[[#This Row],[Coluna10]])</f>
        <v>3.45</v>
      </c>
      <c r="V1720" s="2" t="str">
        <f>Tabela2[[#This Row],[Coluna4]]</f>
        <v>11/11/2025</v>
      </c>
      <c r="W1720" s="2" t="str">
        <f>Tabela2[[#This Row],[Coluna6]]</f>
        <v>11/11/2025</v>
      </c>
    </row>
    <row r="1721" spans="2:23" x14ac:dyDescent="0.2">
      <c r="B1721" t="s">
        <v>27</v>
      </c>
      <c r="C1721" t="s">
        <v>95</v>
      </c>
      <c r="D1721" t="s">
        <v>13</v>
      </c>
      <c r="E1721" s="8" t="s">
        <v>54</v>
      </c>
      <c r="F1721" t="s">
        <v>42</v>
      </c>
      <c r="G1721" s="8" t="s">
        <v>54</v>
      </c>
      <c r="H1721" t="s">
        <v>693</v>
      </c>
      <c r="I1721" t="e">
        <f>VLOOKUP(Tabela2[[#This Row],[Coluna7]],[1]!Tabela1[#All],2,0)</f>
        <v>#REF!</v>
      </c>
      <c r="J1721" t="s">
        <v>694</v>
      </c>
      <c r="L1721">
        <v>168.5</v>
      </c>
      <c r="Q1721" s="10" t="str">
        <f>Tabela2[[#This Row],[Coluna5]]</f>
        <v>11/2025</v>
      </c>
      <c r="R1721" s="10" t="str">
        <f>IF(Tabela2[[#This Row],[Coluna9]]&gt;0,"Entrada","Saída")</f>
        <v>Saída</v>
      </c>
      <c r="S1721" s="10" t="str">
        <f>Tabela2[[#This Row],[Coluna8]]</f>
        <v>CESTA PJ</v>
      </c>
      <c r="T1721" s="10" t="e">
        <f>Tabela2[[#This Row],[Coluna72]]</f>
        <v>#REF!</v>
      </c>
      <c r="U1721" s="10">
        <f>SUM(Tabela2[[#This Row],[Coluna9]],Tabela2[[#This Row],[Coluna10]])</f>
        <v>168.5</v>
      </c>
      <c r="V1721" s="2" t="str">
        <f>Tabela2[[#This Row],[Coluna4]]</f>
        <v>14/11/2025</v>
      </c>
      <c r="W1721" s="2" t="str">
        <f>Tabela2[[#This Row],[Coluna6]]</f>
        <v>14/11/2025</v>
      </c>
    </row>
    <row r="1722" spans="2:23" x14ac:dyDescent="0.2">
      <c r="B1722" t="s">
        <v>215</v>
      </c>
      <c r="C1722" t="s">
        <v>200</v>
      </c>
      <c r="D1722" t="s">
        <v>13</v>
      </c>
      <c r="E1722" s="8" t="s">
        <v>54</v>
      </c>
      <c r="F1722" t="s">
        <v>64</v>
      </c>
      <c r="G1722" s="8" t="s">
        <v>54</v>
      </c>
      <c r="H1722" t="s">
        <v>693</v>
      </c>
      <c r="I1722" t="e">
        <f>VLOOKUP(Tabela2[[#This Row],[Coluna7]],[1]!Tabela1[#All],2,0)</f>
        <v>#REF!</v>
      </c>
      <c r="J1722" t="s">
        <v>699</v>
      </c>
      <c r="L1722">
        <v>0.99</v>
      </c>
      <c r="M1722" t="s">
        <v>146</v>
      </c>
      <c r="N1722" t="s">
        <v>147</v>
      </c>
      <c r="Q1722" s="10" t="str">
        <f>Tabela2[[#This Row],[Coluna5]]</f>
        <v>12/2025</v>
      </c>
      <c r="R1722" s="10" t="str">
        <f>IF(Tabela2[[#This Row],[Coluna9]]&gt;0,"Entrada","Saída")</f>
        <v>Saída</v>
      </c>
      <c r="S1722" s="10" t="str">
        <f>Tabela2[[#This Row],[Coluna8]]</f>
        <v>TARFIFA ASAAS</v>
      </c>
      <c r="T1722" s="10" t="e">
        <f>Tabela2[[#This Row],[Coluna72]]</f>
        <v>#REF!</v>
      </c>
      <c r="U1722" s="10">
        <f>SUM(Tabela2[[#This Row],[Coluna9]],Tabela2[[#This Row],[Coluna10]])</f>
        <v>0.99</v>
      </c>
      <c r="V1722" s="2" t="str">
        <f>Tabela2[[#This Row],[Coluna4]]</f>
        <v>14/11/2025</v>
      </c>
      <c r="W1722" s="2" t="str">
        <f>Tabela2[[#This Row],[Coluna6]]</f>
        <v>14/11/2025</v>
      </c>
    </row>
    <row r="1723" spans="2:23" x14ac:dyDescent="0.2">
      <c r="B1723" t="s">
        <v>18</v>
      </c>
      <c r="C1723" t="s">
        <v>95</v>
      </c>
      <c r="D1723" t="s">
        <v>13</v>
      </c>
      <c r="E1723" s="8" t="s">
        <v>62</v>
      </c>
      <c r="F1723" t="s">
        <v>42</v>
      </c>
      <c r="G1723" s="8" t="s">
        <v>62</v>
      </c>
      <c r="H1723" t="s">
        <v>693</v>
      </c>
      <c r="I1723" t="e">
        <f>VLOOKUP(Tabela2[[#This Row],[Coluna7]],[1]!Tabela1[#All],2,0)</f>
        <v>#REF!</v>
      </c>
      <c r="J1723" t="s">
        <v>696</v>
      </c>
      <c r="L1723">
        <v>3.45</v>
      </c>
      <c r="Q1723" s="10" t="str">
        <f>Tabela2[[#This Row],[Coluna5]]</f>
        <v>11/2025</v>
      </c>
      <c r="R1723" s="10" t="str">
        <f>IF(Tabela2[[#This Row],[Coluna9]]&gt;0,"Entrada","Saída")</f>
        <v>Saída</v>
      </c>
      <c r="S1723" s="10" t="str">
        <f>Tabela2[[#This Row],[Coluna8]]</f>
        <v>EFI</v>
      </c>
      <c r="T1723" s="10" t="e">
        <f>Tabela2[[#This Row],[Coluna72]]</f>
        <v>#REF!</v>
      </c>
      <c r="U1723" s="10">
        <f>SUM(Tabela2[[#This Row],[Coluna9]],Tabela2[[#This Row],[Coluna10]])</f>
        <v>3.45</v>
      </c>
      <c r="V1723" s="2" t="str">
        <f>Tabela2[[#This Row],[Coluna4]]</f>
        <v>24/11/2025</v>
      </c>
      <c r="W1723" s="2" t="str">
        <f>Tabela2[[#This Row],[Coluna6]]</f>
        <v>24/11/2025</v>
      </c>
    </row>
    <row r="1724" spans="2:23" x14ac:dyDescent="0.2">
      <c r="B1724" t="s">
        <v>18</v>
      </c>
      <c r="C1724" t="s">
        <v>95</v>
      </c>
      <c r="D1724" t="s">
        <v>13</v>
      </c>
      <c r="E1724" s="8" t="s">
        <v>62</v>
      </c>
      <c r="F1724" t="s">
        <v>42</v>
      </c>
      <c r="G1724" s="8" t="s">
        <v>62</v>
      </c>
      <c r="H1724" t="s">
        <v>693</v>
      </c>
      <c r="I1724" t="e">
        <f>VLOOKUP(Tabela2[[#This Row],[Coluna7]],[1]!Tabela1[#All],2,0)</f>
        <v>#REF!</v>
      </c>
      <c r="J1724" t="s">
        <v>696</v>
      </c>
      <c r="L1724">
        <v>3.45</v>
      </c>
      <c r="Q1724" s="10" t="str">
        <f>Tabela2[[#This Row],[Coluna5]]</f>
        <v>11/2025</v>
      </c>
      <c r="R1724" s="10" t="str">
        <f>IF(Tabela2[[#This Row],[Coluna9]]&gt;0,"Entrada","Saída")</f>
        <v>Saída</v>
      </c>
      <c r="S1724" s="10" t="str">
        <f>Tabela2[[#This Row],[Coluna8]]</f>
        <v>EFI</v>
      </c>
      <c r="T1724" s="10" t="e">
        <f>Tabela2[[#This Row],[Coluna72]]</f>
        <v>#REF!</v>
      </c>
      <c r="U1724" s="10">
        <f>SUM(Tabela2[[#This Row],[Coluna9]],Tabela2[[#This Row],[Coluna10]])</f>
        <v>3.45</v>
      </c>
      <c r="V1724" s="2" t="str">
        <f>Tabela2[[#This Row],[Coluna4]]</f>
        <v>24/11/2025</v>
      </c>
      <c r="W1724" s="2" t="str">
        <f>Tabela2[[#This Row],[Coluna6]]</f>
        <v>24/11/2025</v>
      </c>
    </row>
    <row r="1725" spans="2:23" x14ac:dyDescent="0.2">
      <c r="B1725" t="s">
        <v>18</v>
      </c>
      <c r="C1725" t="s">
        <v>95</v>
      </c>
      <c r="D1725" t="s">
        <v>13</v>
      </c>
      <c r="E1725" s="8" t="s">
        <v>256</v>
      </c>
      <c r="F1725" t="s">
        <v>42</v>
      </c>
      <c r="G1725" s="8" t="s">
        <v>256</v>
      </c>
      <c r="H1725" t="s">
        <v>693</v>
      </c>
      <c r="I1725" t="e">
        <f>VLOOKUP(Tabela2[[#This Row],[Coluna7]],[1]!Tabela1[#All],2,0)</f>
        <v>#REF!</v>
      </c>
      <c r="J1725" t="s">
        <v>696</v>
      </c>
      <c r="L1725">
        <v>3.45</v>
      </c>
      <c r="Q1725" s="10" t="str">
        <f>Tabela2[[#This Row],[Coluna5]]</f>
        <v>11/2025</v>
      </c>
      <c r="R1725" s="10" t="str">
        <f>IF(Tabela2[[#This Row],[Coluna9]]&gt;0,"Entrada","Saída")</f>
        <v>Saída</v>
      </c>
      <c r="S1725" s="10" t="str">
        <f>Tabela2[[#This Row],[Coluna8]]</f>
        <v>EFI</v>
      </c>
      <c r="T1725" s="10" t="e">
        <f>Tabela2[[#This Row],[Coluna72]]</f>
        <v>#REF!</v>
      </c>
      <c r="U1725" s="10">
        <f>SUM(Tabela2[[#This Row],[Coluna9]],Tabela2[[#This Row],[Coluna10]])</f>
        <v>3.45</v>
      </c>
      <c r="V1725" s="2" t="str">
        <f>Tabela2[[#This Row],[Coluna4]]</f>
        <v>25/11/2025</v>
      </c>
      <c r="W1725" s="2" t="str">
        <f>Tabela2[[#This Row],[Coluna6]]</f>
        <v>25/11/2025</v>
      </c>
    </row>
    <row r="1726" spans="2:23" x14ac:dyDescent="0.2">
      <c r="B1726" t="s">
        <v>12</v>
      </c>
      <c r="C1726" t="s">
        <v>95</v>
      </c>
      <c r="D1726" t="s">
        <v>13</v>
      </c>
      <c r="E1726" s="8" t="s">
        <v>256</v>
      </c>
      <c r="F1726" t="s">
        <v>42</v>
      </c>
      <c r="G1726" s="8" t="s">
        <v>256</v>
      </c>
      <c r="H1726" t="s">
        <v>693</v>
      </c>
      <c r="I1726" t="e">
        <f>VLOOKUP(Tabela2[[#This Row],[Coluna7]],[1]!Tabela1[#All],2,0)</f>
        <v>#REF!</v>
      </c>
      <c r="J1726" t="s">
        <v>700</v>
      </c>
      <c r="L1726">
        <v>8.1199999999999992</v>
      </c>
      <c r="Q1726" s="10" t="str">
        <f>Tabela2[[#This Row],[Coluna5]]</f>
        <v>11/2025</v>
      </c>
      <c r="R1726" s="10" t="str">
        <f>IF(Tabela2[[#This Row],[Coluna9]]&gt;0,"Entrada","Saída")</f>
        <v>Saída</v>
      </c>
      <c r="S1726" s="10" t="str">
        <f>Tabela2[[#This Row],[Coluna8]]</f>
        <v>MENSALIDADE CESTA SERVIÇO</v>
      </c>
      <c r="T1726" s="10" t="e">
        <f>Tabela2[[#This Row],[Coluna72]]</f>
        <v>#REF!</v>
      </c>
      <c r="U1726" s="10">
        <f>SUM(Tabela2[[#This Row],[Coluna9]],Tabela2[[#This Row],[Coluna10]])</f>
        <v>8.1199999999999992</v>
      </c>
      <c r="V1726" s="2" t="str">
        <f>Tabela2[[#This Row],[Coluna4]]</f>
        <v>25/11/2025</v>
      </c>
      <c r="W1726" s="2" t="str">
        <f>Tabela2[[#This Row],[Coluna6]]</f>
        <v>25/11/2025</v>
      </c>
    </row>
    <row r="1727" spans="2:23" x14ac:dyDescent="0.2">
      <c r="B1727" t="s">
        <v>12</v>
      </c>
      <c r="C1727" t="s">
        <v>95</v>
      </c>
      <c r="D1727" t="s">
        <v>13</v>
      </c>
      <c r="E1727" s="8" t="s">
        <v>256</v>
      </c>
      <c r="F1727" t="s">
        <v>42</v>
      </c>
      <c r="G1727" s="8" t="s">
        <v>265</v>
      </c>
      <c r="H1727" t="s">
        <v>693</v>
      </c>
      <c r="I1727" t="e">
        <f>VLOOKUP(Tabela2[[#This Row],[Coluna7]],[1]!Tabela1[#All],2,0)</f>
        <v>#REF!</v>
      </c>
      <c r="J1727" t="s">
        <v>700</v>
      </c>
      <c r="L1727">
        <v>66.88</v>
      </c>
      <c r="Q1727" s="10" t="str">
        <f>Tabela2[[#This Row],[Coluna5]]</f>
        <v>11/2025</v>
      </c>
      <c r="R1727" s="10" t="str">
        <f>IF(Tabela2[[#This Row],[Coluna9]]&gt;0,"Entrada","Saída")</f>
        <v>Saída</v>
      </c>
      <c r="S1727" s="10" t="str">
        <f>Tabela2[[#This Row],[Coluna8]]</f>
        <v>MENSALIDADE CESTA SERVIÇO</v>
      </c>
      <c r="T1727" s="10" t="e">
        <f>Tabela2[[#This Row],[Coluna72]]</f>
        <v>#REF!</v>
      </c>
      <c r="U1727" s="10">
        <f>SUM(Tabela2[[#This Row],[Coluna9]],Tabela2[[#This Row],[Coluna10]])</f>
        <v>66.88</v>
      </c>
      <c r="V1727" s="2" t="str">
        <f>Tabela2[[#This Row],[Coluna4]]</f>
        <v>25/11/2025</v>
      </c>
      <c r="W1727" s="2" t="str">
        <f>Tabela2[[#This Row],[Coluna6]]</f>
        <v>27/11/2025</v>
      </c>
    </row>
    <row r="1728" spans="2:23" x14ac:dyDescent="0.2">
      <c r="B1728" t="s">
        <v>215</v>
      </c>
      <c r="C1728" t="s">
        <v>125</v>
      </c>
      <c r="D1728" t="s">
        <v>13</v>
      </c>
      <c r="E1728" s="8" t="s">
        <v>256</v>
      </c>
      <c r="F1728" t="s">
        <v>42</v>
      </c>
      <c r="G1728" s="8" t="s">
        <v>256</v>
      </c>
      <c r="H1728" t="s">
        <v>693</v>
      </c>
      <c r="I1728" t="e">
        <f>VLOOKUP(Tabela2[[#This Row],[Coluna7]],[1]!Tabela1[#All],2,0)</f>
        <v>#REF!</v>
      </c>
      <c r="J1728" t="s">
        <v>701</v>
      </c>
      <c r="L1728">
        <v>0.99</v>
      </c>
      <c r="M1728" t="s">
        <v>262</v>
      </c>
      <c r="N1728" t="s">
        <v>147</v>
      </c>
      <c r="Q1728" s="10" t="str">
        <f>Tabela2[[#This Row],[Coluna5]]</f>
        <v>11/2025</v>
      </c>
      <c r="R1728" s="10" t="str">
        <f>IF(Tabela2[[#This Row],[Coluna9]]&gt;0,"Entrada","Saída")</f>
        <v>Saída</v>
      </c>
      <c r="S1728" s="10" t="str">
        <f>Tabela2[[#This Row],[Coluna8]]</f>
        <v>TAXA DE BOLETO</v>
      </c>
      <c r="T1728" s="10" t="e">
        <f>Tabela2[[#This Row],[Coluna72]]</f>
        <v>#REF!</v>
      </c>
      <c r="U1728" s="10">
        <f>SUM(Tabela2[[#This Row],[Coluna9]],Tabela2[[#This Row],[Coluna10]])</f>
        <v>0.99</v>
      </c>
      <c r="V1728" s="2" t="str">
        <f>Tabela2[[#This Row],[Coluna4]]</f>
        <v>25/11/2025</v>
      </c>
      <c r="W1728" s="2" t="str">
        <f>Tabela2[[#This Row],[Coluna6]]</f>
        <v>25/11/2025</v>
      </c>
    </row>
    <row r="1729" spans="2:23" x14ac:dyDescent="0.2">
      <c r="B1729" t="s">
        <v>18</v>
      </c>
      <c r="C1729" t="s">
        <v>95</v>
      </c>
      <c r="D1729" t="s">
        <v>13</v>
      </c>
      <c r="E1729" s="8" t="s">
        <v>257</v>
      </c>
      <c r="F1729" t="s">
        <v>42</v>
      </c>
      <c r="G1729" s="8" t="s">
        <v>257</v>
      </c>
      <c r="H1729" t="s">
        <v>693</v>
      </c>
      <c r="I1729" t="e">
        <f>VLOOKUP(Tabela2[[#This Row],[Coluna7]],[1]!Tabela1[#All],2,0)</f>
        <v>#REF!</v>
      </c>
      <c r="J1729" t="s">
        <v>696</v>
      </c>
      <c r="L1729">
        <v>3.45</v>
      </c>
      <c r="Q1729" s="10" t="str">
        <f>Tabela2[[#This Row],[Coluna5]]</f>
        <v>11/2025</v>
      </c>
      <c r="R1729" s="10" t="str">
        <f>IF(Tabela2[[#This Row],[Coluna9]]&gt;0,"Entrada","Saída")</f>
        <v>Saída</v>
      </c>
      <c r="S1729" s="10" t="str">
        <f>Tabela2[[#This Row],[Coluna8]]</f>
        <v>EFI</v>
      </c>
      <c r="T1729" s="10" t="e">
        <f>Tabela2[[#This Row],[Coluna72]]</f>
        <v>#REF!</v>
      </c>
      <c r="U1729" s="10">
        <f>SUM(Tabela2[[#This Row],[Coluna9]],Tabela2[[#This Row],[Coluna10]])</f>
        <v>3.45</v>
      </c>
      <c r="V1729" s="2" t="str">
        <f>Tabela2[[#This Row],[Coluna4]]</f>
        <v>26/11/2025</v>
      </c>
      <c r="W1729" s="2" t="str">
        <f>Tabela2[[#This Row],[Coluna6]]</f>
        <v>26/11/2025</v>
      </c>
    </row>
    <row r="1730" spans="2:23" x14ac:dyDescent="0.2">
      <c r="B1730" t="s">
        <v>27</v>
      </c>
      <c r="C1730" t="s">
        <v>95</v>
      </c>
      <c r="D1730" t="s">
        <v>13</v>
      </c>
      <c r="E1730" s="8" t="s">
        <v>257</v>
      </c>
      <c r="F1730" t="s">
        <v>42</v>
      </c>
      <c r="G1730" s="8" t="s">
        <v>257</v>
      </c>
      <c r="H1730" t="s">
        <v>693</v>
      </c>
      <c r="I1730" t="e">
        <f>VLOOKUP(Tabela2[[#This Row],[Coluna7]],[1]!Tabela1[#All],2,0)</f>
        <v>#REF!</v>
      </c>
      <c r="J1730" t="s">
        <v>702</v>
      </c>
      <c r="L1730">
        <v>9.8000000000000007</v>
      </c>
      <c r="Q1730" s="10" t="str">
        <f>Tabela2[[#This Row],[Coluna5]]</f>
        <v>11/2025</v>
      </c>
      <c r="R1730" s="10" t="str">
        <f>IF(Tabela2[[#This Row],[Coluna9]]&gt;0,"Entrada","Saída")</f>
        <v>Saída</v>
      </c>
      <c r="S1730" s="10" t="str">
        <f>Tabela2[[#This Row],[Coluna8]]</f>
        <v>TARIFA PIX</v>
      </c>
      <c r="T1730" s="10" t="e">
        <f>Tabela2[[#This Row],[Coluna72]]</f>
        <v>#REF!</v>
      </c>
      <c r="U1730" s="10">
        <f>SUM(Tabela2[[#This Row],[Coluna9]],Tabela2[[#This Row],[Coluna10]])</f>
        <v>9.8000000000000007</v>
      </c>
      <c r="V1730" s="2" t="str">
        <f>Tabela2[[#This Row],[Coluna4]]</f>
        <v>26/11/2025</v>
      </c>
      <c r="W1730" s="2" t="str">
        <f>Tabela2[[#This Row],[Coluna6]]</f>
        <v>26/11/2025</v>
      </c>
    </row>
    <row r="1731" spans="2:23" x14ac:dyDescent="0.2">
      <c r="B1731" t="s">
        <v>215</v>
      </c>
      <c r="C1731" t="s">
        <v>125</v>
      </c>
      <c r="D1731" t="s">
        <v>13</v>
      </c>
      <c r="E1731" s="8" t="s">
        <v>63</v>
      </c>
      <c r="F1731" t="s">
        <v>64</v>
      </c>
      <c r="G1731" s="8" t="s">
        <v>63</v>
      </c>
      <c r="H1731" t="s">
        <v>693</v>
      </c>
      <c r="I1731" t="e">
        <f>VLOOKUP(Tabela2[[#This Row],[Coluna7]],[1]!Tabela1[#All],2,0)</f>
        <v>#REF!</v>
      </c>
      <c r="J1731" t="s">
        <v>703</v>
      </c>
      <c r="L1731">
        <v>0.99</v>
      </c>
      <c r="N1731" t="s">
        <v>285</v>
      </c>
      <c r="Q1731" s="10" t="str">
        <f>Tabela2[[#This Row],[Coluna5]]</f>
        <v>12/2025</v>
      </c>
      <c r="R1731" s="10" t="str">
        <f>IF(Tabela2[[#This Row],[Coluna9]]&gt;0,"Entrada","Saída")</f>
        <v>Saída</v>
      </c>
      <c r="S1731" s="10" t="str">
        <f>Tabela2[[#This Row],[Coluna8]]</f>
        <v xml:space="preserve">(TAXA DO ASAAS) </v>
      </c>
      <c r="T1731" s="10" t="e">
        <f>Tabela2[[#This Row],[Coluna72]]</f>
        <v>#REF!</v>
      </c>
      <c r="U1731" s="10">
        <f>SUM(Tabela2[[#This Row],[Coluna9]],Tabela2[[#This Row],[Coluna10]])</f>
        <v>0.99</v>
      </c>
      <c r="V1731" s="2" t="str">
        <f>Tabela2[[#This Row],[Coluna4]]</f>
        <v>01/12/2025</v>
      </c>
      <c r="W1731" s="2" t="str">
        <f>Tabela2[[#This Row],[Coluna6]]</f>
        <v>01/12/2025</v>
      </c>
    </row>
    <row r="1732" spans="2:23" x14ac:dyDescent="0.2">
      <c r="B1732" t="s">
        <v>18</v>
      </c>
      <c r="C1732" t="s">
        <v>95</v>
      </c>
      <c r="D1732" t="s">
        <v>13</v>
      </c>
      <c r="E1732" s="8" t="s">
        <v>63</v>
      </c>
      <c r="F1732" t="s">
        <v>64</v>
      </c>
      <c r="G1732" s="8" t="s">
        <v>63</v>
      </c>
      <c r="H1732" t="s">
        <v>693</v>
      </c>
      <c r="I1732" t="e">
        <f>VLOOKUP(Tabela2[[#This Row],[Coluna7]],[1]!Tabela1[#All],2,0)</f>
        <v>#REF!</v>
      </c>
      <c r="J1732" t="s">
        <v>696</v>
      </c>
      <c r="L1732">
        <v>3.45</v>
      </c>
      <c r="N1732" t="s">
        <v>131</v>
      </c>
      <c r="Q1732" s="10" t="str">
        <f>Tabela2[[#This Row],[Coluna5]]</f>
        <v>12/2025</v>
      </c>
      <c r="R1732" s="10" t="str">
        <f>IF(Tabela2[[#This Row],[Coluna9]]&gt;0,"Entrada","Saída")</f>
        <v>Saída</v>
      </c>
      <c r="S1732" s="10" t="str">
        <f>Tabela2[[#This Row],[Coluna8]]</f>
        <v>EFI</v>
      </c>
      <c r="T1732" s="10" t="e">
        <f>Tabela2[[#This Row],[Coluna72]]</f>
        <v>#REF!</v>
      </c>
      <c r="U1732" s="10">
        <f>SUM(Tabela2[[#This Row],[Coluna9]],Tabela2[[#This Row],[Coluna10]])</f>
        <v>3.45</v>
      </c>
      <c r="V1732" s="2" t="str">
        <f>Tabela2[[#This Row],[Coluna4]]</f>
        <v>01/12/2025</v>
      </c>
      <c r="W1732" s="2" t="str">
        <f>Tabela2[[#This Row],[Coluna6]]</f>
        <v>01/12/2025</v>
      </c>
    </row>
    <row r="1733" spans="2:23" x14ac:dyDescent="0.2">
      <c r="B1733" t="s">
        <v>18</v>
      </c>
      <c r="C1733" t="s">
        <v>125</v>
      </c>
      <c r="D1733" t="s">
        <v>13</v>
      </c>
      <c r="E1733" s="8" t="s">
        <v>63</v>
      </c>
      <c r="F1733" t="s">
        <v>64</v>
      </c>
      <c r="G1733" s="8" t="s">
        <v>63</v>
      </c>
      <c r="H1733" t="s">
        <v>693</v>
      </c>
      <c r="I1733" t="e">
        <f>VLOOKUP(Tabela2[[#This Row],[Coluna7]],[1]!Tabela1[#All],2,0)</f>
        <v>#REF!</v>
      </c>
      <c r="J1733" t="s">
        <v>696</v>
      </c>
      <c r="L1733">
        <v>3.45</v>
      </c>
      <c r="N1733" t="s">
        <v>103</v>
      </c>
      <c r="Q1733" s="10" t="str">
        <f>Tabela2[[#This Row],[Coluna5]]</f>
        <v>12/2025</v>
      </c>
      <c r="R1733" s="10" t="str">
        <f>IF(Tabela2[[#This Row],[Coluna9]]&gt;0,"Entrada","Saída")</f>
        <v>Saída</v>
      </c>
      <c r="S1733" s="10" t="str">
        <f>Tabela2[[#This Row],[Coluna8]]</f>
        <v>EFI</v>
      </c>
      <c r="T1733" s="10" t="e">
        <f>Tabela2[[#This Row],[Coluna72]]</f>
        <v>#REF!</v>
      </c>
      <c r="U1733" s="10">
        <f>SUM(Tabela2[[#This Row],[Coluna9]],Tabela2[[#This Row],[Coluna10]])</f>
        <v>3.45</v>
      </c>
      <c r="V1733" s="2" t="str">
        <f>Tabela2[[#This Row],[Coluna4]]</f>
        <v>01/12/2025</v>
      </c>
      <c r="W1733" s="2" t="str">
        <f>Tabela2[[#This Row],[Coluna6]]</f>
        <v>01/12/2025</v>
      </c>
    </row>
    <row r="1734" spans="2:23" x14ac:dyDescent="0.2">
      <c r="B1734" t="s">
        <v>27</v>
      </c>
      <c r="C1734" t="s">
        <v>95</v>
      </c>
      <c r="D1734" t="s">
        <v>13</v>
      </c>
      <c r="E1734" s="8" t="s">
        <v>282</v>
      </c>
      <c r="F1734" t="s">
        <v>64</v>
      </c>
      <c r="G1734" s="8" t="s">
        <v>282</v>
      </c>
      <c r="H1734" t="s">
        <v>693</v>
      </c>
      <c r="I1734" t="e">
        <f>VLOOKUP(Tabela2[[#This Row],[Coluna7]],[1]!Tabela1[#All],2,0)</f>
        <v>#REF!</v>
      </c>
      <c r="J1734" t="s">
        <v>704</v>
      </c>
      <c r="L1734">
        <v>3.92</v>
      </c>
      <c r="Q1734" s="10" t="str">
        <f>Tabela2[[#This Row],[Coluna5]]</f>
        <v>12/2025</v>
      </c>
      <c r="R1734" s="10" t="str">
        <f>IF(Tabela2[[#This Row],[Coluna9]]&gt;0,"Entrada","Saída")</f>
        <v>Saída</v>
      </c>
      <c r="S1734" s="10" t="str">
        <f>Tabela2[[#This Row],[Coluna8]]</f>
        <v>ENCARGOS LIMITE DE CREDITO</v>
      </c>
      <c r="T1734" s="10" t="e">
        <f>Tabela2[[#This Row],[Coluna72]]</f>
        <v>#REF!</v>
      </c>
      <c r="U1734" s="10">
        <f>SUM(Tabela2[[#This Row],[Coluna9]],Tabela2[[#This Row],[Coluna10]])</f>
        <v>3.92</v>
      </c>
      <c r="V1734" s="2" t="str">
        <f>Tabela2[[#This Row],[Coluna4]]</f>
        <v>02/12/2025</v>
      </c>
      <c r="W1734" s="2" t="str">
        <f>Tabela2[[#This Row],[Coluna6]]</f>
        <v>02/12/2025</v>
      </c>
    </row>
    <row r="1735" spans="2:23" x14ac:dyDescent="0.2">
      <c r="B1735" t="s">
        <v>18</v>
      </c>
      <c r="C1735" t="s">
        <v>125</v>
      </c>
      <c r="D1735" t="s">
        <v>13</v>
      </c>
      <c r="E1735" s="8" t="s">
        <v>282</v>
      </c>
      <c r="F1735" t="s">
        <v>64</v>
      </c>
      <c r="G1735" s="8" t="s">
        <v>282</v>
      </c>
      <c r="H1735" t="s">
        <v>693</v>
      </c>
      <c r="I1735" t="e">
        <f>VLOOKUP(Tabela2[[#This Row],[Coluna7]],[1]!Tabela1[#All],2,0)</f>
        <v>#REF!</v>
      </c>
      <c r="J1735" t="s">
        <v>696</v>
      </c>
      <c r="L1735">
        <v>3.45</v>
      </c>
      <c r="M1735" t="s">
        <v>116</v>
      </c>
      <c r="N1735" t="s">
        <v>117</v>
      </c>
      <c r="Q1735" s="10" t="str">
        <f>Tabela2[[#This Row],[Coluna5]]</f>
        <v>12/2025</v>
      </c>
      <c r="R1735" s="10" t="str">
        <f>IF(Tabela2[[#This Row],[Coluna9]]&gt;0,"Entrada","Saída")</f>
        <v>Saída</v>
      </c>
      <c r="S1735" s="10" t="str">
        <f>Tabela2[[#This Row],[Coluna8]]</f>
        <v>EFI</v>
      </c>
      <c r="T1735" s="10" t="e">
        <f>Tabela2[[#This Row],[Coluna72]]</f>
        <v>#REF!</v>
      </c>
      <c r="U1735" s="10">
        <f>SUM(Tabela2[[#This Row],[Coluna9]],Tabela2[[#This Row],[Coluna10]])</f>
        <v>3.45</v>
      </c>
      <c r="V1735" s="2" t="str">
        <f>Tabela2[[#This Row],[Coluna4]]</f>
        <v>02/12/2025</v>
      </c>
      <c r="W1735" s="2" t="str">
        <f>Tabela2[[#This Row],[Coluna6]]</f>
        <v>02/12/2025</v>
      </c>
    </row>
    <row r="1736" spans="2:23" x14ac:dyDescent="0.2">
      <c r="B1736" t="s">
        <v>18</v>
      </c>
      <c r="C1736" t="s">
        <v>125</v>
      </c>
      <c r="D1736" t="s">
        <v>13</v>
      </c>
      <c r="E1736" s="8" t="s">
        <v>66</v>
      </c>
      <c r="F1736" t="s">
        <v>64</v>
      </c>
      <c r="G1736" s="8" t="s">
        <v>66</v>
      </c>
      <c r="H1736" t="s">
        <v>693</v>
      </c>
      <c r="I1736" t="e">
        <f>VLOOKUP(Tabela2[[#This Row],[Coluna7]],[1]!Tabela1[#All],2,0)</f>
        <v>#REF!</v>
      </c>
      <c r="J1736" t="s">
        <v>696</v>
      </c>
      <c r="L1736">
        <v>3.45</v>
      </c>
      <c r="N1736" t="s">
        <v>132</v>
      </c>
      <c r="Q1736" s="10" t="str">
        <f>Tabela2[[#This Row],[Coluna5]]</f>
        <v>12/2025</v>
      </c>
      <c r="R1736" s="10" t="str">
        <f>IF(Tabela2[[#This Row],[Coluna9]]&gt;0,"Entrada","Saída")</f>
        <v>Saída</v>
      </c>
      <c r="S1736" s="10" t="str">
        <f>Tabela2[[#This Row],[Coluna8]]</f>
        <v>EFI</v>
      </c>
      <c r="T1736" s="10" t="e">
        <f>Tabela2[[#This Row],[Coluna72]]</f>
        <v>#REF!</v>
      </c>
      <c r="U1736" s="10">
        <f>SUM(Tabela2[[#This Row],[Coluna9]],Tabela2[[#This Row],[Coluna10]])</f>
        <v>3.45</v>
      </c>
      <c r="V1736" s="2" t="str">
        <f>Tabela2[[#This Row],[Coluna4]]</f>
        <v>04/12/2025</v>
      </c>
      <c r="W1736" s="2" t="str">
        <f>Tabela2[[#This Row],[Coluna6]]</f>
        <v>04/12/2025</v>
      </c>
    </row>
    <row r="1737" spans="2:23" x14ac:dyDescent="0.2">
      <c r="B1737" t="s">
        <v>215</v>
      </c>
      <c r="C1737" t="s">
        <v>222</v>
      </c>
      <c r="D1737" t="s">
        <v>13</v>
      </c>
      <c r="E1737" s="8" t="s">
        <v>289</v>
      </c>
      <c r="F1737" t="s">
        <v>64</v>
      </c>
      <c r="G1737" s="8" t="s">
        <v>289</v>
      </c>
      <c r="H1737" t="s">
        <v>693</v>
      </c>
      <c r="I1737" t="e">
        <f>VLOOKUP(Tabela2[[#This Row],[Coluna7]],[1]!Tabela1[#All],2,0)</f>
        <v>#REF!</v>
      </c>
      <c r="J1737" t="s">
        <v>705</v>
      </c>
      <c r="L1737">
        <v>0.99</v>
      </c>
      <c r="M1737" t="s">
        <v>224</v>
      </c>
      <c r="N1737" t="s">
        <v>225</v>
      </c>
      <c r="Q1737" s="10" t="str">
        <f>Tabela2[[#This Row],[Coluna5]]</f>
        <v>12/2025</v>
      </c>
      <c r="R1737" s="10" t="str">
        <f>IF(Tabela2[[#This Row],[Coluna9]]&gt;0,"Entrada","Saída")</f>
        <v>Saída</v>
      </c>
      <c r="S1737" s="10" t="str">
        <f>Tabela2[[#This Row],[Coluna8]]</f>
        <v>(TAXA DO ASAAS) 2/15 HONORARIOS INICIAIS</v>
      </c>
      <c r="T1737" s="10" t="e">
        <f>Tabela2[[#This Row],[Coluna72]]</f>
        <v>#REF!</v>
      </c>
      <c r="U1737" s="10">
        <f>SUM(Tabela2[[#This Row],[Coluna9]],Tabela2[[#This Row],[Coluna10]])</f>
        <v>0.99</v>
      </c>
      <c r="V1737" s="2" t="str">
        <f>Tabela2[[#This Row],[Coluna4]]</f>
        <v>05/12/2025</v>
      </c>
      <c r="W1737" s="2" t="str">
        <f>Tabela2[[#This Row],[Coluna6]]</f>
        <v>05/12/2025</v>
      </c>
    </row>
    <row r="1738" spans="2:23" x14ac:dyDescent="0.2">
      <c r="B1738" t="s">
        <v>18</v>
      </c>
      <c r="C1738" t="s">
        <v>125</v>
      </c>
      <c r="D1738" t="s">
        <v>13</v>
      </c>
      <c r="E1738" s="8" t="s">
        <v>289</v>
      </c>
      <c r="F1738" t="s">
        <v>64</v>
      </c>
      <c r="G1738" s="8" t="s">
        <v>289</v>
      </c>
      <c r="H1738" t="s">
        <v>693</v>
      </c>
      <c r="I1738" t="e">
        <f>VLOOKUP(Tabela2[[#This Row],[Coluna7]],[1]!Tabela1[#All],2,0)</f>
        <v>#REF!</v>
      </c>
      <c r="J1738" t="s">
        <v>696</v>
      </c>
      <c r="L1738">
        <v>3.45</v>
      </c>
      <c r="M1738" t="s">
        <v>138</v>
      </c>
      <c r="N1738" t="s">
        <v>139</v>
      </c>
      <c r="Q1738" s="10" t="str">
        <f>Tabela2[[#This Row],[Coluna5]]</f>
        <v>12/2025</v>
      </c>
      <c r="R1738" s="10" t="str">
        <f>IF(Tabela2[[#This Row],[Coluna9]]&gt;0,"Entrada","Saída")</f>
        <v>Saída</v>
      </c>
      <c r="S1738" s="10" t="str">
        <f>Tabela2[[#This Row],[Coluna8]]</f>
        <v>EFI</v>
      </c>
      <c r="T1738" s="10" t="e">
        <f>Tabela2[[#This Row],[Coluna72]]</f>
        <v>#REF!</v>
      </c>
      <c r="U1738" s="10">
        <f>SUM(Tabela2[[#This Row],[Coluna9]],Tabela2[[#This Row],[Coluna10]])</f>
        <v>3.45</v>
      </c>
      <c r="V1738" s="2" t="str">
        <f>Tabela2[[#This Row],[Coluna4]]</f>
        <v>05/12/2025</v>
      </c>
      <c r="W1738" s="2" t="str">
        <f>Tabela2[[#This Row],[Coluna6]]</f>
        <v>05/12/2025</v>
      </c>
    </row>
    <row r="1739" spans="2:23" x14ac:dyDescent="0.2">
      <c r="B1739" t="s">
        <v>18</v>
      </c>
      <c r="C1739" t="s">
        <v>125</v>
      </c>
      <c r="D1739" t="s">
        <v>13</v>
      </c>
      <c r="E1739" s="8" t="s">
        <v>289</v>
      </c>
      <c r="F1739" t="s">
        <v>64</v>
      </c>
      <c r="G1739" s="8" t="s">
        <v>289</v>
      </c>
      <c r="H1739" t="s">
        <v>693</v>
      </c>
      <c r="I1739" t="e">
        <f>VLOOKUP(Tabela2[[#This Row],[Coluna7]],[1]!Tabela1[#All],2,0)</f>
        <v>#REF!</v>
      </c>
      <c r="J1739" t="s">
        <v>696</v>
      </c>
      <c r="L1739">
        <v>3.45</v>
      </c>
      <c r="M1739" t="s">
        <v>123</v>
      </c>
      <c r="N1739" t="s">
        <v>124</v>
      </c>
      <c r="Q1739" s="10" t="str">
        <f>Tabela2[[#This Row],[Coluna5]]</f>
        <v>12/2025</v>
      </c>
      <c r="R1739" s="10" t="str">
        <f>IF(Tabela2[[#This Row],[Coluna9]]&gt;0,"Entrada","Saída")</f>
        <v>Saída</v>
      </c>
      <c r="S1739" s="10" t="str">
        <f>Tabela2[[#This Row],[Coluna8]]</f>
        <v>EFI</v>
      </c>
      <c r="T1739" s="10" t="e">
        <f>Tabela2[[#This Row],[Coluna72]]</f>
        <v>#REF!</v>
      </c>
      <c r="U1739" s="10">
        <f>SUM(Tabela2[[#This Row],[Coluna9]],Tabela2[[#This Row],[Coluna10]])</f>
        <v>3.45</v>
      </c>
      <c r="V1739" s="2" t="str">
        <f>Tabela2[[#This Row],[Coluna4]]</f>
        <v>05/12/2025</v>
      </c>
      <c r="W1739" s="2" t="str">
        <f>Tabela2[[#This Row],[Coluna6]]</f>
        <v>05/12/2025</v>
      </c>
    </row>
    <row r="1740" spans="2:23" x14ac:dyDescent="0.2">
      <c r="B1740" t="s">
        <v>18</v>
      </c>
      <c r="C1740" t="s">
        <v>110</v>
      </c>
      <c r="D1740" t="s">
        <v>13</v>
      </c>
      <c r="E1740" s="8" t="s">
        <v>68</v>
      </c>
      <c r="F1740" t="s">
        <v>64</v>
      </c>
      <c r="G1740" s="8" t="s">
        <v>68</v>
      </c>
      <c r="H1740" t="s">
        <v>693</v>
      </c>
      <c r="I1740" t="e">
        <f>VLOOKUP(Tabela2[[#This Row],[Coluna7]],[1]!Tabela1[#All],2,0)</f>
        <v>#REF!</v>
      </c>
      <c r="J1740" t="s">
        <v>696</v>
      </c>
      <c r="L1740">
        <v>3.45</v>
      </c>
      <c r="M1740" t="s">
        <v>706</v>
      </c>
      <c r="N1740" t="s">
        <v>153</v>
      </c>
      <c r="Q1740" s="10" t="str">
        <f>Tabela2[[#This Row],[Coluna5]]</f>
        <v>12/2025</v>
      </c>
      <c r="R1740" s="10" t="str">
        <f>IF(Tabela2[[#This Row],[Coluna9]]&gt;0,"Entrada","Saída")</f>
        <v>Saída</v>
      </c>
      <c r="S1740" s="10" t="str">
        <f>Tabela2[[#This Row],[Coluna8]]</f>
        <v>EFI</v>
      </c>
      <c r="T1740" s="10" t="e">
        <f>Tabela2[[#This Row],[Coluna72]]</f>
        <v>#REF!</v>
      </c>
      <c r="U1740" s="10">
        <f>SUM(Tabela2[[#This Row],[Coluna9]],Tabela2[[#This Row],[Coluna10]])</f>
        <v>3.45</v>
      </c>
      <c r="V1740" s="2" t="str">
        <f>Tabela2[[#This Row],[Coluna4]]</f>
        <v>08/12/2025</v>
      </c>
      <c r="W1740" s="2" t="str">
        <f>Tabela2[[#This Row],[Coluna6]]</f>
        <v>08/12/2025</v>
      </c>
    </row>
    <row r="1741" spans="2:23" x14ac:dyDescent="0.2">
      <c r="B1741" t="s">
        <v>18</v>
      </c>
      <c r="C1741" t="s">
        <v>200</v>
      </c>
      <c r="D1741" t="s">
        <v>13</v>
      </c>
      <c r="E1741" s="8" t="s">
        <v>68</v>
      </c>
      <c r="F1741" t="s">
        <v>64</v>
      </c>
      <c r="G1741" s="8" t="s">
        <v>68</v>
      </c>
      <c r="H1741" t="s">
        <v>693</v>
      </c>
      <c r="I1741" t="e">
        <f>VLOOKUP(Tabela2[[#This Row],[Coluna7]],[1]!Tabela1[#All],2,0)</f>
        <v>#REF!</v>
      </c>
      <c r="J1741" t="s">
        <v>696</v>
      </c>
      <c r="L1741">
        <v>3.45</v>
      </c>
      <c r="N1741" t="s">
        <v>199</v>
      </c>
      <c r="Q1741" s="10" t="str">
        <f>Tabela2[[#This Row],[Coluna5]]</f>
        <v>12/2025</v>
      </c>
      <c r="R1741" s="10" t="str">
        <f>IF(Tabela2[[#This Row],[Coluna9]]&gt;0,"Entrada","Saída")</f>
        <v>Saída</v>
      </c>
      <c r="S1741" s="10" t="str">
        <f>Tabela2[[#This Row],[Coluna8]]</f>
        <v>EFI</v>
      </c>
      <c r="T1741" s="10" t="e">
        <f>Tabela2[[#This Row],[Coluna72]]</f>
        <v>#REF!</v>
      </c>
      <c r="U1741" s="10">
        <f>SUM(Tabela2[[#This Row],[Coluna9]],Tabela2[[#This Row],[Coluna10]])</f>
        <v>3.45</v>
      </c>
      <c r="V1741" s="2" t="str">
        <f>Tabela2[[#This Row],[Coluna4]]</f>
        <v>08/12/2025</v>
      </c>
      <c r="W1741" s="2" t="str">
        <f>Tabela2[[#This Row],[Coluna6]]</f>
        <v>08/12/2025</v>
      </c>
    </row>
    <row r="1742" spans="2:23" x14ac:dyDescent="0.2">
      <c r="B1742" t="s">
        <v>18</v>
      </c>
      <c r="C1742" t="s">
        <v>125</v>
      </c>
      <c r="D1742" t="s">
        <v>13</v>
      </c>
      <c r="E1742" s="8" t="s">
        <v>68</v>
      </c>
      <c r="F1742" t="s">
        <v>64</v>
      </c>
      <c r="G1742" s="8" t="s">
        <v>68</v>
      </c>
      <c r="H1742" t="s">
        <v>693</v>
      </c>
      <c r="I1742" t="e">
        <f>VLOOKUP(Tabela2[[#This Row],[Coluna7]],[1]!Tabela1[#All],2,0)</f>
        <v>#REF!</v>
      </c>
      <c r="J1742" t="s">
        <v>696</v>
      </c>
      <c r="L1742">
        <v>3.45</v>
      </c>
      <c r="N1742" t="s">
        <v>154</v>
      </c>
      <c r="Q1742" s="10" t="str">
        <f>Tabela2[[#This Row],[Coluna5]]</f>
        <v>12/2025</v>
      </c>
      <c r="R1742" s="10" t="str">
        <f>IF(Tabela2[[#This Row],[Coluna9]]&gt;0,"Entrada","Saída")</f>
        <v>Saída</v>
      </c>
      <c r="S1742" s="10" t="str">
        <f>Tabela2[[#This Row],[Coluna8]]</f>
        <v>EFI</v>
      </c>
      <c r="T1742" s="10" t="e">
        <f>Tabela2[[#This Row],[Coluna72]]</f>
        <v>#REF!</v>
      </c>
      <c r="U1742" s="10">
        <f>SUM(Tabela2[[#This Row],[Coluna9]],Tabela2[[#This Row],[Coluna10]])</f>
        <v>3.45</v>
      </c>
      <c r="V1742" s="2" t="str">
        <f>Tabela2[[#This Row],[Coluna4]]</f>
        <v>08/12/2025</v>
      </c>
      <c r="W1742" s="2" t="str">
        <f>Tabela2[[#This Row],[Coluna6]]</f>
        <v>08/12/2025</v>
      </c>
    </row>
    <row r="1743" spans="2:23" x14ac:dyDescent="0.2">
      <c r="B1743" t="s">
        <v>18</v>
      </c>
      <c r="C1743" t="s">
        <v>125</v>
      </c>
      <c r="D1743" t="s">
        <v>13</v>
      </c>
      <c r="E1743" s="8" t="s">
        <v>292</v>
      </c>
      <c r="F1743" t="s">
        <v>64</v>
      </c>
      <c r="G1743" s="8" t="s">
        <v>292</v>
      </c>
      <c r="H1743" t="s">
        <v>693</v>
      </c>
      <c r="I1743" t="e">
        <f>VLOOKUP(Tabela2[[#This Row],[Coluna7]],[1]!Tabela1[#All],2,0)</f>
        <v>#REF!</v>
      </c>
      <c r="L1743">
        <v>3.45</v>
      </c>
      <c r="N1743" t="s">
        <v>134</v>
      </c>
      <c r="Q1743" s="10" t="str">
        <f>Tabela2[[#This Row],[Coluna5]]</f>
        <v>12/2025</v>
      </c>
      <c r="R1743" s="10" t="str">
        <f>IF(Tabela2[[#This Row],[Coluna9]]&gt;0,"Entrada","Saída")</f>
        <v>Saída</v>
      </c>
      <c r="S1743" s="10">
        <f>Tabela2[[#This Row],[Coluna8]]</f>
        <v>0</v>
      </c>
      <c r="T1743" s="10" t="e">
        <f>Tabela2[[#This Row],[Coluna72]]</f>
        <v>#REF!</v>
      </c>
      <c r="U1743" s="10">
        <f>SUM(Tabela2[[#This Row],[Coluna9]],Tabela2[[#This Row],[Coluna10]])</f>
        <v>3.45</v>
      </c>
      <c r="V1743" s="2" t="str">
        <f>Tabela2[[#This Row],[Coluna4]]</f>
        <v>09/12/2025</v>
      </c>
      <c r="W1743" s="2" t="str">
        <f>Tabela2[[#This Row],[Coluna6]]</f>
        <v>09/12/2025</v>
      </c>
    </row>
    <row r="1744" spans="2:23" x14ac:dyDescent="0.2">
      <c r="B1744" t="s">
        <v>18</v>
      </c>
      <c r="C1744" t="s">
        <v>125</v>
      </c>
      <c r="D1744" t="s">
        <v>13</v>
      </c>
      <c r="E1744" s="8" t="s">
        <v>73</v>
      </c>
      <c r="F1744" t="s">
        <v>64</v>
      </c>
      <c r="G1744" s="8" t="s">
        <v>73</v>
      </c>
      <c r="H1744" t="s">
        <v>693</v>
      </c>
      <c r="I1744" t="e">
        <f>VLOOKUP(Tabela2[[#This Row],[Coluna7]],[1]!Tabela1[#All],2,0)</f>
        <v>#REF!</v>
      </c>
      <c r="J1744" t="s">
        <v>696</v>
      </c>
      <c r="L1744">
        <v>3.45</v>
      </c>
      <c r="M1744" t="s">
        <v>100</v>
      </c>
      <c r="N1744" t="s">
        <v>101</v>
      </c>
      <c r="Q1744" s="10" t="str">
        <f>Tabela2[[#This Row],[Coluna5]]</f>
        <v>12/2025</v>
      </c>
      <c r="R1744" s="10" t="str">
        <f>IF(Tabela2[[#This Row],[Coluna9]]&gt;0,"Entrada","Saída")</f>
        <v>Saída</v>
      </c>
      <c r="S1744" s="10" t="str">
        <f>Tabela2[[#This Row],[Coluna8]]</f>
        <v>EFI</v>
      </c>
      <c r="T1744" s="10" t="e">
        <f>Tabela2[[#This Row],[Coluna72]]</f>
        <v>#REF!</v>
      </c>
      <c r="U1744" s="10">
        <f>SUM(Tabela2[[#This Row],[Coluna9]],Tabela2[[#This Row],[Coluna10]])</f>
        <v>3.45</v>
      </c>
      <c r="V1744" s="2" t="str">
        <f>Tabela2[[#This Row],[Coluna4]]</f>
        <v>11/12/2025</v>
      </c>
      <c r="W1744" s="2" t="str">
        <f>Tabela2[[#This Row],[Coluna6]]</f>
        <v>11/12/2025</v>
      </c>
    </row>
    <row r="1745" spans="2:23" x14ac:dyDescent="0.2">
      <c r="B1745" t="s">
        <v>27</v>
      </c>
      <c r="C1745" t="s">
        <v>95</v>
      </c>
      <c r="D1745" t="s">
        <v>13</v>
      </c>
      <c r="E1745" s="8" t="s">
        <v>76</v>
      </c>
      <c r="F1745" t="s">
        <v>64</v>
      </c>
      <c r="G1745" s="8" t="s">
        <v>76</v>
      </c>
      <c r="H1745" t="s">
        <v>693</v>
      </c>
      <c r="I1745" t="e">
        <f>VLOOKUP(Tabela2[[#This Row],[Coluna7]],[1]!Tabela1[#All],2,0)</f>
        <v>#REF!</v>
      </c>
      <c r="J1745" t="s">
        <v>694</v>
      </c>
      <c r="L1745">
        <v>168.5</v>
      </c>
      <c r="Q1745" s="10" t="str">
        <f>Tabela2[[#This Row],[Coluna5]]</f>
        <v>12/2025</v>
      </c>
      <c r="R1745" s="10" t="str">
        <f>IF(Tabela2[[#This Row],[Coluna9]]&gt;0,"Entrada","Saída")</f>
        <v>Saída</v>
      </c>
      <c r="S1745" s="10" t="str">
        <f>Tabela2[[#This Row],[Coluna8]]</f>
        <v>CESTA PJ</v>
      </c>
      <c r="T1745" s="10" t="e">
        <f>Tabela2[[#This Row],[Coluna72]]</f>
        <v>#REF!</v>
      </c>
      <c r="U1745" s="10">
        <f>SUM(Tabela2[[#This Row],[Coluna9]],Tabela2[[#This Row],[Coluna10]])</f>
        <v>168.5</v>
      </c>
      <c r="V1745" s="2" t="str">
        <f>Tabela2[[#This Row],[Coluna4]]</f>
        <v>15/12/2025</v>
      </c>
      <c r="W1745" s="2" t="str">
        <f>Tabela2[[#This Row],[Coluna6]]</f>
        <v>15/12/2025</v>
      </c>
    </row>
    <row r="1746" spans="2:23" x14ac:dyDescent="0.2">
      <c r="B1746" t="s">
        <v>215</v>
      </c>
      <c r="C1746" t="s">
        <v>222</v>
      </c>
      <c r="D1746" t="s">
        <v>13</v>
      </c>
      <c r="E1746" s="8" t="s">
        <v>76</v>
      </c>
      <c r="F1746" t="s">
        <v>64</v>
      </c>
      <c r="G1746" s="8" t="s">
        <v>76</v>
      </c>
      <c r="H1746" t="s">
        <v>693</v>
      </c>
      <c r="I1746" t="e">
        <f>VLOOKUP(Tabela2[[#This Row],[Coluna7]],[1]!Tabela1[#All],2,0)</f>
        <v>#REF!</v>
      </c>
      <c r="J1746" t="s">
        <v>703</v>
      </c>
      <c r="L1746">
        <v>0.99</v>
      </c>
      <c r="M1746" t="s">
        <v>313</v>
      </c>
      <c r="N1746" t="s">
        <v>314</v>
      </c>
      <c r="Q1746" s="10" t="str">
        <f>Tabela2[[#This Row],[Coluna5]]</f>
        <v>12/2025</v>
      </c>
      <c r="R1746" s="10" t="str">
        <f>IF(Tabela2[[#This Row],[Coluna9]]&gt;0,"Entrada","Saída")</f>
        <v>Saída</v>
      </c>
      <c r="S1746" s="10" t="str">
        <f>Tabela2[[#This Row],[Coluna8]]</f>
        <v xml:space="preserve">(TAXA DO ASAAS) </v>
      </c>
      <c r="T1746" s="10" t="e">
        <f>Tabela2[[#This Row],[Coluna72]]</f>
        <v>#REF!</v>
      </c>
      <c r="U1746" s="10">
        <f>SUM(Tabela2[[#This Row],[Coluna9]],Tabela2[[#This Row],[Coluna10]])</f>
        <v>0.99</v>
      </c>
      <c r="V1746" s="2" t="str">
        <f>Tabela2[[#This Row],[Coluna4]]</f>
        <v>15/12/2025</v>
      </c>
      <c r="W1746" s="2" t="str">
        <f>Tabela2[[#This Row],[Coluna6]]</f>
        <v>15/12/2025</v>
      </c>
    </row>
    <row r="1747" spans="2:23" x14ac:dyDescent="0.2">
      <c r="B1747" t="s">
        <v>34</v>
      </c>
      <c r="C1747" t="s">
        <v>95</v>
      </c>
      <c r="D1747" t="s">
        <v>13</v>
      </c>
      <c r="E1747" s="8" t="s">
        <v>510</v>
      </c>
      <c r="F1747" t="s">
        <v>64</v>
      </c>
      <c r="G1747" s="8" t="s">
        <v>510</v>
      </c>
      <c r="H1747" t="s">
        <v>693</v>
      </c>
      <c r="I1747" t="e">
        <f>VLOOKUP(Tabela2[[#This Row],[Coluna7]],[1]!Tabela1[#All],2,0)</f>
        <v>#REF!</v>
      </c>
      <c r="J1747" t="s">
        <v>707</v>
      </c>
      <c r="L1747">
        <v>20</v>
      </c>
      <c r="Q1747" s="10" t="str">
        <f>Tabela2[[#This Row],[Coluna5]]</f>
        <v>12/2025</v>
      </c>
      <c r="R1747" s="10" t="str">
        <f>IF(Tabela2[[#This Row],[Coluna9]]&gt;0,"Entrada","Saída")</f>
        <v>Saída</v>
      </c>
      <c r="S1747" s="10" t="str">
        <f>Tabela2[[#This Row],[Coluna8]]</f>
        <v>SEGURO CONTA</v>
      </c>
      <c r="T1747" s="10" t="e">
        <f>Tabela2[[#This Row],[Coluna72]]</f>
        <v>#REF!</v>
      </c>
      <c r="U1747" s="10">
        <f>SUM(Tabela2[[#This Row],[Coluna9]],Tabela2[[#This Row],[Coluna10]])</f>
        <v>20</v>
      </c>
      <c r="V1747" s="2" t="str">
        <f>Tabela2[[#This Row],[Coluna4]]</f>
        <v>21/12/2025</v>
      </c>
      <c r="W1747" s="2" t="str">
        <f>Tabela2[[#This Row],[Coluna6]]</f>
        <v>21/12/2025</v>
      </c>
    </row>
    <row r="1748" spans="2:23" x14ac:dyDescent="0.2">
      <c r="B1748" t="s">
        <v>18</v>
      </c>
      <c r="C1748" t="s">
        <v>200</v>
      </c>
      <c r="D1748" t="s">
        <v>13</v>
      </c>
      <c r="E1748" s="8" t="s">
        <v>325</v>
      </c>
      <c r="F1748" t="s">
        <v>64</v>
      </c>
      <c r="G1748" s="8" t="s">
        <v>325</v>
      </c>
      <c r="H1748" t="s">
        <v>693</v>
      </c>
      <c r="I1748" t="e">
        <f>VLOOKUP(Tabela2[[#This Row],[Coluna7]],[1]!Tabela1[#All],2,0)</f>
        <v>#REF!</v>
      </c>
      <c r="L1748">
        <v>3.45</v>
      </c>
      <c r="N1748" t="s">
        <v>207</v>
      </c>
      <c r="Q1748" s="10" t="str">
        <f>Tabela2[[#This Row],[Coluna5]]</f>
        <v>12/2025</v>
      </c>
      <c r="R1748" s="10" t="str">
        <f>IF(Tabela2[[#This Row],[Coluna9]]&gt;0,"Entrada","Saída")</f>
        <v>Saída</v>
      </c>
      <c r="S1748" s="10">
        <f>Tabela2[[#This Row],[Coluna8]]</f>
        <v>0</v>
      </c>
      <c r="T1748" s="10" t="e">
        <f>Tabela2[[#This Row],[Coluna72]]</f>
        <v>#REF!</v>
      </c>
      <c r="U1748" s="10">
        <f>SUM(Tabela2[[#This Row],[Coluna9]],Tabela2[[#This Row],[Coluna10]])</f>
        <v>3.45</v>
      </c>
      <c r="V1748" s="2" t="str">
        <f>Tabela2[[#This Row],[Coluna4]]</f>
        <v>22/12/2025</v>
      </c>
      <c r="W1748" s="2" t="str">
        <f>Tabela2[[#This Row],[Coluna6]]</f>
        <v>22/12/2025</v>
      </c>
    </row>
    <row r="1749" spans="2:23" x14ac:dyDescent="0.2">
      <c r="B1749" t="s">
        <v>18</v>
      </c>
      <c r="C1749" t="s">
        <v>324</v>
      </c>
      <c r="D1749" t="s">
        <v>13</v>
      </c>
      <c r="E1749" s="8" t="s">
        <v>326</v>
      </c>
      <c r="F1749" t="s">
        <v>64</v>
      </c>
      <c r="G1749" s="8" t="s">
        <v>326</v>
      </c>
      <c r="H1749" t="s">
        <v>693</v>
      </c>
      <c r="I1749" t="e">
        <f>VLOOKUP(Tabela2[[#This Row],[Coluna7]],[1]!Tabela1[#All],2,0)</f>
        <v>#REF!</v>
      </c>
      <c r="L1749">
        <v>3.45</v>
      </c>
      <c r="M1749" t="s">
        <v>192</v>
      </c>
      <c r="N1749" t="s">
        <v>193</v>
      </c>
      <c r="Q1749" s="10" t="str">
        <f>Tabela2[[#This Row],[Coluna5]]</f>
        <v>12/2025</v>
      </c>
      <c r="R1749" s="10" t="str">
        <f>IF(Tabela2[[#This Row],[Coluna9]]&gt;0,"Entrada","Saída")</f>
        <v>Saída</v>
      </c>
      <c r="S1749" s="10">
        <f>Tabela2[[#This Row],[Coluna8]]</f>
        <v>0</v>
      </c>
      <c r="T1749" s="10" t="e">
        <f>Tabela2[[#This Row],[Coluna72]]</f>
        <v>#REF!</v>
      </c>
      <c r="U1749" s="10">
        <f>SUM(Tabela2[[#This Row],[Coluna9]],Tabela2[[#This Row],[Coluna10]])</f>
        <v>3.45</v>
      </c>
      <c r="V1749" s="2" t="str">
        <f>Tabela2[[#This Row],[Coluna4]]</f>
        <v>26/12/2025</v>
      </c>
      <c r="W1749" s="2" t="str">
        <f>Tabela2[[#This Row],[Coluna6]]</f>
        <v>26/12/2025</v>
      </c>
    </row>
    <row r="1750" spans="2:23" x14ac:dyDescent="0.2">
      <c r="B1750" t="s">
        <v>12</v>
      </c>
      <c r="C1750" t="s">
        <v>95</v>
      </c>
      <c r="D1750" t="s">
        <v>13</v>
      </c>
      <c r="E1750" s="8" t="s">
        <v>326</v>
      </c>
      <c r="F1750" t="s">
        <v>64</v>
      </c>
      <c r="G1750" s="8" t="s">
        <v>326</v>
      </c>
      <c r="H1750" t="s">
        <v>693</v>
      </c>
      <c r="I1750" t="e">
        <f>VLOOKUP(Tabela2[[#This Row],[Coluna7]],[1]!Tabela1[#All],2,0)</f>
        <v>#REF!</v>
      </c>
      <c r="J1750" t="s">
        <v>708</v>
      </c>
      <c r="L1750">
        <v>75</v>
      </c>
      <c r="Q1750" s="10" t="str">
        <f>Tabela2[[#This Row],[Coluna5]]</f>
        <v>12/2025</v>
      </c>
      <c r="R1750" s="10" t="str">
        <f>IF(Tabela2[[#This Row],[Coluna9]]&gt;0,"Entrada","Saída")</f>
        <v>Saída</v>
      </c>
      <c r="S1750" s="10" t="str">
        <f>Tabela2[[#This Row],[Coluna8]]</f>
        <v>CESTA SERVIÇO</v>
      </c>
      <c r="T1750" s="10" t="e">
        <f>Tabela2[[#This Row],[Coluna72]]</f>
        <v>#REF!</v>
      </c>
      <c r="U1750" s="10">
        <f>SUM(Tabela2[[#This Row],[Coluna9]],Tabela2[[#This Row],[Coluna10]])</f>
        <v>75</v>
      </c>
      <c r="V1750" s="2" t="str">
        <f>Tabela2[[#This Row],[Coluna4]]</f>
        <v>26/12/2025</v>
      </c>
      <c r="W1750" s="2" t="str">
        <f>Tabela2[[#This Row],[Coluna6]]</f>
        <v>26/12/2025</v>
      </c>
    </row>
    <row r="1751" spans="2:23" x14ac:dyDescent="0.2">
      <c r="B1751" t="s">
        <v>18</v>
      </c>
      <c r="C1751" t="s">
        <v>125</v>
      </c>
      <c r="D1751" t="s">
        <v>13</v>
      </c>
      <c r="E1751" s="8" t="s">
        <v>331</v>
      </c>
      <c r="F1751" t="s">
        <v>64</v>
      </c>
      <c r="G1751" s="8" t="s">
        <v>331</v>
      </c>
      <c r="H1751" t="s">
        <v>693</v>
      </c>
      <c r="I1751" t="e">
        <f>VLOOKUP(Tabela2[[#This Row],[Coluna7]],[1]!Tabela1[#All],2,0)</f>
        <v>#REF!</v>
      </c>
      <c r="J1751" t="s">
        <v>709</v>
      </c>
      <c r="L1751">
        <v>3.45</v>
      </c>
      <c r="M1751" t="s">
        <v>204</v>
      </c>
      <c r="N1751" t="s">
        <v>205</v>
      </c>
      <c r="Q1751" s="10" t="str">
        <f>Tabela2[[#This Row],[Coluna5]]</f>
        <v>12/2025</v>
      </c>
      <c r="R1751" s="10" t="str">
        <f>IF(Tabela2[[#This Row],[Coluna9]]&gt;0,"Entrada","Saída")</f>
        <v>Saída</v>
      </c>
      <c r="S1751" s="10" t="str">
        <f>Tabela2[[#This Row],[Coluna8]]</f>
        <v>1/18 TARIFA EFÍ</v>
      </c>
      <c r="T1751" s="10" t="e">
        <f>Tabela2[[#This Row],[Coluna72]]</f>
        <v>#REF!</v>
      </c>
      <c r="U1751" s="10">
        <f>SUM(Tabela2[[#This Row],[Coluna9]],Tabela2[[#This Row],[Coluna10]])</f>
        <v>3.45</v>
      </c>
      <c r="V1751" s="2" t="str">
        <f>Tabela2[[#This Row],[Coluna4]]</f>
        <v>29/12/2025</v>
      </c>
      <c r="W1751" s="2" t="str">
        <f>Tabela2[[#This Row],[Coluna6]]</f>
        <v>29/12/2025</v>
      </c>
    </row>
    <row r="1752" spans="2:23" x14ac:dyDescent="0.2">
      <c r="B1752" t="s">
        <v>18</v>
      </c>
      <c r="C1752" t="s">
        <v>125</v>
      </c>
      <c r="D1752" t="s">
        <v>13</v>
      </c>
      <c r="E1752" s="8" t="s">
        <v>334</v>
      </c>
      <c r="F1752" t="s">
        <v>64</v>
      </c>
      <c r="G1752" s="8" t="s">
        <v>334</v>
      </c>
      <c r="H1752" t="s">
        <v>693</v>
      </c>
      <c r="I1752" t="e">
        <f>VLOOKUP(Tabela2[[#This Row],[Coluna7]],[1]!Tabela1[#All],2,0)</f>
        <v>#REF!</v>
      </c>
      <c r="J1752" t="s">
        <v>710</v>
      </c>
      <c r="L1752">
        <v>3.45</v>
      </c>
      <c r="N1752" t="s">
        <v>103</v>
      </c>
      <c r="Q1752" s="10" t="str">
        <f>Tabela2[[#This Row],[Coluna5]]</f>
        <v>12/2025</v>
      </c>
      <c r="R1752" s="10" t="str">
        <f>IF(Tabela2[[#This Row],[Coluna9]]&gt;0,"Entrada","Saída")</f>
        <v>Saída</v>
      </c>
      <c r="S1752" s="10" t="str">
        <f>Tabela2[[#This Row],[Coluna8]]</f>
        <v>TARIFA EFI</v>
      </c>
      <c r="T1752" s="10" t="e">
        <f>Tabela2[[#This Row],[Coluna72]]</f>
        <v>#REF!</v>
      </c>
      <c r="U1752" s="10">
        <f>SUM(Tabela2[[#This Row],[Coluna9]],Tabela2[[#This Row],[Coluna10]])</f>
        <v>3.45</v>
      </c>
      <c r="V1752" s="2" t="str">
        <f>Tabela2[[#This Row],[Coluna4]]</f>
        <v>30/12/2025</v>
      </c>
      <c r="W1752" s="2" t="str">
        <f>Tabela2[[#This Row],[Coluna6]]</f>
        <v>30/12/2025</v>
      </c>
    </row>
    <row r="1753" spans="2:23" x14ac:dyDescent="0.2">
      <c r="B1753" t="s">
        <v>18</v>
      </c>
      <c r="C1753" t="s">
        <v>125</v>
      </c>
      <c r="D1753" t="s">
        <v>13</v>
      </c>
      <c r="E1753" s="8" t="s">
        <v>339</v>
      </c>
      <c r="F1753" t="s">
        <v>84</v>
      </c>
      <c r="G1753" s="8" t="s">
        <v>331</v>
      </c>
      <c r="H1753" t="s">
        <v>693</v>
      </c>
      <c r="I1753" t="e">
        <f>VLOOKUP(Tabela2[[#This Row],[Coluna7]],[1]!Tabela1[#All],2,0)</f>
        <v>#REF!</v>
      </c>
      <c r="J1753" t="s">
        <v>711</v>
      </c>
      <c r="L1753">
        <v>3.45</v>
      </c>
      <c r="M1753" t="s">
        <v>116</v>
      </c>
      <c r="N1753" t="s">
        <v>117</v>
      </c>
      <c r="Q1753" s="10" t="str">
        <f>Tabela2[[#This Row],[Coluna5]]</f>
        <v>01/2026</v>
      </c>
      <c r="R1753" s="10" t="str">
        <f>IF(Tabela2[[#This Row],[Coluna9]]&gt;0,"Entrada","Saída")</f>
        <v>Saída</v>
      </c>
      <c r="S1753" s="10" t="str">
        <f>Tabela2[[#This Row],[Coluna8]]</f>
        <v>1/3 TARIFA EFÍ</v>
      </c>
      <c r="T1753" s="10" t="e">
        <f>Tabela2[[#This Row],[Coluna72]]</f>
        <v>#REF!</v>
      </c>
      <c r="U1753" s="10">
        <f>SUM(Tabela2[[#This Row],[Coluna9]],Tabela2[[#This Row],[Coluna10]])</f>
        <v>3.45</v>
      </c>
      <c r="V1753" s="2" t="str">
        <f>Tabela2[[#This Row],[Coluna4]]</f>
        <v>02/01/2026</v>
      </c>
      <c r="W1753" s="2" t="str">
        <f>Tabela2[[#This Row],[Coluna6]]</f>
        <v>29/12/2025</v>
      </c>
    </row>
    <row r="1754" spans="2:23" x14ac:dyDescent="0.2">
      <c r="B1754" t="s">
        <v>18</v>
      </c>
      <c r="C1754" t="s">
        <v>125</v>
      </c>
      <c r="D1754" t="s">
        <v>13</v>
      </c>
      <c r="E1754" s="8" t="s">
        <v>339</v>
      </c>
      <c r="F1754" t="s">
        <v>84</v>
      </c>
      <c r="G1754" s="8" t="s">
        <v>339</v>
      </c>
      <c r="H1754" t="s">
        <v>693</v>
      </c>
      <c r="I1754" t="e">
        <f>VLOOKUP(Tabela2[[#This Row],[Coluna7]],[1]!Tabela1[#All],2,0)</f>
        <v>#REF!</v>
      </c>
      <c r="J1754" t="s">
        <v>712</v>
      </c>
      <c r="L1754">
        <v>3.45</v>
      </c>
      <c r="N1754" t="s">
        <v>131</v>
      </c>
      <c r="Q1754" s="10" t="str">
        <f>Tabela2[[#This Row],[Coluna5]]</f>
        <v>01/2026</v>
      </c>
      <c r="R1754" s="10" t="str">
        <f>IF(Tabela2[[#This Row],[Coluna9]]&gt;0,"Entrada","Saída")</f>
        <v>Saída</v>
      </c>
      <c r="S1754" s="10" t="str">
        <f>Tabela2[[#This Row],[Coluna8]]</f>
        <v>TARIFA EFÍ</v>
      </c>
      <c r="T1754" s="10" t="e">
        <f>Tabela2[[#This Row],[Coluna72]]</f>
        <v>#REF!</v>
      </c>
      <c r="U1754" s="10">
        <f>SUM(Tabela2[[#This Row],[Coluna9]],Tabela2[[#This Row],[Coluna10]])</f>
        <v>3.45</v>
      </c>
      <c r="V1754" s="2" t="str">
        <f>Tabela2[[#This Row],[Coluna4]]</f>
        <v>02/01/2026</v>
      </c>
      <c r="W1754" s="2" t="str">
        <f>Tabela2[[#This Row],[Coluna6]]</f>
        <v>02/01/2026</v>
      </c>
    </row>
    <row r="1755" spans="2:23" x14ac:dyDescent="0.2">
      <c r="B1755" t="s">
        <v>18</v>
      </c>
      <c r="C1755" t="s">
        <v>125</v>
      </c>
      <c r="D1755" t="s">
        <v>13</v>
      </c>
      <c r="E1755" s="8" t="s">
        <v>301</v>
      </c>
      <c r="F1755" t="s">
        <v>84</v>
      </c>
      <c r="G1755" s="8" t="s">
        <v>301</v>
      </c>
      <c r="H1755" t="s">
        <v>693</v>
      </c>
      <c r="I1755" t="e">
        <f>VLOOKUP(Tabela2[[#This Row],[Coluna7]],[1]!Tabela1[#All],2,0)</f>
        <v>#REF!</v>
      </c>
      <c r="J1755" t="s">
        <v>712</v>
      </c>
      <c r="L1755">
        <v>3.45</v>
      </c>
      <c r="N1755" t="s">
        <v>132</v>
      </c>
      <c r="Q1755" s="10" t="str">
        <f>Tabela2[[#This Row],[Coluna5]]</f>
        <v>01/2026</v>
      </c>
      <c r="R1755" s="10" t="str">
        <f>IF(Tabela2[[#This Row],[Coluna9]]&gt;0,"Entrada","Saída")</f>
        <v>Saída</v>
      </c>
      <c r="S1755" s="10" t="str">
        <f>Tabela2[[#This Row],[Coluna8]]</f>
        <v>TARIFA EFÍ</v>
      </c>
      <c r="T1755" s="10" t="e">
        <f>Tabela2[[#This Row],[Coluna72]]</f>
        <v>#REF!</v>
      </c>
      <c r="U1755" s="10">
        <f>SUM(Tabela2[[#This Row],[Coluna9]],Tabela2[[#This Row],[Coluna10]])</f>
        <v>3.45</v>
      </c>
      <c r="V1755" s="2" t="str">
        <f>Tabela2[[#This Row],[Coluna4]]</f>
        <v>05/01/2026</v>
      </c>
      <c r="W1755" s="2" t="str">
        <f>Tabela2[[#This Row],[Coluna6]]</f>
        <v>05/01/2026</v>
      </c>
    </row>
    <row r="1756" spans="2:23" x14ac:dyDescent="0.2">
      <c r="B1756" t="s">
        <v>215</v>
      </c>
      <c r="C1756" t="s">
        <v>200</v>
      </c>
      <c r="D1756" t="s">
        <v>13</v>
      </c>
      <c r="E1756" s="8" t="s">
        <v>83</v>
      </c>
      <c r="F1756" t="s">
        <v>84</v>
      </c>
      <c r="G1756" s="8" t="s">
        <v>83</v>
      </c>
      <c r="H1756" t="s">
        <v>693</v>
      </c>
      <c r="I1756" t="e">
        <f>VLOOKUP(Tabela2[[#This Row],[Coluna7]],[1]!Tabela1[#All],2,0)</f>
        <v>#REF!</v>
      </c>
      <c r="J1756" t="s">
        <v>703</v>
      </c>
      <c r="L1756">
        <v>0.99</v>
      </c>
      <c r="M1756" t="s">
        <v>349</v>
      </c>
      <c r="N1756" t="s">
        <v>350</v>
      </c>
      <c r="Q1756" s="10" t="str">
        <f>Tabela2[[#This Row],[Coluna5]]</f>
        <v>01/2026</v>
      </c>
      <c r="R1756" s="10" t="str">
        <f>IF(Tabela2[[#This Row],[Coluna9]]&gt;0,"Entrada","Saída")</f>
        <v>Saída</v>
      </c>
      <c r="S1756" s="10" t="str">
        <f>Tabela2[[#This Row],[Coluna8]]</f>
        <v xml:space="preserve">(TAXA DO ASAAS) </v>
      </c>
      <c r="T1756" s="10" t="e">
        <f>Tabela2[[#This Row],[Coluna72]]</f>
        <v>#REF!</v>
      </c>
      <c r="U1756" s="10">
        <f>SUM(Tabela2[[#This Row],[Coluna9]],Tabela2[[#This Row],[Coluna10]])</f>
        <v>0.99</v>
      </c>
      <c r="V1756" s="2" t="str">
        <f>Tabela2[[#This Row],[Coluna4]]</f>
        <v>06/01/2026</v>
      </c>
      <c r="W1756" s="2" t="str">
        <f>Tabela2[[#This Row],[Coluna6]]</f>
        <v>06/01/2026</v>
      </c>
    </row>
    <row r="1757" spans="2:23" x14ac:dyDescent="0.2">
      <c r="B1757" t="s">
        <v>215</v>
      </c>
      <c r="C1757" t="s">
        <v>222</v>
      </c>
      <c r="D1757" t="s">
        <v>13</v>
      </c>
      <c r="E1757" s="8" t="s">
        <v>83</v>
      </c>
      <c r="F1757" t="s">
        <v>84</v>
      </c>
      <c r="G1757" s="8" t="s">
        <v>83</v>
      </c>
      <c r="H1757" t="s">
        <v>693</v>
      </c>
      <c r="I1757" t="e">
        <f>VLOOKUP(Tabela2[[#This Row],[Coluna7]],[1]!Tabela1[#All],2,0)</f>
        <v>#REF!</v>
      </c>
      <c r="J1757" t="s">
        <v>713</v>
      </c>
      <c r="L1757">
        <v>0.99</v>
      </c>
      <c r="M1757" t="s">
        <v>224</v>
      </c>
      <c r="N1757" t="s">
        <v>225</v>
      </c>
      <c r="Q1757" s="10" t="str">
        <f>Tabela2[[#This Row],[Coluna5]]</f>
        <v>01/2026</v>
      </c>
      <c r="R1757" s="10" t="str">
        <f>IF(Tabela2[[#This Row],[Coluna9]]&gt;0,"Entrada","Saída")</f>
        <v>Saída</v>
      </c>
      <c r="S1757" s="10" t="str">
        <f>Tabela2[[#This Row],[Coluna8]]</f>
        <v>(TAXA DO ASAAS) 3/15 HONORARIOS INICIAIS</v>
      </c>
      <c r="T1757" s="10" t="e">
        <f>Tabela2[[#This Row],[Coluna72]]</f>
        <v>#REF!</v>
      </c>
      <c r="U1757" s="10">
        <f>SUM(Tabela2[[#This Row],[Coluna9]],Tabela2[[#This Row],[Coluna10]])</f>
        <v>0.99</v>
      </c>
      <c r="V1757" s="2" t="str">
        <f>Tabela2[[#This Row],[Coluna4]]</f>
        <v>06/01/2026</v>
      </c>
      <c r="W1757" s="2" t="str">
        <f>Tabela2[[#This Row],[Coluna6]]</f>
        <v>06/01/2026</v>
      </c>
    </row>
    <row r="1758" spans="2:23" x14ac:dyDescent="0.2">
      <c r="B1758" t="s">
        <v>18</v>
      </c>
      <c r="C1758" t="s">
        <v>324</v>
      </c>
      <c r="D1758" t="s">
        <v>13</v>
      </c>
      <c r="E1758" s="8" t="s">
        <v>87</v>
      </c>
      <c r="F1758" t="s">
        <v>84</v>
      </c>
      <c r="G1758" s="8" t="s">
        <v>87</v>
      </c>
      <c r="H1758" t="s">
        <v>693</v>
      </c>
      <c r="I1758" t="e">
        <f>VLOOKUP(Tabela2[[#This Row],[Coluna7]],[1]!Tabela1[#All],2,0)</f>
        <v>#REF!</v>
      </c>
      <c r="J1758" t="s">
        <v>714</v>
      </c>
      <c r="L1758">
        <v>3.45</v>
      </c>
      <c r="M1758" t="s">
        <v>152</v>
      </c>
      <c r="N1758" t="s">
        <v>153</v>
      </c>
      <c r="Q1758" s="10" t="str">
        <f>Tabela2[[#This Row],[Coluna5]]</f>
        <v>01/2026</v>
      </c>
      <c r="R1758" s="10" t="str">
        <f>IF(Tabela2[[#This Row],[Coluna9]]&gt;0,"Entrada","Saída")</f>
        <v>Saída</v>
      </c>
      <c r="S1758" s="10" t="str">
        <f>Tabela2[[#This Row],[Coluna8]]</f>
        <v>1/2 TARIFA EFÍ</v>
      </c>
      <c r="T1758" s="10" t="e">
        <f>Tabela2[[#This Row],[Coluna72]]</f>
        <v>#REF!</v>
      </c>
      <c r="U1758" s="10">
        <f>SUM(Tabela2[[#This Row],[Coluna9]],Tabela2[[#This Row],[Coluna10]])</f>
        <v>3.45</v>
      </c>
      <c r="V1758" s="2" t="str">
        <f>Tabela2[[#This Row],[Coluna4]]</f>
        <v>07/01/2026</v>
      </c>
      <c r="W1758" s="2" t="str">
        <f>Tabela2[[#This Row],[Coluna6]]</f>
        <v>07/01/2026</v>
      </c>
    </row>
    <row r="1759" spans="2:23" x14ac:dyDescent="0.2">
      <c r="B1759" t="s">
        <v>18</v>
      </c>
      <c r="C1759" t="s">
        <v>125</v>
      </c>
      <c r="D1759" t="s">
        <v>13</v>
      </c>
      <c r="E1759" s="8" t="s">
        <v>85</v>
      </c>
      <c r="F1759" t="s">
        <v>84</v>
      </c>
      <c r="G1759" s="8" t="s">
        <v>83</v>
      </c>
      <c r="H1759" t="s">
        <v>693</v>
      </c>
      <c r="I1759" t="e">
        <f>VLOOKUP(Tabela2[[#This Row],[Coluna7]],[1]!Tabela1[#All],2,0)</f>
        <v>#REF!</v>
      </c>
      <c r="J1759" t="s">
        <v>711</v>
      </c>
      <c r="L1759">
        <v>3.45</v>
      </c>
      <c r="N1759" t="s">
        <v>154</v>
      </c>
      <c r="Q1759" s="10" t="str">
        <f>Tabela2[[#This Row],[Coluna5]]</f>
        <v>01/2026</v>
      </c>
      <c r="R1759" s="10" t="str">
        <f>IF(Tabela2[[#This Row],[Coluna9]]&gt;0,"Entrada","Saída")</f>
        <v>Saída</v>
      </c>
      <c r="S1759" s="10" t="str">
        <f>Tabela2[[#This Row],[Coluna8]]</f>
        <v>1/3 TARIFA EFÍ</v>
      </c>
      <c r="T1759" s="10" t="e">
        <f>Tabela2[[#This Row],[Coluna72]]</f>
        <v>#REF!</v>
      </c>
      <c r="U1759" s="10">
        <f>SUM(Tabela2[[#This Row],[Coluna9]],Tabela2[[#This Row],[Coluna10]])</f>
        <v>3.45</v>
      </c>
      <c r="V1759" s="2" t="str">
        <f>Tabela2[[#This Row],[Coluna4]]</f>
        <v>08/01/2026</v>
      </c>
      <c r="W1759" s="2" t="str">
        <f>Tabela2[[#This Row],[Coluna6]]</f>
        <v>06/01/2026</v>
      </c>
    </row>
    <row r="1760" spans="2:23" x14ac:dyDescent="0.2">
      <c r="B1760" t="s">
        <v>18</v>
      </c>
      <c r="C1760" t="s">
        <v>200</v>
      </c>
      <c r="D1760" t="s">
        <v>13</v>
      </c>
      <c r="E1760" s="8" t="s">
        <v>85</v>
      </c>
      <c r="F1760" t="s">
        <v>84</v>
      </c>
      <c r="G1760" s="8" t="s">
        <v>83</v>
      </c>
      <c r="H1760" t="s">
        <v>693</v>
      </c>
      <c r="I1760" t="e">
        <f>VLOOKUP(Tabela2[[#This Row],[Coluna7]],[1]!Tabela1[#All],2,0)</f>
        <v>#REF!</v>
      </c>
      <c r="J1760" t="s">
        <v>715</v>
      </c>
      <c r="L1760">
        <v>3.45</v>
      </c>
      <c r="N1760" t="s">
        <v>199</v>
      </c>
      <c r="Q1760" s="10" t="str">
        <f>Tabela2[[#This Row],[Coluna5]]</f>
        <v>01/2026</v>
      </c>
      <c r="R1760" s="10" t="str">
        <f>IF(Tabela2[[#This Row],[Coluna9]]&gt;0,"Entrada","Saída")</f>
        <v>Saída</v>
      </c>
      <c r="S1760" s="10" t="str">
        <f>Tabela2[[#This Row],[Coluna8]]</f>
        <v>1/15 TARIFA EFI</v>
      </c>
      <c r="T1760" s="10" t="e">
        <f>Tabela2[[#This Row],[Coluna72]]</f>
        <v>#REF!</v>
      </c>
      <c r="U1760" s="10">
        <f>SUM(Tabela2[[#This Row],[Coluna9]],Tabela2[[#This Row],[Coluna10]])</f>
        <v>3.45</v>
      </c>
      <c r="V1760" s="2" t="str">
        <f>Tabela2[[#This Row],[Coluna4]]</f>
        <v>08/01/2026</v>
      </c>
      <c r="W1760" s="2" t="str">
        <f>Tabela2[[#This Row],[Coluna6]]</f>
        <v>06/01/2026</v>
      </c>
    </row>
    <row r="1761" spans="2:23" x14ac:dyDescent="0.2">
      <c r="B1761" t="s">
        <v>18</v>
      </c>
      <c r="C1761" t="s">
        <v>125</v>
      </c>
      <c r="D1761" t="s">
        <v>13</v>
      </c>
      <c r="E1761" s="8" t="s">
        <v>85</v>
      </c>
      <c r="F1761" t="s">
        <v>84</v>
      </c>
      <c r="G1761" s="8" t="s">
        <v>85</v>
      </c>
      <c r="H1761" t="s">
        <v>693</v>
      </c>
      <c r="I1761" t="e">
        <f>VLOOKUP(Tabela2[[#This Row],[Coluna7]],[1]!Tabela1[#All],2,0)</f>
        <v>#REF!</v>
      </c>
      <c r="J1761" t="s">
        <v>710</v>
      </c>
      <c r="L1761">
        <v>3.45</v>
      </c>
      <c r="M1761" t="s">
        <v>123</v>
      </c>
      <c r="N1761" t="s">
        <v>124</v>
      </c>
      <c r="Q1761" s="10" t="str">
        <f>Tabela2[[#This Row],[Coluna5]]</f>
        <v>01/2026</v>
      </c>
      <c r="R1761" s="10" t="str">
        <f>IF(Tabela2[[#This Row],[Coluna9]]&gt;0,"Entrada","Saída")</f>
        <v>Saída</v>
      </c>
      <c r="S1761" s="10" t="str">
        <f>Tabela2[[#This Row],[Coluna8]]</f>
        <v>TARIFA EFI</v>
      </c>
      <c r="T1761" s="10" t="e">
        <f>Tabela2[[#This Row],[Coluna72]]</f>
        <v>#REF!</v>
      </c>
      <c r="U1761" s="10">
        <f>SUM(Tabela2[[#This Row],[Coluna9]],Tabela2[[#This Row],[Coluna10]])</f>
        <v>3.45</v>
      </c>
      <c r="V1761" s="2" t="str">
        <f>Tabela2[[#This Row],[Coluna4]]</f>
        <v>08/01/2026</v>
      </c>
      <c r="W1761" s="2" t="str">
        <f>Tabela2[[#This Row],[Coluna6]]</f>
        <v>08/01/2026</v>
      </c>
    </row>
    <row r="1762" spans="2:23" x14ac:dyDescent="0.2">
      <c r="B1762" t="s">
        <v>215</v>
      </c>
      <c r="C1762" t="s">
        <v>200</v>
      </c>
      <c r="D1762" t="s">
        <v>13</v>
      </c>
      <c r="E1762" s="8" t="s">
        <v>86</v>
      </c>
      <c r="F1762" t="s">
        <v>84</v>
      </c>
      <c r="G1762" s="8" t="s">
        <v>86</v>
      </c>
      <c r="H1762" t="s">
        <v>693</v>
      </c>
      <c r="I1762" t="e">
        <f>VLOOKUP(Tabela2[[#This Row],[Coluna7]],[1]!Tabela1[#All],2,0)</f>
        <v>#REF!</v>
      </c>
      <c r="J1762" t="s">
        <v>703</v>
      </c>
      <c r="L1762">
        <v>0.99</v>
      </c>
      <c r="M1762" t="s">
        <v>353</v>
      </c>
      <c r="N1762" t="s">
        <v>354</v>
      </c>
      <c r="Q1762" s="10" t="str">
        <f>Tabela2[[#This Row],[Coluna5]]</f>
        <v>01/2026</v>
      </c>
      <c r="R1762" s="10" t="str">
        <f>IF(Tabela2[[#This Row],[Coluna9]]&gt;0,"Entrada","Saída")</f>
        <v>Saída</v>
      </c>
      <c r="S1762" s="10" t="str">
        <f>Tabela2[[#This Row],[Coluna8]]</f>
        <v xml:space="preserve">(TAXA DO ASAAS) </v>
      </c>
      <c r="T1762" s="10" t="e">
        <f>Tabela2[[#This Row],[Coluna72]]</f>
        <v>#REF!</v>
      </c>
      <c r="U1762" s="10">
        <f>SUM(Tabela2[[#This Row],[Coluna9]],Tabela2[[#This Row],[Coluna10]])</f>
        <v>0.99</v>
      </c>
      <c r="V1762" s="2" t="str">
        <f>Tabela2[[#This Row],[Coluna4]]</f>
        <v>13/01/2026</v>
      </c>
      <c r="W1762" s="2" t="str">
        <f>Tabela2[[#This Row],[Coluna6]]</f>
        <v>13/01/2026</v>
      </c>
    </row>
    <row r="1763" spans="2:23" x14ac:dyDescent="0.2">
      <c r="B1763" t="s">
        <v>18</v>
      </c>
      <c r="C1763" t="s">
        <v>95</v>
      </c>
      <c r="D1763" t="s">
        <v>13</v>
      </c>
      <c r="E1763" s="8" t="s">
        <v>88</v>
      </c>
      <c r="F1763" t="s">
        <v>84</v>
      </c>
      <c r="G1763" s="8" t="s">
        <v>88</v>
      </c>
      <c r="H1763" t="s">
        <v>693</v>
      </c>
      <c r="I1763" t="e">
        <f>VLOOKUP(Tabela2[[#This Row],[Coluna7]],[1]!Tabela1[#All],2,0)</f>
        <v>#REF!</v>
      </c>
      <c r="L1763">
        <v>3.45</v>
      </c>
      <c r="N1763" t="s">
        <v>193</v>
      </c>
      <c r="Q1763" s="10" t="str">
        <f>Tabela2[[#This Row],[Coluna5]]</f>
        <v>01/2026</v>
      </c>
      <c r="R1763" s="10" t="str">
        <f>IF(Tabela2[[#This Row],[Coluna9]]&gt;0,"Entrada","Saída")</f>
        <v>Saída</v>
      </c>
      <c r="S1763" s="10">
        <f>Tabela2[[#This Row],[Coluna8]]</f>
        <v>0</v>
      </c>
      <c r="T1763" s="10" t="e">
        <f>Tabela2[[#This Row],[Coluna72]]</f>
        <v>#REF!</v>
      </c>
      <c r="U1763" s="10">
        <f>SUM(Tabela2[[#This Row],[Coluna9]],Tabela2[[#This Row],[Coluna10]])</f>
        <v>3.45</v>
      </c>
      <c r="V1763" s="2" t="str">
        <f>Tabela2[[#This Row],[Coluna4]]</f>
        <v>14/01/2026</v>
      </c>
      <c r="W1763" s="2" t="str">
        <f>Tabela2[[#This Row],[Coluna6]]</f>
        <v>14/01/2026</v>
      </c>
    </row>
    <row r="1764" spans="2:23" x14ac:dyDescent="0.2">
      <c r="B1764" t="s">
        <v>27</v>
      </c>
      <c r="C1764" t="s">
        <v>95</v>
      </c>
      <c r="D1764" t="s">
        <v>13</v>
      </c>
      <c r="E1764" s="8" t="s">
        <v>89</v>
      </c>
      <c r="F1764" t="s">
        <v>84</v>
      </c>
      <c r="G1764" s="8" t="s">
        <v>89</v>
      </c>
      <c r="H1764" t="s">
        <v>693</v>
      </c>
      <c r="I1764" t="e">
        <f>VLOOKUP(Tabela2[[#This Row],[Coluna7]],[1]!Tabela1[#All],2,0)</f>
        <v>#REF!</v>
      </c>
      <c r="L1764">
        <v>168.5</v>
      </c>
      <c r="Q1764" s="10" t="str">
        <f>Tabela2[[#This Row],[Coluna5]]</f>
        <v>01/2026</v>
      </c>
      <c r="R1764" s="10" t="str">
        <f>IF(Tabela2[[#This Row],[Coluna9]]&gt;0,"Entrada","Saída")</f>
        <v>Saída</v>
      </c>
      <c r="S1764" s="10">
        <f>Tabela2[[#This Row],[Coluna8]]</f>
        <v>0</v>
      </c>
      <c r="T1764" s="10" t="e">
        <f>Tabela2[[#This Row],[Coluna72]]</f>
        <v>#REF!</v>
      </c>
      <c r="U1764" s="10">
        <f>SUM(Tabela2[[#This Row],[Coluna9]],Tabela2[[#This Row],[Coluna10]])</f>
        <v>168.5</v>
      </c>
      <c r="V1764" s="2" t="str">
        <f>Tabela2[[#This Row],[Coluna4]]</f>
        <v>15/01/2026</v>
      </c>
      <c r="W1764" s="2" t="str">
        <f>Tabela2[[#This Row],[Coluna6]]</f>
        <v>15/01/2026</v>
      </c>
    </row>
    <row r="1765" spans="2:23" x14ac:dyDescent="0.2">
      <c r="B1765" t="s">
        <v>215</v>
      </c>
      <c r="C1765" t="s">
        <v>200</v>
      </c>
      <c r="D1765" t="s">
        <v>13</v>
      </c>
      <c r="E1765" s="8" t="s">
        <v>91</v>
      </c>
      <c r="F1765" t="s">
        <v>84</v>
      </c>
      <c r="G1765" s="8" t="s">
        <v>91</v>
      </c>
      <c r="H1765" t="s">
        <v>693</v>
      </c>
      <c r="I1765" t="e">
        <f>VLOOKUP(Tabela2[[#This Row],[Coluna7]],[1]!Tabela1[#All],2,0)</f>
        <v>#REF!</v>
      </c>
      <c r="J1765" t="s">
        <v>716</v>
      </c>
      <c r="L1765">
        <v>0.99</v>
      </c>
      <c r="N1765" t="s">
        <v>355</v>
      </c>
      <c r="Q1765" s="10" t="str">
        <f>Tabela2[[#This Row],[Coluna5]]</f>
        <v>01/2026</v>
      </c>
      <c r="R1765" s="10" t="str">
        <f>IF(Tabela2[[#This Row],[Coluna9]]&gt;0,"Entrada","Saída")</f>
        <v>Saída</v>
      </c>
      <c r="S1765" s="10" t="str">
        <f>Tabela2[[#This Row],[Coluna8]]</f>
        <v>(TAXA DO ASAAS) 1/10</v>
      </c>
      <c r="T1765" s="10" t="e">
        <f>Tabela2[[#This Row],[Coluna72]]</f>
        <v>#REF!</v>
      </c>
      <c r="U1765" s="10">
        <f>SUM(Tabela2[[#This Row],[Coluna9]],Tabela2[[#This Row],[Coluna10]])</f>
        <v>0.99</v>
      </c>
      <c r="V1765" s="2" t="str">
        <f>Tabela2[[#This Row],[Coluna4]]</f>
        <v>20/01/2026</v>
      </c>
      <c r="W1765" s="2" t="str">
        <f>Tabela2[[#This Row],[Coluna6]]</f>
        <v>20/01/2026</v>
      </c>
    </row>
    <row r="1766" spans="2:23" x14ac:dyDescent="0.2">
      <c r="B1766" t="s">
        <v>34</v>
      </c>
      <c r="C1766" t="s">
        <v>95</v>
      </c>
      <c r="D1766" t="s">
        <v>13</v>
      </c>
      <c r="E1766" s="8" t="s">
        <v>356</v>
      </c>
      <c r="F1766" t="s">
        <v>84</v>
      </c>
      <c r="G1766" s="8" t="s">
        <v>356</v>
      </c>
      <c r="H1766" t="s">
        <v>693</v>
      </c>
      <c r="I1766" t="e">
        <f>VLOOKUP(Tabela2[[#This Row],[Coluna7]],[1]!Tabela1[#All],2,0)</f>
        <v>#REF!</v>
      </c>
      <c r="J1766" t="s">
        <v>707</v>
      </c>
      <c r="L1766">
        <v>20</v>
      </c>
      <c r="Q1766" s="10" t="str">
        <f>Tabela2[[#This Row],[Coluna5]]</f>
        <v>01/2026</v>
      </c>
      <c r="R1766" s="10" t="str">
        <f>IF(Tabela2[[#This Row],[Coluna9]]&gt;0,"Entrada","Saída")</f>
        <v>Saída</v>
      </c>
      <c r="S1766" s="10" t="str">
        <f>Tabela2[[#This Row],[Coluna8]]</f>
        <v>SEGURO CONTA</v>
      </c>
      <c r="T1766" s="10" t="e">
        <f>Tabela2[[#This Row],[Coluna72]]</f>
        <v>#REF!</v>
      </c>
      <c r="U1766" s="10">
        <f>SUM(Tabela2[[#This Row],[Coluna9]],Tabela2[[#This Row],[Coluna10]])</f>
        <v>20</v>
      </c>
      <c r="V1766" s="2" t="str">
        <f>Tabela2[[#This Row],[Coluna4]]</f>
        <v>21/01/2026</v>
      </c>
      <c r="W1766" s="2" t="str">
        <f>Tabela2[[#This Row],[Coluna6]]</f>
        <v>21/01/2026</v>
      </c>
    </row>
    <row r="1767" spans="2:23" x14ac:dyDescent="0.2">
      <c r="B1767" t="s">
        <v>18</v>
      </c>
      <c r="C1767" t="s">
        <v>95</v>
      </c>
      <c r="D1767" t="s">
        <v>13</v>
      </c>
      <c r="E1767" s="8" t="s">
        <v>93</v>
      </c>
      <c r="F1767" t="s">
        <v>84</v>
      </c>
      <c r="G1767" s="8" t="s">
        <v>93</v>
      </c>
      <c r="H1767" t="s">
        <v>693</v>
      </c>
      <c r="I1767" t="e">
        <f>VLOOKUP(Tabela2[[#This Row],[Coluna7]],[1]!Tabela1[#All],2,0)</f>
        <v>#REF!</v>
      </c>
      <c r="L1767">
        <v>3.45</v>
      </c>
      <c r="N1767" t="s">
        <v>207</v>
      </c>
      <c r="Q1767" s="10" t="str">
        <f>Tabela2[[#This Row],[Coluna5]]</f>
        <v>01/2026</v>
      </c>
      <c r="R1767" s="10" t="str">
        <f>IF(Tabela2[[#This Row],[Coluna9]]&gt;0,"Entrada","Saída")</f>
        <v>Saída</v>
      </c>
      <c r="S1767" s="10">
        <f>Tabela2[[#This Row],[Coluna8]]</f>
        <v>0</v>
      </c>
      <c r="T1767" s="10" t="e">
        <f>Tabela2[[#This Row],[Coluna72]]</f>
        <v>#REF!</v>
      </c>
      <c r="U1767" s="10">
        <f>SUM(Tabela2[[#This Row],[Coluna9]],Tabela2[[#This Row],[Coluna10]])</f>
        <v>3.45</v>
      </c>
      <c r="V1767" s="2" t="str">
        <f>Tabela2[[#This Row],[Coluna4]]</f>
        <v>26/01/2026</v>
      </c>
      <c r="W1767" s="2" t="str">
        <f>Tabela2[[#This Row],[Coluna6]]</f>
        <v>26/01/2026</v>
      </c>
    </row>
    <row r="1768" spans="2:23" x14ac:dyDescent="0.2">
      <c r="B1768" t="s">
        <v>18</v>
      </c>
      <c r="C1768" t="s">
        <v>95</v>
      </c>
      <c r="D1768" t="s">
        <v>13</v>
      </c>
      <c r="E1768" s="8" t="s">
        <v>93</v>
      </c>
      <c r="F1768" t="s">
        <v>84</v>
      </c>
      <c r="G1768" s="8" t="s">
        <v>93</v>
      </c>
      <c r="H1768" t="s">
        <v>693</v>
      </c>
      <c r="I1768" t="e">
        <f>VLOOKUP(Tabela2[[#This Row],[Coluna7]],[1]!Tabela1[#All],2,0)</f>
        <v>#REF!</v>
      </c>
      <c r="L1768">
        <v>3.45</v>
      </c>
      <c r="M1768" t="s">
        <v>204</v>
      </c>
      <c r="N1768" t="s">
        <v>205</v>
      </c>
      <c r="Q1768" s="10" t="str">
        <f>Tabela2[[#This Row],[Coluna5]]</f>
        <v>01/2026</v>
      </c>
      <c r="R1768" s="10" t="str">
        <f>IF(Tabela2[[#This Row],[Coluna9]]&gt;0,"Entrada","Saída")</f>
        <v>Saída</v>
      </c>
      <c r="S1768" s="10">
        <f>Tabela2[[#This Row],[Coluna8]]</f>
        <v>0</v>
      </c>
      <c r="T1768" s="10" t="e">
        <f>Tabela2[[#This Row],[Coluna72]]</f>
        <v>#REF!</v>
      </c>
      <c r="U1768" s="10">
        <f>SUM(Tabela2[[#This Row],[Coluna9]],Tabela2[[#This Row],[Coluna10]])</f>
        <v>3.45</v>
      </c>
      <c r="V1768" s="2" t="str">
        <f>Tabela2[[#This Row],[Coluna4]]</f>
        <v>26/01/2026</v>
      </c>
      <c r="W1768" s="2" t="str">
        <f>Tabela2[[#This Row],[Coluna6]]</f>
        <v>26/01/2026</v>
      </c>
    </row>
    <row r="1769" spans="2:23" x14ac:dyDescent="0.2">
      <c r="B1769" t="s">
        <v>12</v>
      </c>
      <c r="C1769" t="s">
        <v>95</v>
      </c>
      <c r="D1769" t="s">
        <v>13</v>
      </c>
      <c r="E1769" s="8" t="s">
        <v>93</v>
      </c>
      <c r="F1769" t="s">
        <v>84</v>
      </c>
      <c r="G1769" s="8" t="s">
        <v>93</v>
      </c>
      <c r="H1769" t="s">
        <v>693</v>
      </c>
      <c r="I1769" t="e">
        <f>VLOOKUP(Tabela2[[#This Row],[Coluna7]],[1]!Tabela1[#All],2,0)</f>
        <v>#REF!</v>
      </c>
      <c r="J1769" t="s">
        <v>694</v>
      </c>
      <c r="L1769">
        <v>75</v>
      </c>
      <c r="Q1769" s="10" t="str">
        <f>Tabela2[[#This Row],[Coluna5]]</f>
        <v>01/2026</v>
      </c>
      <c r="R1769" s="10" t="str">
        <f>IF(Tabela2[[#This Row],[Coluna9]]&gt;0,"Entrada","Saída")</f>
        <v>Saída</v>
      </c>
      <c r="S1769" s="10" t="str">
        <f>Tabela2[[#This Row],[Coluna8]]</f>
        <v>CESTA PJ</v>
      </c>
      <c r="T1769" s="10" t="e">
        <f>Tabela2[[#This Row],[Coluna72]]</f>
        <v>#REF!</v>
      </c>
      <c r="U1769" s="10">
        <f>SUM(Tabela2[[#This Row],[Coluna9]],Tabela2[[#This Row],[Coluna10]])</f>
        <v>75</v>
      </c>
      <c r="V1769" s="2" t="str">
        <f>Tabela2[[#This Row],[Coluna4]]</f>
        <v>26/01/2026</v>
      </c>
      <c r="W1769" s="2" t="str">
        <f>Tabela2[[#This Row],[Coluna6]]</f>
        <v>26/01/2026</v>
      </c>
    </row>
    <row r="1770" spans="2:23" x14ac:dyDescent="0.2">
      <c r="B1770" t="s">
        <v>27</v>
      </c>
      <c r="C1770" t="s">
        <v>95</v>
      </c>
      <c r="D1770" t="s">
        <v>13</v>
      </c>
      <c r="E1770" s="8" t="s">
        <v>359</v>
      </c>
      <c r="F1770" t="s">
        <v>84</v>
      </c>
      <c r="G1770" s="8" t="s">
        <v>359</v>
      </c>
      <c r="H1770" t="s">
        <v>693</v>
      </c>
      <c r="I1770" t="e">
        <f>VLOOKUP(Tabela2[[#This Row],[Coluna7]],[1]!Tabela1[#All],2,0)</f>
        <v>#REF!</v>
      </c>
      <c r="L1770">
        <v>9.8000000000000007</v>
      </c>
      <c r="Q1770" s="10" t="str">
        <f>Tabela2[[#This Row],[Coluna5]]</f>
        <v>01/2026</v>
      </c>
      <c r="R1770" s="10" t="str">
        <f>IF(Tabela2[[#This Row],[Coluna9]]&gt;0,"Entrada","Saída")</f>
        <v>Saída</v>
      </c>
      <c r="S1770" s="10">
        <f>Tabela2[[#This Row],[Coluna8]]</f>
        <v>0</v>
      </c>
      <c r="T1770" s="10" t="e">
        <f>Tabela2[[#This Row],[Coluna72]]</f>
        <v>#REF!</v>
      </c>
      <c r="U1770" s="10">
        <f>SUM(Tabela2[[#This Row],[Coluna9]],Tabela2[[#This Row],[Coluna10]])</f>
        <v>9.8000000000000007</v>
      </c>
      <c r="V1770" s="2" t="str">
        <f>Tabela2[[#This Row],[Coluna4]]</f>
        <v>28/01/2026</v>
      </c>
      <c r="W1770" s="2" t="str">
        <f>Tabela2[[#This Row],[Coluna6]]</f>
        <v>28/01/2026</v>
      </c>
    </row>
    <row r="1771" spans="2:23" x14ac:dyDescent="0.2">
      <c r="B1771" t="s">
        <v>18</v>
      </c>
      <c r="C1771" t="s">
        <v>95</v>
      </c>
      <c r="D1771" t="s">
        <v>13</v>
      </c>
      <c r="E1771" s="8" t="s">
        <v>269</v>
      </c>
      <c r="F1771" t="s">
        <v>42</v>
      </c>
      <c r="G1771" s="8" t="s">
        <v>269</v>
      </c>
      <c r="H1771" t="s">
        <v>717</v>
      </c>
      <c r="I1771" t="e">
        <f>VLOOKUP(Tabela2[[#This Row],[Coluna7]],[1]!Tabela1[#All],2,0)</f>
        <v>#REF!</v>
      </c>
      <c r="J1771" t="s">
        <v>718</v>
      </c>
      <c r="L1771">
        <v>350</v>
      </c>
      <c r="Q1771" s="10" t="str">
        <f>Tabela2[[#This Row],[Coluna5]]</f>
        <v>11/2025</v>
      </c>
      <c r="R1771" s="10" t="str">
        <f>IF(Tabela2[[#This Row],[Coluna9]]&gt;0,"Entrada","Saída")</f>
        <v>Saída</v>
      </c>
      <c r="S1771" s="10" t="str">
        <f>Tabela2[[#This Row],[Coluna8]]</f>
        <v>DINHO - MAMANGUAPE</v>
      </c>
      <c r="T1771" s="10" t="e">
        <f>Tabela2[[#This Row],[Coluna72]]</f>
        <v>#REF!</v>
      </c>
      <c r="U1771" s="10">
        <f>SUM(Tabela2[[#This Row],[Coluna9]],Tabela2[[#This Row],[Coluna10]])</f>
        <v>350</v>
      </c>
      <c r="V1771" s="2" t="str">
        <f>Tabela2[[#This Row],[Coluna4]]</f>
        <v>28/11/2025</v>
      </c>
      <c r="W1771" s="2" t="str">
        <f>Tabela2[[#This Row],[Coluna6]]</f>
        <v>28/11/2025</v>
      </c>
    </row>
    <row r="1772" spans="2:23" x14ac:dyDescent="0.2">
      <c r="B1772" t="s">
        <v>18</v>
      </c>
      <c r="C1772" t="s">
        <v>95</v>
      </c>
      <c r="D1772" t="s">
        <v>13</v>
      </c>
      <c r="E1772" s="8" t="s">
        <v>282</v>
      </c>
      <c r="F1772" t="s">
        <v>64</v>
      </c>
      <c r="G1772" s="8" t="s">
        <v>282</v>
      </c>
      <c r="H1772" t="s">
        <v>719</v>
      </c>
      <c r="I1772" t="e">
        <f>VLOOKUP(Tabela2[[#This Row],[Coluna7]],[1]!Tabela1[#All],2,0)</f>
        <v>#REF!</v>
      </c>
      <c r="J1772" t="s">
        <v>720</v>
      </c>
      <c r="L1772">
        <v>1050</v>
      </c>
      <c r="Q1772" s="10" t="str">
        <f>Tabela2[[#This Row],[Coluna5]]</f>
        <v>12/2025</v>
      </c>
      <c r="R1772" s="10" t="str">
        <f>IF(Tabela2[[#This Row],[Coluna9]]&gt;0,"Entrada","Saída")</f>
        <v>Saída</v>
      </c>
      <c r="S1772" s="10" t="str">
        <f>Tabela2[[#This Row],[Coluna8]]</f>
        <v>GD BONÉS</v>
      </c>
      <c r="T1772" s="10" t="e">
        <f>Tabela2[[#This Row],[Coluna72]]</f>
        <v>#REF!</v>
      </c>
      <c r="U1772" s="10">
        <f>SUM(Tabela2[[#This Row],[Coluna9]],Tabela2[[#This Row],[Coluna10]])</f>
        <v>1050</v>
      </c>
      <c r="V1772" s="2" t="str">
        <f>Tabela2[[#This Row],[Coluna4]]</f>
        <v>02/12/2025</v>
      </c>
      <c r="W1772" s="2" t="str">
        <f>Tabela2[[#This Row],[Coluna6]]</f>
        <v>02/12/2025</v>
      </c>
    </row>
    <row r="1773" spans="2:23" x14ac:dyDescent="0.2">
      <c r="B1773" t="s">
        <v>18</v>
      </c>
      <c r="C1773" t="s">
        <v>95</v>
      </c>
      <c r="D1773" t="s">
        <v>13</v>
      </c>
      <c r="E1773" s="8" t="s">
        <v>69</v>
      </c>
      <c r="F1773" t="s">
        <v>64</v>
      </c>
      <c r="G1773" s="8" t="s">
        <v>292</v>
      </c>
      <c r="H1773" t="s">
        <v>719</v>
      </c>
      <c r="I1773" t="e">
        <f>VLOOKUP(Tabela2[[#This Row],[Coluna7]],[1]!Tabela1[#All],2,0)</f>
        <v>#REF!</v>
      </c>
      <c r="J1773" t="s">
        <v>721</v>
      </c>
      <c r="L1773">
        <v>75</v>
      </c>
      <c r="Q1773" s="10" t="str">
        <f>Tabela2[[#This Row],[Coluna5]]</f>
        <v>12/2025</v>
      </c>
      <c r="R1773" s="10" t="str">
        <f>IF(Tabela2[[#This Row],[Coluna9]]&gt;0,"Entrada","Saída")</f>
        <v>Saída</v>
      </c>
      <c r="S1773" s="10" t="str">
        <f>Tabela2[[#This Row],[Coluna8]]</f>
        <v>SACOS PARA WISKY (50%- VICTORIA INDUSTRIA E COMERCIO)</v>
      </c>
      <c r="T1773" s="10" t="e">
        <f>Tabela2[[#This Row],[Coluna72]]</f>
        <v>#REF!</v>
      </c>
      <c r="U1773" s="10">
        <f>SUM(Tabela2[[#This Row],[Coluna9]],Tabela2[[#This Row],[Coluna10]])</f>
        <v>75</v>
      </c>
      <c r="V1773" s="2" t="str">
        <f>Tabela2[[#This Row],[Coluna4]]</f>
        <v>10/12/2025</v>
      </c>
      <c r="W1773" s="2" t="str">
        <f>Tabela2[[#This Row],[Coluna6]]</f>
        <v>09/12/2025</v>
      </c>
    </row>
    <row r="1774" spans="2:23" x14ac:dyDescent="0.2">
      <c r="B1774" t="s">
        <v>18</v>
      </c>
      <c r="C1774" t="s">
        <v>95</v>
      </c>
      <c r="D1774" t="s">
        <v>13</v>
      </c>
      <c r="E1774" s="8" t="s">
        <v>78</v>
      </c>
      <c r="F1774" t="s">
        <v>64</v>
      </c>
      <c r="G1774" s="8" t="s">
        <v>78</v>
      </c>
      <c r="H1774" t="s">
        <v>719</v>
      </c>
      <c r="I1774" t="e">
        <f>VLOOKUP(Tabela2[[#This Row],[Coluna7]],[1]!Tabela1[#All],2,0)</f>
        <v>#REF!</v>
      </c>
      <c r="J1774" t="s">
        <v>722</v>
      </c>
      <c r="L1774">
        <v>90</v>
      </c>
      <c r="Q1774" s="10" t="str">
        <f>Tabela2[[#This Row],[Coluna5]]</f>
        <v>12/2025</v>
      </c>
      <c r="R1774" s="10" t="str">
        <f>IF(Tabela2[[#This Row],[Coluna9]]&gt;0,"Entrada","Saída")</f>
        <v>Saída</v>
      </c>
      <c r="S1774" s="10" t="str">
        <f>Tabela2[[#This Row],[Coluna8]]</f>
        <v>ADESIVOS GARRAFAS</v>
      </c>
      <c r="T1774" s="10" t="e">
        <f>Tabela2[[#This Row],[Coluna72]]</f>
        <v>#REF!</v>
      </c>
      <c r="U1774" s="10">
        <f>SUM(Tabela2[[#This Row],[Coluna9]],Tabela2[[#This Row],[Coluna10]])</f>
        <v>90</v>
      </c>
      <c r="V1774" s="2" t="str">
        <f>Tabela2[[#This Row],[Coluna4]]</f>
        <v>17/12/2025</v>
      </c>
      <c r="W1774" s="2" t="str">
        <f>Tabela2[[#This Row],[Coluna6]]</f>
        <v>17/12/2025</v>
      </c>
    </row>
    <row r="1775" spans="2:23" x14ac:dyDescent="0.2">
      <c r="B1775" t="s">
        <v>18</v>
      </c>
      <c r="C1775" t="s">
        <v>95</v>
      </c>
      <c r="D1775" t="s">
        <v>13</v>
      </c>
      <c r="E1775" s="8" t="s">
        <v>77</v>
      </c>
      <c r="F1775" t="s">
        <v>64</v>
      </c>
      <c r="G1775" s="8" t="s">
        <v>77</v>
      </c>
      <c r="H1775" t="s">
        <v>719</v>
      </c>
      <c r="I1775" t="e">
        <f>VLOOKUP(Tabela2[[#This Row],[Coluna7]],[1]!Tabela1[#All],2,0)</f>
        <v>#REF!</v>
      </c>
      <c r="J1775" t="s">
        <v>723</v>
      </c>
      <c r="L1775">
        <v>25</v>
      </c>
      <c r="Q1775" s="10" t="str">
        <f>Tabela2[[#This Row],[Coluna5]]</f>
        <v>12/2025</v>
      </c>
      <c r="R1775" s="10" t="str">
        <f>IF(Tabela2[[#This Row],[Coluna9]]&gt;0,"Entrada","Saída")</f>
        <v>Saída</v>
      </c>
      <c r="S1775" s="10" t="str">
        <f>Tabela2[[#This Row],[Coluna8]]</f>
        <v>ADESIVOS</v>
      </c>
      <c r="T1775" s="10" t="e">
        <f>Tabela2[[#This Row],[Coluna72]]</f>
        <v>#REF!</v>
      </c>
      <c r="U1775" s="10">
        <f>SUM(Tabela2[[#This Row],[Coluna9]],Tabela2[[#This Row],[Coluna10]])</f>
        <v>25</v>
      </c>
      <c r="V1775" s="2" t="str">
        <f>Tabela2[[#This Row],[Coluna4]]</f>
        <v>18/12/2025</v>
      </c>
      <c r="W1775" s="2" t="str">
        <f>Tabela2[[#This Row],[Coluna6]]</f>
        <v>18/12/2025</v>
      </c>
    </row>
    <row r="1776" spans="2:23" x14ac:dyDescent="0.2">
      <c r="B1776" t="s">
        <v>12</v>
      </c>
      <c r="C1776" t="s">
        <v>95</v>
      </c>
      <c r="D1776" t="s">
        <v>13</v>
      </c>
      <c r="E1776" s="8" t="s">
        <v>77</v>
      </c>
      <c r="F1776" t="s">
        <v>64</v>
      </c>
      <c r="G1776" s="8" t="s">
        <v>77</v>
      </c>
      <c r="H1776" t="s">
        <v>719</v>
      </c>
      <c r="I1776" t="e">
        <f>VLOOKUP(Tabela2[[#This Row],[Coluna7]],[1]!Tabela1[#All],2,0)</f>
        <v>#REF!</v>
      </c>
      <c r="J1776" t="s">
        <v>724</v>
      </c>
      <c r="L1776">
        <v>32</v>
      </c>
      <c r="Q1776" s="10" t="str">
        <f>Tabela2[[#This Row],[Coluna5]]</f>
        <v>12/2025</v>
      </c>
      <c r="R1776" s="10" t="str">
        <f>IF(Tabela2[[#This Row],[Coluna9]]&gt;0,"Entrada","Saída")</f>
        <v>Saída</v>
      </c>
      <c r="S1776" s="10" t="str">
        <f>Tabela2[[#This Row],[Coluna8]]</f>
        <v>CHAVEIROS (CROCHET)</v>
      </c>
      <c r="T1776" s="10" t="e">
        <f>Tabela2[[#This Row],[Coluna72]]</f>
        <v>#REF!</v>
      </c>
      <c r="U1776" s="10">
        <f>SUM(Tabela2[[#This Row],[Coluna9]],Tabela2[[#This Row],[Coluna10]])</f>
        <v>32</v>
      </c>
      <c r="V1776" s="2" t="str">
        <f>Tabela2[[#This Row],[Coluna4]]</f>
        <v>18/12/2025</v>
      </c>
      <c r="W1776" s="2" t="str">
        <f>Tabela2[[#This Row],[Coluna6]]</f>
        <v>18/12/2025</v>
      </c>
    </row>
    <row r="1777" spans="2:23" x14ac:dyDescent="0.2">
      <c r="B1777" t="s">
        <v>12</v>
      </c>
      <c r="C1777" t="s">
        <v>95</v>
      </c>
      <c r="D1777" t="s">
        <v>13</v>
      </c>
      <c r="E1777" s="8" t="s">
        <v>77</v>
      </c>
      <c r="F1777" t="s">
        <v>64</v>
      </c>
      <c r="G1777" s="8" t="s">
        <v>77</v>
      </c>
      <c r="H1777" t="s">
        <v>719</v>
      </c>
      <c r="I1777" t="e">
        <f>VLOOKUP(Tabela2[[#This Row],[Coluna7]],[1]!Tabela1[#All],2,0)</f>
        <v>#REF!</v>
      </c>
      <c r="J1777" t="s">
        <v>725</v>
      </c>
      <c r="L1777">
        <v>171</v>
      </c>
      <c r="Q1777" s="10" t="str">
        <f>Tabela2[[#This Row],[Coluna5]]</f>
        <v>12/2025</v>
      </c>
      <c r="R1777" s="10" t="str">
        <f>IF(Tabela2[[#This Row],[Coluna9]]&gt;0,"Entrada","Saída")</f>
        <v>Saída</v>
      </c>
      <c r="S1777" s="10" t="str">
        <f>Tabela2[[#This Row],[Coluna8]]</f>
        <v>CHAVEIROS</v>
      </c>
      <c r="T1777" s="10" t="e">
        <f>Tabela2[[#This Row],[Coluna72]]</f>
        <v>#REF!</v>
      </c>
      <c r="U1777" s="10">
        <f>SUM(Tabela2[[#This Row],[Coluna9]],Tabela2[[#This Row],[Coluna10]])</f>
        <v>171</v>
      </c>
      <c r="V1777" s="2" t="str">
        <f>Tabela2[[#This Row],[Coluna4]]</f>
        <v>18/12/2025</v>
      </c>
      <c r="W1777" s="2" t="str">
        <f>Tabela2[[#This Row],[Coluna6]]</f>
        <v>18/12/2025</v>
      </c>
    </row>
    <row r="1778" spans="2:23" x14ac:dyDescent="0.2">
      <c r="B1778" t="s">
        <v>12</v>
      </c>
      <c r="C1778" t="s">
        <v>95</v>
      </c>
      <c r="D1778" t="s">
        <v>13</v>
      </c>
      <c r="E1778" s="8" t="s">
        <v>77</v>
      </c>
      <c r="F1778" t="s">
        <v>64</v>
      </c>
      <c r="G1778" s="8" t="s">
        <v>77</v>
      </c>
      <c r="H1778" t="s">
        <v>719</v>
      </c>
      <c r="I1778" t="e">
        <f>VLOOKUP(Tabela2[[#This Row],[Coluna7]],[1]!Tabela1[#All],2,0)</f>
        <v>#REF!</v>
      </c>
      <c r="J1778" t="s">
        <v>725</v>
      </c>
      <c r="L1778">
        <v>30</v>
      </c>
      <c r="Q1778" s="10" t="str">
        <f>Tabela2[[#This Row],[Coluna5]]</f>
        <v>12/2025</v>
      </c>
      <c r="R1778" s="10" t="str">
        <f>IF(Tabela2[[#This Row],[Coluna9]]&gt;0,"Entrada","Saída")</f>
        <v>Saída</v>
      </c>
      <c r="S1778" s="10" t="str">
        <f>Tabela2[[#This Row],[Coluna8]]</f>
        <v>CHAVEIROS</v>
      </c>
      <c r="T1778" s="10" t="e">
        <f>Tabela2[[#This Row],[Coluna72]]</f>
        <v>#REF!</v>
      </c>
      <c r="U1778" s="10">
        <f>SUM(Tabela2[[#This Row],[Coluna9]],Tabela2[[#This Row],[Coluna10]])</f>
        <v>30</v>
      </c>
      <c r="V1778" s="2" t="str">
        <f>Tabela2[[#This Row],[Coluna4]]</f>
        <v>18/12/2025</v>
      </c>
      <c r="W1778" s="2" t="str">
        <f>Tabela2[[#This Row],[Coluna6]]</f>
        <v>18/12/2025</v>
      </c>
    </row>
    <row r="1779" spans="2:23" x14ac:dyDescent="0.2">
      <c r="B1779" t="s">
        <v>12</v>
      </c>
      <c r="C1779" t="s">
        <v>95</v>
      </c>
      <c r="D1779" t="s">
        <v>13</v>
      </c>
      <c r="E1779" s="8" t="s">
        <v>334</v>
      </c>
      <c r="F1779" t="s">
        <v>84</v>
      </c>
      <c r="G1779" s="8" t="s">
        <v>334</v>
      </c>
      <c r="H1779" t="s">
        <v>719</v>
      </c>
      <c r="I1779" t="e">
        <f>VLOOKUP(Tabela2[[#This Row],[Coluna7]],[1]!Tabela1[#All],2,0)</f>
        <v>#REF!</v>
      </c>
      <c r="J1779" t="s">
        <v>726</v>
      </c>
      <c r="L1779">
        <v>81</v>
      </c>
      <c r="Q1779" s="10" t="str">
        <f>Tabela2[[#This Row],[Coluna5]]</f>
        <v>01/2026</v>
      </c>
      <c r="R1779" s="10" t="str">
        <f>IF(Tabela2[[#This Row],[Coluna9]]&gt;0,"Entrada","Saída")</f>
        <v>Saída</v>
      </c>
      <c r="S1779" s="10" t="str">
        <f>Tabela2[[#This Row],[Coluna8]]</f>
        <v>BRINDES - CASA METAL</v>
      </c>
      <c r="T1779" s="10" t="e">
        <f>Tabela2[[#This Row],[Coluna72]]</f>
        <v>#REF!</v>
      </c>
      <c r="U1779" s="10">
        <f>SUM(Tabela2[[#This Row],[Coluna9]],Tabela2[[#This Row],[Coluna10]])</f>
        <v>81</v>
      </c>
      <c r="V1779" s="2" t="str">
        <f>Tabela2[[#This Row],[Coluna4]]</f>
        <v>30/12/2025</v>
      </c>
      <c r="W1779" s="2" t="str">
        <f>Tabela2[[#This Row],[Coluna6]]</f>
        <v>30/12/2025</v>
      </c>
    </row>
    <row r="1780" spans="2:23" x14ac:dyDescent="0.2">
      <c r="B1780" t="s">
        <v>12</v>
      </c>
      <c r="C1780" t="s">
        <v>95</v>
      </c>
      <c r="D1780" t="s">
        <v>13</v>
      </c>
      <c r="E1780" s="8" t="s">
        <v>334</v>
      </c>
      <c r="F1780" t="s">
        <v>84</v>
      </c>
      <c r="G1780" s="8" t="s">
        <v>334</v>
      </c>
      <c r="H1780" t="s">
        <v>719</v>
      </c>
      <c r="I1780" t="e">
        <f>VLOOKUP(Tabela2[[#This Row],[Coluna7]],[1]!Tabela1[#All],2,0)</f>
        <v>#REF!</v>
      </c>
      <c r="J1780" t="s">
        <v>727</v>
      </c>
      <c r="L1780">
        <v>16</v>
      </c>
      <c r="Q1780" s="10" t="str">
        <f>Tabela2[[#This Row],[Coluna5]]</f>
        <v>01/2026</v>
      </c>
      <c r="R1780" s="10" t="str">
        <f>IF(Tabela2[[#This Row],[Coluna9]]&gt;0,"Entrada","Saída")</f>
        <v>Saída</v>
      </c>
      <c r="S1780" s="10" t="str">
        <f>Tabela2[[#This Row],[Coluna8]]</f>
        <v>BRINDES - CHIC BIJUTERIAS</v>
      </c>
      <c r="T1780" s="10" t="e">
        <f>Tabela2[[#This Row],[Coluna72]]</f>
        <v>#REF!</v>
      </c>
      <c r="U1780" s="10">
        <f>SUM(Tabela2[[#This Row],[Coluna9]],Tabela2[[#This Row],[Coluna10]])</f>
        <v>16</v>
      </c>
      <c r="V1780" s="2" t="str">
        <f>Tabela2[[#This Row],[Coluna4]]</f>
        <v>30/12/2025</v>
      </c>
      <c r="W1780" s="2" t="str">
        <f>Tabela2[[#This Row],[Coluna6]]</f>
        <v>30/12/2025</v>
      </c>
    </row>
    <row r="1781" spans="2:23" x14ac:dyDescent="0.2">
      <c r="B1781" t="s">
        <v>12</v>
      </c>
      <c r="C1781" t="s">
        <v>95</v>
      </c>
      <c r="D1781" t="s">
        <v>13</v>
      </c>
      <c r="E1781" s="8" t="s">
        <v>91</v>
      </c>
      <c r="F1781" t="s">
        <v>84</v>
      </c>
      <c r="G1781" s="8" t="s">
        <v>91</v>
      </c>
      <c r="H1781" t="s">
        <v>719</v>
      </c>
      <c r="I1781" t="e">
        <f>VLOOKUP(Tabela2[[#This Row],[Coluna7]],[1]!Tabela1[#All],2,0)</f>
        <v>#REF!</v>
      </c>
      <c r="J1781" t="s">
        <v>728</v>
      </c>
      <c r="L1781">
        <v>60</v>
      </c>
      <c r="Q1781" s="10" t="str">
        <f>Tabela2[[#This Row],[Coluna5]]</f>
        <v>01/2026</v>
      </c>
      <c r="R1781" s="10" t="str">
        <f>IF(Tabela2[[#This Row],[Coluna9]]&gt;0,"Entrada","Saída")</f>
        <v>Saída</v>
      </c>
      <c r="S1781" s="10" t="str">
        <f>Tabela2[[#This Row],[Coluna8]]</f>
        <v>BRINDES</v>
      </c>
      <c r="T1781" s="10" t="e">
        <f>Tabela2[[#This Row],[Coluna72]]</f>
        <v>#REF!</v>
      </c>
      <c r="U1781" s="10">
        <f>SUM(Tabela2[[#This Row],[Coluna9]],Tabela2[[#This Row],[Coluna10]])</f>
        <v>60</v>
      </c>
      <c r="V1781" s="2" t="str">
        <f>Tabela2[[#This Row],[Coluna4]]</f>
        <v>20/01/2026</v>
      </c>
      <c r="W1781" s="2" t="str">
        <f>Tabela2[[#This Row],[Coluna6]]</f>
        <v>20/01/2026</v>
      </c>
    </row>
    <row r="1782" spans="2:23" x14ac:dyDescent="0.2">
      <c r="B1782" t="s">
        <v>12</v>
      </c>
      <c r="C1782" t="s">
        <v>95</v>
      </c>
      <c r="D1782" t="s">
        <v>13</v>
      </c>
      <c r="E1782" s="8" t="s">
        <v>91</v>
      </c>
      <c r="F1782" t="s">
        <v>84</v>
      </c>
      <c r="G1782" s="8" t="s">
        <v>91</v>
      </c>
      <c r="H1782" t="s">
        <v>719</v>
      </c>
      <c r="I1782" t="e">
        <f>VLOOKUP(Tabela2[[#This Row],[Coluna7]],[1]!Tabela1[#All],2,0)</f>
        <v>#REF!</v>
      </c>
      <c r="J1782" t="s">
        <v>729</v>
      </c>
      <c r="L1782">
        <v>26.5</v>
      </c>
      <c r="Q1782" s="10" t="str">
        <f>Tabela2[[#This Row],[Coluna5]]</f>
        <v>01/2026</v>
      </c>
      <c r="R1782" s="10" t="str">
        <f>IF(Tabela2[[#This Row],[Coluna9]]&gt;0,"Entrada","Saída")</f>
        <v>Saída</v>
      </c>
      <c r="S1782" s="10" t="str">
        <f>Tabela2[[#This Row],[Coluna8]]</f>
        <v>BRINDE</v>
      </c>
      <c r="T1782" s="10" t="e">
        <f>Tabela2[[#This Row],[Coluna72]]</f>
        <v>#REF!</v>
      </c>
      <c r="U1782" s="10">
        <f>SUM(Tabela2[[#This Row],[Coluna9]],Tabela2[[#This Row],[Coluna10]])</f>
        <v>26.5</v>
      </c>
      <c r="V1782" s="2" t="str">
        <f>Tabela2[[#This Row],[Coluna4]]</f>
        <v>20/01/2026</v>
      </c>
      <c r="W1782" s="2" t="str">
        <f>Tabela2[[#This Row],[Coluna6]]</f>
        <v>20/01/2026</v>
      </c>
    </row>
    <row r="1783" spans="2:23" x14ac:dyDescent="0.2">
      <c r="B1783" t="s">
        <v>12</v>
      </c>
      <c r="C1783" t="s">
        <v>95</v>
      </c>
      <c r="D1783" t="s">
        <v>13</v>
      </c>
      <c r="E1783" s="8" t="s">
        <v>358</v>
      </c>
      <c r="F1783" t="s">
        <v>84</v>
      </c>
      <c r="G1783" s="8" t="s">
        <v>358</v>
      </c>
      <c r="H1783" t="s">
        <v>719</v>
      </c>
      <c r="I1783" t="e">
        <f>VLOOKUP(Tabela2[[#This Row],[Coluna7]],[1]!Tabela1[#All],2,0)</f>
        <v>#REF!</v>
      </c>
      <c r="J1783" t="s">
        <v>729</v>
      </c>
      <c r="L1783">
        <v>13</v>
      </c>
      <c r="Q1783" s="10" t="str">
        <f>Tabela2[[#This Row],[Coluna5]]</f>
        <v>01/2026</v>
      </c>
      <c r="R1783" s="10" t="str">
        <f>IF(Tabela2[[#This Row],[Coluna9]]&gt;0,"Entrada","Saída")</f>
        <v>Saída</v>
      </c>
      <c r="S1783" s="10" t="str">
        <f>Tabela2[[#This Row],[Coluna8]]</f>
        <v>BRINDE</v>
      </c>
      <c r="T1783" s="10" t="e">
        <f>Tabela2[[#This Row],[Coluna72]]</f>
        <v>#REF!</v>
      </c>
      <c r="U1783" s="10">
        <f>SUM(Tabela2[[#This Row],[Coluna9]],Tabela2[[#This Row],[Coluna10]])</f>
        <v>13</v>
      </c>
      <c r="V1783" s="2" t="str">
        <f>Tabela2[[#This Row],[Coluna4]]</f>
        <v>27/01/2026</v>
      </c>
      <c r="W1783" s="2" t="str">
        <f>Tabela2[[#This Row],[Coluna6]]</f>
        <v>27/01/2026</v>
      </c>
    </row>
    <row r="1784" spans="2:23" x14ac:dyDescent="0.2">
      <c r="B1784" t="s">
        <v>18</v>
      </c>
      <c r="C1784" t="s">
        <v>95</v>
      </c>
      <c r="D1784" t="s">
        <v>13</v>
      </c>
      <c r="E1784" s="8" t="s">
        <v>158</v>
      </c>
      <c r="F1784" t="s">
        <v>15</v>
      </c>
      <c r="G1784" s="8" t="s">
        <v>158</v>
      </c>
      <c r="H1784" t="s">
        <v>730</v>
      </c>
      <c r="I1784" t="e">
        <f>VLOOKUP(Tabela2[[#This Row],[Coluna7]],[1]!Tabela1[#All],2,0)</f>
        <v>#REF!</v>
      </c>
      <c r="J1784" t="s">
        <v>731</v>
      </c>
      <c r="L1784">
        <v>1000</v>
      </c>
      <c r="Q1784" s="10" t="str">
        <f>Tabela2[[#This Row],[Coluna5]]</f>
        <v>10/2025</v>
      </c>
      <c r="R1784" s="10" t="str">
        <f>IF(Tabela2[[#This Row],[Coluna9]]&gt;0,"Entrada","Saída")</f>
        <v>Saída</v>
      </c>
      <c r="S1784" s="10" t="str">
        <f>Tabela2[[#This Row],[Coluna8]]</f>
        <v>MARCOS URQUIZA HERCULANO</v>
      </c>
      <c r="T1784" s="10" t="e">
        <f>Tabela2[[#This Row],[Coluna72]]</f>
        <v>#REF!</v>
      </c>
      <c r="U1784" s="10">
        <f>SUM(Tabela2[[#This Row],[Coluna9]],Tabela2[[#This Row],[Coluna10]])</f>
        <v>1000</v>
      </c>
      <c r="V1784" s="2" t="str">
        <f>Tabela2[[#This Row],[Coluna4]]</f>
        <v>10/10/2025</v>
      </c>
      <c r="W1784" s="2" t="str">
        <f>Tabela2[[#This Row],[Coluna6]]</f>
        <v>10/10/2025</v>
      </c>
    </row>
    <row r="1785" spans="2:23" x14ac:dyDescent="0.2">
      <c r="B1785" t="s">
        <v>27</v>
      </c>
      <c r="C1785" t="s">
        <v>95</v>
      </c>
      <c r="D1785" t="s">
        <v>13</v>
      </c>
      <c r="E1785" s="8" t="s">
        <v>69</v>
      </c>
      <c r="F1785" t="s">
        <v>64</v>
      </c>
      <c r="G1785" s="8" t="s">
        <v>77</v>
      </c>
      <c r="H1785" t="s">
        <v>730</v>
      </c>
      <c r="I1785" t="e">
        <f>VLOOKUP(Tabela2[[#This Row],[Coluna7]],[1]!Tabela1[#All],2,0)</f>
        <v>#REF!</v>
      </c>
      <c r="J1785" t="s">
        <v>731</v>
      </c>
      <c r="L1785">
        <v>1000</v>
      </c>
      <c r="Q1785" s="10" t="str">
        <f>Tabela2[[#This Row],[Coluna5]]</f>
        <v>12/2025</v>
      </c>
      <c r="R1785" s="10" t="str">
        <f>IF(Tabela2[[#This Row],[Coluna9]]&gt;0,"Entrada","Saída")</f>
        <v>Saída</v>
      </c>
      <c r="S1785" s="10" t="str">
        <f>Tabela2[[#This Row],[Coluna8]]</f>
        <v>MARCOS URQUIZA HERCULANO</v>
      </c>
      <c r="T1785" s="10" t="e">
        <f>Tabela2[[#This Row],[Coluna72]]</f>
        <v>#REF!</v>
      </c>
      <c r="U1785" s="10">
        <f>SUM(Tabela2[[#This Row],[Coluna9]],Tabela2[[#This Row],[Coluna10]])</f>
        <v>1000</v>
      </c>
      <c r="V1785" s="2" t="str">
        <f>Tabela2[[#This Row],[Coluna4]]</f>
        <v>10/12/2025</v>
      </c>
      <c r="W1785" s="2" t="str">
        <f>Tabela2[[#This Row],[Coluna6]]</f>
        <v>18/12/2025</v>
      </c>
    </row>
    <row r="1786" spans="2:23" x14ac:dyDescent="0.2">
      <c r="B1786" t="s">
        <v>18</v>
      </c>
      <c r="C1786" t="s">
        <v>95</v>
      </c>
      <c r="D1786" t="s">
        <v>13</v>
      </c>
      <c r="E1786" s="8" t="s">
        <v>346</v>
      </c>
      <c r="F1786" t="s">
        <v>84</v>
      </c>
      <c r="G1786" s="8" t="s">
        <v>94</v>
      </c>
      <c r="H1786" t="s">
        <v>730</v>
      </c>
      <c r="I1786" t="e">
        <f>VLOOKUP(Tabela2[[#This Row],[Coluna7]],[1]!Tabela1[#All],2,0)</f>
        <v>#REF!</v>
      </c>
      <c r="J1786" t="s">
        <v>731</v>
      </c>
      <c r="L1786">
        <v>1000</v>
      </c>
      <c r="Q1786" s="10" t="str">
        <f>Tabela2[[#This Row],[Coluna5]]</f>
        <v>01/2026</v>
      </c>
      <c r="R1786" s="10" t="str">
        <f>IF(Tabela2[[#This Row],[Coluna9]]&gt;0,"Entrada","Saída")</f>
        <v>Saída</v>
      </c>
      <c r="S1786" s="10" t="str">
        <f>Tabela2[[#This Row],[Coluna8]]</f>
        <v>MARCOS URQUIZA HERCULANO</v>
      </c>
      <c r="T1786" s="10" t="e">
        <f>Tabela2[[#This Row],[Coluna72]]</f>
        <v>#REF!</v>
      </c>
      <c r="U1786" s="10">
        <f>SUM(Tabela2[[#This Row],[Coluna9]],Tabela2[[#This Row],[Coluna10]])</f>
        <v>1000</v>
      </c>
      <c r="V1786" s="2" t="str">
        <f>Tabela2[[#This Row],[Coluna4]]</f>
        <v>12/01/2026</v>
      </c>
      <c r="W1786" s="2" t="str">
        <f>Tabela2[[#This Row],[Coluna6]]</f>
        <v>29/01/2026</v>
      </c>
    </row>
    <row r="1787" spans="2:23" hidden="1" x14ac:dyDescent="0.2">
      <c r="B1787" t="s">
        <v>71</v>
      </c>
      <c r="C1787" t="s">
        <v>125</v>
      </c>
      <c r="D1787" t="s">
        <v>13</v>
      </c>
      <c r="E1787" s="8" t="s">
        <v>256</v>
      </c>
      <c r="F1787" t="s">
        <v>42</v>
      </c>
      <c r="G1787" s="8" t="s">
        <v>256</v>
      </c>
      <c r="H1787" t="s">
        <v>732</v>
      </c>
      <c r="I1787" t="e">
        <f>VLOOKUP(Tabela2[[#This Row],[Coluna7]],[1]!Tabela1[#All],2,0)</f>
        <v>#REF!</v>
      </c>
      <c r="J1787" t="s">
        <v>733</v>
      </c>
      <c r="L1787">
        <v>4367.79</v>
      </c>
      <c r="M1787" t="s">
        <v>247</v>
      </c>
      <c r="N1787" t="s">
        <v>248</v>
      </c>
      <c r="Q1787" s="10" t="str">
        <f>Tabela2[[#This Row],[Coluna5]]</f>
        <v>11/2025</v>
      </c>
      <c r="R1787" s="10" t="str">
        <f>IF(Tabela2[[#This Row],[Coluna9]]&gt;0,"Entrada","Saída")</f>
        <v>Saída</v>
      </c>
      <c r="S1787" s="10" t="str">
        <f>Tabela2[[#This Row],[Coluna8]]</f>
        <v>DEVOLUÇÃO DE EXCEDENTE DE PAGAMENTO</v>
      </c>
      <c r="T1787" s="10" t="e">
        <f>Tabela2[[#This Row],[Coluna72]]</f>
        <v>#REF!</v>
      </c>
      <c r="U1787" s="10">
        <f>SUM(Tabela2[[#This Row],[Coluna9]],Tabela2[[#This Row],[Coluna10]])</f>
        <v>4367.79</v>
      </c>
      <c r="V1787" s="2" t="str">
        <f>Tabela2[[#This Row],[Coluna4]]</f>
        <v>25/11/2025</v>
      </c>
      <c r="W1787" s="2" t="str">
        <f>Tabela2[[#This Row],[Coluna6]]</f>
        <v>25/11/2025</v>
      </c>
    </row>
    <row r="1788" spans="2:23" hidden="1" x14ac:dyDescent="0.2">
      <c r="B1788" t="s">
        <v>18</v>
      </c>
      <c r="C1788" t="s">
        <v>125</v>
      </c>
      <c r="D1788" t="s">
        <v>13</v>
      </c>
      <c r="E1788" s="8" t="s">
        <v>63</v>
      </c>
      <c r="F1788" t="s">
        <v>64</v>
      </c>
      <c r="G1788" s="8" t="s">
        <v>63</v>
      </c>
      <c r="H1788" t="s">
        <v>732</v>
      </c>
      <c r="I1788" t="e">
        <f>VLOOKUP(Tabela2[[#This Row],[Coluna7]],[1]!Tabela1[#All],2,0)</f>
        <v>#REF!</v>
      </c>
      <c r="J1788" t="s">
        <v>734</v>
      </c>
      <c r="L1788">
        <v>3379.61</v>
      </c>
      <c r="M1788" t="s">
        <v>182</v>
      </c>
      <c r="N1788" t="s">
        <v>183</v>
      </c>
      <c r="Q1788" s="10" t="str">
        <f>Tabela2[[#This Row],[Coluna5]]</f>
        <v>12/2025</v>
      </c>
      <c r="R1788" s="10" t="str">
        <f>IF(Tabela2[[#This Row],[Coluna9]]&gt;0,"Entrada","Saída")</f>
        <v>Saída</v>
      </c>
      <c r="S1788" s="10" t="str">
        <f>Tabela2[[#This Row],[Coluna8]]</f>
        <v>DEVOLUÇÃO DE EXCEDENTE</v>
      </c>
      <c r="T1788" s="10" t="e">
        <f>Tabela2[[#This Row],[Coluna72]]</f>
        <v>#REF!</v>
      </c>
      <c r="U1788" s="10">
        <f>SUM(Tabela2[[#This Row],[Coluna9]],Tabela2[[#This Row],[Coluna10]])</f>
        <v>3379.61</v>
      </c>
      <c r="V1788" s="2" t="str">
        <f>Tabela2[[#This Row],[Coluna4]]</f>
        <v>01/12/2025</v>
      </c>
      <c r="W1788" s="2" t="str">
        <f>Tabela2[[#This Row],[Coluna6]]</f>
        <v>01/12/2025</v>
      </c>
    </row>
    <row r="1789" spans="2:23" hidden="1" x14ac:dyDescent="0.2">
      <c r="B1789" t="s">
        <v>748</v>
      </c>
      <c r="D1789" t="s">
        <v>13</v>
      </c>
      <c r="E1789" s="8" t="s">
        <v>83</v>
      </c>
      <c r="F1789" t="s">
        <v>84</v>
      </c>
      <c r="G1789" s="8" t="s">
        <v>85</v>
      </c>
      <c r="H1789" t="s">
        <v>22</v>
      </c>
      <c r="I1789" t="e">
        <f>VLOOKUP(Tabela2[[#This Row],[Coluna7]],[1]!Tabela1[#All],2,0)</f>
        <v>#REF!</v>
      </c>
      <c r="J1789" t="s">
        <v>23</v>
      </c>
      <c r="L1789">
        <v>147.86000000000001</v>
      </c>
      <c r="Q1789" s="10" t="str">
        <f>Tabela2[[#This Row],[Coluna5]]</f>
        <v>01/2026</v>
      </c>
      <c r="R1789" s="10" t="str">
        <f>IF(Tabela2[[#This Row],[Coluna9]]&gt;0,"Entrada","Saída")</f>
        <v>Saída</v>
      </c>
      <c r="S1789" s="10" t="str">
        <f>Tabela2[[#This Row],[Coluna8]]</f>
        <v>PAGAMENTO DE FATURA - INTER</v>
      </c>
      <c r="T1789" s="10" t="e">
        <f>Tabela2[[#This Row],[Coluna72]]</f>
        <v>#REF!</v>
      </c>
      <c r="U1789" s="10">
        <f>SUM(Tabela2[[#This Row],[Coluna9]],Tabela2[[#This Row],[Coluna10]])</f>
        <v>147.86000000000001</v>
      </c>
      <c r="V1789" s="2" t="str">
        <f>Tabela2[[#This Row],[Coluna4]]</f>
        <v>06/01/2026</v>
      </c>
      <c r="W1789" s="2" t="str">
        <f>Tabela2[[#This Row],[Coluna6]]</f>
        <v>08/01/2026</v>
      </c>
    </row>
    <row r="1790" spans="2:23" hidden="1" x14ac:dyDescent="0.2">
      <c r="B1790" t="s">
        <v>748</v>
      </c>
      <c r="D1790" t="s">
        <v>13</v>
      </c>
      <c r="E1790" s="8" t="s">
        <v>85</v>
      </c>
      <c r="F1790" t="s">
        <v>84</v>
      </c>
      <c r="G1790" s="8" t="s">
        <v>85</v>
      </c>
      <c r="H1790" t="s">
        <v>22</v>
      </c>
      <c r="I1790" t="e">
        <f>VLOOKUP(Tabela2[[#This Row],[Coluna7]],[1]!Tabela1[#All],2,0)</f>
        <v>#REF!</v>
      </c>
      <c r="J1790" t="s">
        <v>25</v>
      </c>
      <c r="L1790">
        <v>963.55</v>
      </c>
      <c r="Q1790" s="10" t="str">
        <f>Tabela2[[#This Row],[Coluna5]]</f>
        <v>01/2026</v>
      </c>
      <c r="R1790" s="10" t="str">
        <f>IF(Tabela2[[#This Row],[Coluna9]]&gt;0,"Entrada","Saída")</f>
        <v>Saída</v>
      </c>
      <c r="S1790" s="10" t="str">
        <f>Tabela2[[#This Row],[Coluna8]]</f>
        <v>PAGAMENTO DE FATURA - NUBANK PK</v>
      </c>
      <c r="T1790" s="10" t="e">
        <f>Tabela2[[#This Row],[Coluna72]]</f>
        <v>#REF!</v>
      </c>
      <c r="U1790" s="10">
        <f>SUM(Tabela2[[#This Row],[Coluna9]],Tabela2[[#This Row],[Coluna10]])</f>
        <v>963.55</v>
      </c>
      <c r="V1790" s="2" t="str">
        <f>Tabela2[[#This Row],[Coluna4]]</f>
        <v>08/01/2026</v>
      </c>
      <c r="W1790" s="2" t="str">
        <f>Tabela2[[#This Row],[Coluna6]]</f>
        <v>08/01/2026</v>
      </c>
    </row>
    <row r="1791" spans="2:23" hidden="1" x14ac:dyDescent="0.2">
      <c r="B1791" t="s">
        <v>748</v>
      </c>
      <c r="D1791" t="s">
        <v>13</v>
      </c>
      <c r="E1791" s="8" t="s">
        <v>85</v>
      </c>
      <c r="F1791" t="s">
        <v>84</v>
      </c>
      <c r="G1791" s="8" t="s">
        <v>85</v>
      </c>
      <c r="H1791" t="s">
        <v>22</v>
      </c>
      <c r="I1791" t="e">
        <f>VLOOKUP(Tabela2[[#This Row],[Coluna7]],[1]!Tabela1[#All],2,0)</f>
        <v>#REF!</v>
      </c>
      <c r="J1791" t="s">
        <v>26</v>
      </c>
      <c r="L1791">
        <v>6280.36</v>
      </c>
      <c r="Q1791" s="10" t="str">
        <f>Tabela2[[#This Row],[Coluna5]]</f>
        <v>01/2026</v>
      </c>
      <c r="R1791" s="10" t="str">
        <f>IF(Tabela2[[#This Row],[Coluna9]]&gt;0,"Entrada","Saída")</f>
        <v>Saída</v>
      </c>
      <c r="S1791" s="10" t="str">
        <f>Tabela2[[#This Row],[Coluna8]]</f>
        <v>PAGAMENTO DE FATURA - SANTANDER</v>
      </c>
      <c r="T1791" s="10" t="e">
        <f>Tabela2[[#This Row],[Coluna72]]</f>
        <v>#REF!</v>
      </c>
      <c r="U1791" s="10">
        <f>SUM(Tabela2[[#This Row],[Coluna9]],Tabela2[[#This Row],[Coluna10]])</f>
        <v>6280.36</v>
      </c>
      <c r="V1791" s="2" t="str">
        <f>Tabela2[[#This Row],[Coluna4]]</f>
        <v>08/01/2026</v>
      </c>
      <c r="W1791" s="2" t="str">
        <f>Tabela2[[#This Row],[Coluna6]]</f>
        <v>08/01/2026</v>
      </c>
    </row>
    <row r="1792" spans="2:23" hidden="1" x14ac:dyDescent="0.2">
      <c r="B1792" t="s">
        <v>18</v>
      </c>
      <c r="D1792" t="s">
        <v>13</v>
      </c>
      <c r="E1792" s="8" t="s">
        <v>86</v>
      </c>
      <c r="F1792" t="s">
        <v>84</v>
      </c>
      <c r="G1792" s="8" t="s">
        <v>87</v>
      </c>
      <c r="H1792" t="s">
        <v>22</v>
      </c>
      <c r="I1792" t="e">
        <f>VLOOKUP(Tabela2[[#This Row],[Coluna7]],[1]!Tabela1[#All],2,0)</f>
        <v>#REF!</v>
      </c>
      <c r="J1792" t="s">
        <v>53</v>
      </c>
      <c r="L1792">
        <v>2134.29</v>
      </c>
      <c r="Q1792" s="10" t="str">
        <f>Tabela2[[#This Row],[Coluna5]]</f>
        <v>01/2026</v>
      </c>
      <c r="R1792" s="10" t="str">
        <f>IF(Tabela2[[#This Row],[Coluna9]]&gt;0,"Entrada","Saída")</f>
        <v>Saída</v>
      </c>
      <c r="S1792" s="10" t="str">
        <f>Tabela2[[#This Row],[Coluna8]]</f>
        <v>PAGAMENTO DE FATURA - CARTÃO EFÍ</v>
      </c>
      <c r="T1792" s="10" t="e">
        <f>Tabela2[[#This Row],[Coluna72]]</f>
        <v>#REF!</v>
      </c>
      <c r="U1792" s="10">
        <f>SUM(Tabela2[[#This Row],[Coluna9]],Tabela2[[#This Row],[Coluna10]])</f>
        <v>2134.29</v>
      </c>
      <c r="V1792" s="2" t="str">
        <f>Tabela2[[#This Row],[Coluna4]]</f>
        <v>13/01/2026</v>
      </c>
      <c r="W1792" s="2" t="str">
        <f>Tabela2[[#This Row],[Coluna6]]</f>
        <v>07/01/2026</v>
      </c>
    </row>
    <row r="1793" spans="2:23" hidden="1" x14ac:dyDescent="0.2">
      <c r="B1793" t="s">
        <v>27</v>
      </c>
      <c r="D1793" t="s">
        <v>13</v>
      </c>
      <c r="E1793" s="8" t="s">
        <v>88</v>
      </c>
      <c r="F1793" t="s">
        <v>84</v>
      </c>
      <c r="G1793" s="8" t="s">
        <v>88</v>
      </c>
      <c r="H1793" t="s">
        <v>16</v>
      </c>
      <c r="I1793" t="e">
        <f>VLOOKUP(Tabela2[[#This Row],[Coluna7]],[1]!Tabela1[#All],2,0)</f>
        <v>#REF!</v>
      </c>
      <c r="J1793" t="s">
        <v>17</v>
      </c>
      <c r="L1793">
        <v>10000</v>
      </c>
      <c r="Q1793" s="10" t="str">
        <f>Tabela2[[#This Row],[Coluna5]]</f>
        <v>01/2026</v>
      </c>
      <c r="R1793" s="10" t="str">
        <f>IF(Tabela2[[#This Row],[Coluna9]]&gt;0,"Entrada","Saída")</f>
        <v>Saída</v>
      </c>
      <c r="S1793" s="10" t="str">
        <f>Tabela2[[#This Row],[Coluna8]]</f>
        <v>TRANSFERÊNCIA PARA EFÍ - THIAGO URQUIZA ADVOGADOS</v>
      </c>
      <c r="T1793" s="10" t="e">
        <f>Tabela2[[#This Row],[Coluna72]]</f>
        <v>#REF!</v>
      </c>
      <c r="U1793" s="10">
        <f>SUM(Tabela2[[#This Row],[Coluna9]],Tabela2[[#This Row],[Coluna10]])</f>
        <v>10000</v>
      </c>
      <c r="V1793" s="2" t="str">
        <f>Tabela2[[#This Row],[Coluna4]]</f>
        <v>14/01/2026</v>
      </c>
      <c r="W1793" s="2" t="str">
        <f>Tabela2[[#This Row],[Coluna6]]</f>
        <v>14/01/2026</v>
      </c>
    </row>
    <row r="1794" spans="2:23" hidden="1" x14ac:dyDescent="0.2">
      <c r="B1794" t="s">
        <v>18</v>
      </c>
      <c r="D1794" t="s">
        <v>19</v>
      </c>
      <c r="E1794" s="8" t="s">
        <v>88</v>
      </c>
      <c r="F1794" t="s">
        <v>84</v>
      </c>
      <c r="G1794" s="8" t="s">
        <v>88</v>
      </c>
      <c r="H1794" t="s">
        <v>16</v>
      </c>
      <c r="I1794" t="e">
        <f>VLOOKUP(Tabela2[[#This Row],[Coluna7]],[1]!Tabela1[#All],2,0)</f>
        <v>#REF!</v>
      </c>
      <c r="J1794" t="s">
        <v>32</v>
      </c>
      <c r="K1794">
        <v>10000</v>
      </c>
      <c r="Q1794" s="10" t="str">
        <f>Tabela2[[#This Row],[Coluna5]]</f>
        <v>01/2026</v>
      </c>
      <c r="R1794" s="10" t="str">
        <f>IF(Tabela2[[#This Row],[Coluna9]]&gt;0,"Entrada","Saída")</f>
        <v>Entrada</v>
      </c>
      <c r="S1794" s="10" t="str">
        <f>Tabela2[[#This Row],[Coluna8]]</f>
        <v>TRANSFERÊNCIA DE BRADESCO</v>
      </c>
      <c r="T1794" s="10" t="e">
        <f>Tabela2[[#This Row],[Coluna72]]</f>
        <v>#REF!</v>
      </c>
      <c r="U1794" s="10">
        <f>SUM(Tabela2[[#This Row],[Coluna9]],Tabela2[[#This Row],[Coluna10]])</f>
        <v>10000</v>
      </c>
      <c r="V1794" s="2" t="str">
        <f>Tabela2[[#This Row],[Coluna4]]</f>
        <v>14/01/2026</v>
      </c>
      <c r="W1794" s="2" t="str">
        <f>Tabela2[[#This Row],[Coluna6]]</f>
        <v>14/01/2026</v>
      </c>
    </row>
    <row r="1795" spans="2:23" hidden="1" x14ac:dyDescent="0.2">
      <c r="B1795" t="s">
        <v>27</v>
      </c>
      <c r="D1795" t="s">
        <v>13</v>
      </c>
      <c r="E1795" s="8" t="s">
        <v>89</v>
      </c>
      <c r="F1795" t="s">
        <v>84</v>
      </c>
      <c r="G1795" s="8" t="s">
        <v>88</v>
      </c>
      <c r="H1795" t="s">
        <v>22</v>
      </c>
      <c r="I1795" t="e">
        <f>VLOOKUP(Tabela2[[#This Row],[Coluna7]],[1]!Tabela1[#All],2,0)</f>
        <v>#REF!</v>
      </c>
      <c r="J1795" t="s">
        <v>30</v>
      </c>
      <c r="L1795">
        <v>209.96</v>
      </c>
      <c r="Q1795" s="10" t="str">
        <f>Tabela2[[#This Row],[Coluna5]]</f>
        <v>01/2026</v>
      </c>
      <c r="R1795" s="10" t="str">
        <f>IF(Tabela2[[#This Row],[Coluna9]]&gt;0,"Entrada","Saída")</f>
        <v>Saída</v>
      </c>
      <c r="S1795" s="10" t="str">
        <f>Tabela2[[#This Row],[Coluna8]]</f>
        <v>PAGAMENTO DE FATURA - HIPERCARD</v>
      </c>
      <c r="T1795" s="10" t="e">
        <f>Tabela2[[#This Row],[Coluna72]]</f>
        <v>#REF!</v>
      </c>
      <c r="U1795" s="10">
        <f>SUM(Tabela2[[#This Row],[Coluna9]],Tabela2[[#This Row],[Coluna10]])</f>
        <v>209.96</v>
      </c>
      <c r="V1795" s="2" t="str">
        <f>Tabela2[[#This Row],[Coluna4]]</f>
        <v>15/01/2026</v>
      </c>
      <c r="W1795" s="2" t="str">
        <f>Tabela2[[#This Row],[Coluna6]]</f>
        <v>14/01/2026</v>
      </c>
    </row>
    <row r="1796" spans="2:23" hidden="1" x14ac:dyDescent="0.2">
      <c r="B1796" t="s">
        <v>18</v>
      </c>
      <c r="D1796" t="s">
        <v>13</v>
      </c>
      <c r="E1796" s="8" t="s">
        <v>89</v>
      </c>
      <c r="F1796" t="s">
        <v>84</v>
      </c>
      <c r="G1796" s="8" t="s">
        <v>89</v>
      </c>
      <c r="H1796" t="s">
        <v>16</v>
      </c>
      <c r="I1796" t="e">
        <f>VLOOKUP(Tabela2[[#This Row],[Coluna7]],[1]!Tabela1[#All],2,0)</f>
        <v>#REF!</v>
      </c>
      <c r="J1796" t="s">
        <v>81</v>
      </c>
      <c r="L1796">
        <v>500</v>
      </c>
      <c r="Q1796" s="10" t="str">
        <f>Tabela2[[#This Row],[Coluna5]]</f>
        <v>01/2026</v>
      </c>
      <c r="R1796" s="10" t="str">
        <f>IF(Tabela2[[#This Row],[Coluna9]]&gt;0,"Entrada","Saída")</f>
        <v>Saída</v>
      </c>
      <c r="S1796" s="10" t="str">
        <f>Tabela2[[#This Row],[Coluna8]]</f>
        <v>TRANSFERÊNCIA PARA INVESTIMENTOS</v>
      </c>
      <c r="T1796" s="10" t="e">
        <f>Tabela2[[#This Row],[Coluna72]]</f>
        <v>#REF!</v>
      </c>
      <c r="U1796" s="10">
        <f>SUM(Tabela2[[#This Row],[Coluna9]],Tabela2[[#This Row],[Coluna10]])</f>
        <v>500</v>
      </c>
      <c r="V1796" s="2" t="str">
        <f>Tabela2[[#This Row],[Coluna4]]</f>
        <v>15/01/2026</v>
      </c>
      <c r="W1796" s="2" t="str">
        <f>Tabela2[[#This Row],[Coluna6]]</f>
        <v>15/01/2026</v>
      </c>
    </row>
    <row r="1797" spans="2:23" hidden="1" x14ac:dyDescent="0.2">
      <c r="B1797" t="s">
        <v>82</v>
      </c>
      <c r="D1797" t="s">
        <v>19</v>
      </c>
      <c r="E1797" s="8" t="s">
        <v>89</v>
      </c>
      <c r="F1797" t="s">
        <v>84</v>
      </c>
      <c r="G1797" s="8" t="s">
        <v>89</v>
      </c>
      <c r="H1797" t="s">
        <v>16</v>
      </c>
      <c r="I1797" t="e">
        <f>VLOOKUP(Tabela2[[#This Row],[Coluna7]],[1]!Tabela1[#All],2,0)</f>
        <v>#REF!</v>
      </c>
      <c r="J1797" t="s">
        <v>40</v>
      </c>
      <c r="K1797">
        <v>500</v>
      </c>
      <c r="Q1797" s="10" t="str">
        <f>Tabela2[[#This Row],[Coluna5]]</f>
        <v>01/2026</v>
      </c>
      <c r="R1797" s="10" t="str">
        <f>IF(Tabela2[[#This Row],[Coluna9]]&gt;0,"Entrada","Saída")</f>
        <v>Entrada</v>
      </c>
      <c r="S1797" s="10" t="str">
        <f>Tabela2[[#This Row],[Coluna8]]</f>
        <v>TRANSFERÊNCIA DE EFÍ - THIAGO URQUIZA ADVOGADOS</v>
      </c>
      <c r="T1797" s="10" t="e">
        <f>Tabela2[[#This Row],[Coluna72]]</f>
        <v>#REF!</v>
      </c>
      <c r="U1797" s="10">
        <f>SUM(Tabela2[[#This Row],[Coluna9]],Tabela2[[#This Row],[Coluna10]])</f>
        <v>500</v>
      </c>
      <c r="V1797" s="2" t="str">
        <f>Tabela2[[#This Row],[Coluna4]]</f>
        <v>15/01/2026</v>
      </c>
      <c r="W1797" s="2" t="str">
        <f>Tabela2[[#This Row],[Coluna6]]</f>
        <v>15/01/2026</v>
      </c>
    </row>
    <row r="1798" spans="2:23" hidden="1" x14ac:dyDescent="0.2">
      <c r="B1798" t="s">
        <v>27</v>
      </c>
      <c r="D1798" t="s">
        <v>13</v>
      </c>
      <c r="E1798" s="8" t="s">
        <v>89</v>
      </c>
      <c r="F1798" t="s">
        <v>84</v>
      </c>
      <c r="G1798" s="8" t="s">
        <v>89</v>
      </c>
      <c r="H1798" t="s">
        <v>22</v>
      </c>
      <c r="I1798" t="e">
        <f>VLOOKUP(Tabela2[[#This Row],[Coluna7]],[1]!Tabela1[#All],2,0)</f>
        <v>#REF!</v>
      </c>
      <c r="J1798" t="s">
        <v>749</v>
      </c>
      <c r="L1798">
        <v>2035.63</v>
      </c>
      <c r="Q1798" s="10" t="str">
        <f>Tabela2[[#This Row],[Coluna5]]</f>
        <v>01/2026</v>
      </c>
      <c r="R1798" s="10" t="str">
        <f>IF(Tabela2[[#This Row],[Coluna9]]&gt;0,"Entrada","Saída")</f>
        <v>Saída</v>
      </c>
      <c r="S1798" s="10" t="str">
        <f>Tabela2[[#This Row],[Coluna8]]</f>
        <v>PAGAMENTO DE FATURA - CARTÃO DE CRÉDITO BRADESCO</v>
      </c>
      <c r="T1798" s="10" t="e">
        <f>Tabela2[[#This Row],[Coluna72]]</f>
        <v>#REF!</v>
      </c>
      <c r="U1798" s="10">
        <f>SUM(Tabela2[[#This Row],[Coluna9]],Tabela2[[#This Row],[Coluna10]])</f>
        <v>2035.63</v>
      </c>
      <c r="V1798" s="2" t="str">
        <f>Tabela2[[#This Row],[Coluna4]]</f>
        <v>15/01/2026</v>
      </c>
      <c r="W1798" s="2" t="str">
        <f>Tabela2[[#This Row],[Coluna6]]</f>
        <v>15/01/2026</v>
      </c>
    </row>
    <row r="1799" spans="2:23" hidden="1" x14ac:dyDescent="0.2">
      <c r="B1799" t="s">
        <v>18</v>
      </c>
      <c r="D1799" t="s">
        <v>13</v>
      </c>
      <c r="E1799" s="8" t="s">
        <v>90</v>
      </c>
      <c r="F1799" t="s">
        <v>84</v>
      </c>
      <c r="G1799" s="8" t="s">
        <v>90</v>
      </c>
      <c r="H1799" t="s">
        <v>16</v>
      </c>
      <c r="I1799" t="e">
        <f>VLOOKUP(Tabela2[[#This Row],[Coluna7]],[1]!Tabela1[#All],2,0)</f>
        <v>#REF!</v>
      </c>
      <c r="J1799" t="s">
        <v>81</v>
      </c>
      <c r="L1799">
        <v>500</v>
      </c>
      <c r="Q1799" s="10" t="str">
        <f>Tabela2[[#This Row],[Coluna5]]</f>
        <v>01/2026</v>
      </c>
      <c r="R1799" s="10" t="str">
        <f>IF(Tabela2[[#This Row],[Coluna9]]&gt;0,"Entrada","Saída")</f>
        <v>Saída</v>
      </c>
      <c r="S1799" s="10" t="str">
        <f>Tabela2[[#This Row],[Coluna8]]</f>
        <v>TRANSFERÊNCIA PARA INVESTIMENTOS</v>
      </c>
      <c r="T1799" s="10" t="e">
        <f>Tabela2[[#This Row],[Coluna72]]</f>
        <v>#REF!</v>
      </c>
      <c r="U1799" s="10">
        <f>SUM(Tabela2[[#This Row],[Coluna9]],Tabela2[[#This Row],[Coluna10]])</f>
        <v>500</v>
      </c>
      <c r="V1799" s="2" t="str">
        <f>Tabela2[[#This Row],[Coluna4]]</f>
        <v>19/01/2026</v>
      </c>
      <c r="W1799" s="2" t="str">
        <f>Tabela2[[#This Row],[Coluna6]]</f>
        <v>19/01/2026</v>
      </c>
    </row>
    <row r="1800" spans="2:23" hidden="1" x14ac:dyDescent="0.2">
      <c r="B1800" t="s">
        <v>82</v>
      </c>
      <c r="D1800" t="s">
        <v>19</v>
      </c>
      <c r="E1800" s="8" t="s">
        <v>90</v>
      </c>
      <c r="F1800" t="s">
        <v>84</v>
      </c>
      <c r="G1800" s="8" t="s">
        <v>90</v>
      </c>
      <c r="H1800" t="s">
        <v>16</v>
      </c>
      <c r="I1800" t="e">
        <f>VLOOKUP(Tabela2[[#This Row],[Coluna7]],[1]!Tabela1[#All],2,0)</f>
        <v>#REF!</v>
      </c>
      <c r="J1800" t="s">
        <v>40</v>
      </c>
      <c r="K1800">
        <v>500</v>
      </c>
      <c r="Q1800" s="10" t="str">
        <f>Tabela2[[#This Row],[Coluna5]]</f>
        <v>01/2026</v>
      </c>
      <c r="R1800" s="10" t="str">
        <f>IF(Tabela2[[#This Row],[Coluna9]]&gt;0,"Entrada","Saída")</f>
        <v>Entrada</v>
      </c>
      <c r="S1800" s="10" t="str">
        <f>Tabela2[[#This Row],[Coluna8]]</f>
        <v>TRANSFERÊNCIA DE EFÍ - THIAGO URQUIZA ADVOGADOS</v>
      </c>
      <c r="T1800" s="10" t="e">
        <f>Tabela2[[#This Row],[Coluna72]]</f>
        <v>#REF!</v>
      </c>
      <c r="U1800" s="10">
        <f>SUM(Tabela2[[#This Row],[Coluna9]],Tabela2[[#This Row],[Coluna10]])</f>
        <v>500</v>
      </c>
      <c r="V1800" s="2" t="str">
        <f>Tabela2[[#This Row],[Coluna4]]</f>
        <v>19/01/2026</v>
      </c>
      <c r="W1800" s="2" t="str">
        <f>Tabela2[[#This Row],[Coluna6]]</f>
        <v>19/01/2026</v>
      </c>
    </row>
    <row r="1801" spans="2:23" hidden="1" x14ac:dyDescent="0.2">
      <c r="B1801" t="s">
        <v>27</v>
      </c>
      <c r="D1801" t="s">
        <v>13</v>
      </c>
      <c r="E1801" s="8" t="s">
        <v>91</v>
      </c>
      <c r="F1801" t="s">
        <v>84</v>
      </c>
      <c r="G1801" s="8" t="s">
        <v>91</v>
      </c>
      <c r="H1801" t="s">
        <v>16</v>
      </c>
      <c r="I1801" t="e">
        <f>VLOOKUP(Tabela2[[#This Row],[Coluna7]],[1]!Tabela1[#All],2,0)</f>
        <v>#REF!</v>
      </c>
      <c r="J1801" t="s">
        <v>17</v>
      </c>
      <c r="L1801">
        <v>15000</v>
      </c>
      <c r="Q1801" s="10" t="str">
        <f>Tabela2[[#This Row],[Coluna5]]</f>
        <v>01/2026</v>
      </c>
      <c r="R1801" s="10" t="str">
        <f>IF(Tabela2[[#This Row],[Coluna9]]&gt;0,"Entrada","Saída")</f>
        <v>Saída</v>
      </c>
      <c r="S1801" s="10" t="str">
        <f>Tabela2[[#This Row],[Coluna8]]</f>
        <v>TRANSFERÊNCIA PARA EFÍ - THIAGO URQUIZA ADVOGADOS</v>
      </c>
      <c r="T1801" s="10" t="e">
        <f>Tabela2[[#This Row],[Coluna72]]</f>
        <v>#REF!</v>
      </c>
      <c r="U1801" s="10">
        <f>SUM(Tabela2[[#This Row],[Coluna9]],Tabela2[[#This Row],[Coluna10]])</f>
        <v>15000</v>
      </c>
      <c r="V1801" s="2" t="str">
        <f>Tabela2[[#This Row],[Coluna4]]</f>
        <v>20/01/2026</v>
      </c>
      <c r="W1801" s="2" t="str">
        <f>Tabela2[[#This Row],[Coluna6]]</f>
        <v>20/01/2026</v>
      </c>
    </row>
    <row r="1802" spans="2:23" hidden="1" x14ac:dyDescent="0.2">
      <c r="B1802" t="s">
        <v>18</v>
      </c>
      <c r="D1802" t="s">
        <v>19</v>
      </c>
      <c r="E1802" s="8" t="s">
        <v>91</v>
      </c>
      <c r="F1802" t="s">
        <v>84</v>
      </c>
      <c r="G1802" s="8" t="s">
        <v>91</v>
      </c>
      <c r="H1802" t="s">
        <v>16</v>
      </c>
      <c r="I1802" t="e">
        <f>VLOOKUP(Tabela2[[#This Row],[Coluna7]],[1]!Tabela1[#All],2,0)</f>
        <v>#REF!</v>
      </c>
      <c r="J1802" t="s">
        <v>32</v>
      </c>
      <c r="K1802">
        <v>15000</v>
      </c>
      <c r="Q1802" s="10" t="str">
        <f>Tabela2[[#This Row],[Coluna5]]</f>
        <v>01/2026</v>
      </c>
      <c r="R1802" s="10" t="str">
        <f>IF(Tabela2[[#This Row],[Coluna9]]&gt;0,"Entrada","Saída")</f>
        <v>Entrada</v>
      </c>
      <c r="S1802" s="10" t="str">
        <f>Tabela2[[#This Row],[Coluna8]]</f>
        <v>TRANSFERÊNCIA DE BRADESCO</v>
      </c>
      <c r="T1802" s="10" t="e">
        <f>Tabela2[[#This Row],[Coluna72]]</f>
        <v>#REF!</v>
      </c>
      <c r="U1802" s="10">
        <f>SUM(Tabela2[[#This Row],[Coluna9]],Tabela2[[#This Row],[Coluna10]])</f>
        <v>15000</v>
      </c>
      <c r="V1802" s="2" t="str">
        <f>Tabela2[[#This Row],[Coluna4]]</f>
        <v>20/01/2026</v>
      </c>
      <c r="W1802" s="2" t="str">
        <f>Tabela2[[#This Row],[Coluna6]]</f>
        <v>20/01/2026</v>
      </c>
    </row>
    <row r="1803" spans="2:23" hidden="1" x14ac:dyDescent="0.2">
      <c r="B1803" t="s">
        <v>18</v>
      </c>
      <c r="D1803" t="s">
        <v>13</v>
      </c>
      <c r="E1803" s="8" t="s">
        <v>91</v>
      </c>
      <c r="F1803" t="s">
        <v>84</v>
      </c>
      <c r="G1803" s="8" t="s">
        <v>91</v>
      </c>
      <c r="H1803" t="s">
        <v>16</v>
      </c>
      <c r="I1803" t="e">
        <f>VLOOKUP(Tabela2[[#This Row],[Coluna7]],[1]!Tabela1[#All],2,0)</f>
        <v>#REF!</v>
      </c>
      <c r="J1803" t="s">
        <v>81</v>
      </c>
      <c r="L1803">
        <v>800</v>
      </c>
      <c r="Q1803" s="10" t="str">
        <f>Tabela2[[#This Row],[Coluna5]]</f>
        <v>01/2026</v>
      </c>
      <c r="R1803" s="10" t="str">
        <f>IF(Tabela2[[#This Row],[Coluna9]]&gt;0,"Entrada","Saída")</f>
        <v>Saída</v>
      </c>
      <c r="S1803" s="10" t="str">
        <f>Tabela2[[#This Row],[Coluna8]]</f>
        <v>TRANSFERÊNCIA PARA INVESTIMENTOS</v>
      </c>
      <c r="T1803" s="10" t="e">
        <f>Tabela2[[#This Row],[Coluna72]]</f>
        <v>#REF!</v>
      </c>
      <c r="U1803" s="10">
        <f>SUM(Tabela2[[#This Row],[Coluna9]],Tabela2[[#This Row],[Coluna10]])</f>
        <v>800</v>
      </c>
      <c r="V1803" s="2" t="str">
        <f>Tabela2[[#This Row],[Coluna4]]</f>
        <v>20/01/2026</v>
      </c>
      <c r="W1803" s="2" t="str">
        <f>Tabela2[[#This Row],[Coluna6]]</f>
        <v>20/01/2026</v>
      </c>
    </row>
    <row r="1804" spans="2:23" hidden="1" x14ac:dyDescent="0.2">
      <c r="B1804" t="s">
        <v>82</v>
      </c>
      <c r="D1804" t="s">
        <v>19</v>
      </c>
      <c r="E1804" s="8" t="s">
        <v>91</v>
      </c>
      <c r="F1804" t="s">
        <v>84</v>
      </c>
      <c r="G1804" s="8" t="s">
        <v>91</v>
      </c>
      <c r="H1804" t="s">
        <v>16</v>
      </c>
      <c r="I1804" t="e">
        <f>VLOOKUP(Tabela2[[#This Row],[Coluna7]],[1]!Tabela1[#All],2,0)</f>
        <v>#REF!</v>
      </c>
      <c r="J1804" t="s">
        <v>40</v>
      </c>
      <c r="K1804">
        <v>800</v>
      </c>
      <c r="Q1804" s="10" t="str">
        <f>Tabela2[[#This Row],[Coluna5]]</f>
        <v>01/2026</v>
      </c>
      <c r="R1804" s="10" t="str">
        <f>IF(Tabela2[[#This Row],[Coluna9]]&gt;0,"Entrada","Saída")</f>
        <v>Entrada</v>
      </c>
      <c r="S1804" s="10" t="str">
        <f>Tabela2[[#This Row],[Coluna8]]</f>
        <v>TRANSFERÊNCIA DE EFÍ - THIAGO URQUIZA ADVOGADOS</v>
      </c>
      <c r="T1804" s="10" t="e">
        <f>Tabela2[[#This Row],[Coluna72]]</f>
        <v>#REF!</v>
      </c>
      <c r="U1804" s="10">
        <f>SUM(Tabela2[[#This Row],[Coluna9]],Tabela2[[#This Row],[Coluna10]])</f>
        <v>800</v>
      </c>
      <c r="V1804" s="2" t="str">
        <f>Tabela2[[#This Row],[Coluna4]]</f>
        <v>20/01/2026</v>
      </c>
      <c r="W1804" s="2" t="str">
        <f>Tabela2[[#This Row],[Coluna6]]</f>
        <v>20/01/2026</v>
      </c>
    </row>
    <row r="1805" spans="2:23" hidden="1" x14ac:dyDescent="0.2">
      <c r="B1805" t="s">
        <v>18</v>
      </c>
      <c r="D1805" t="s">
        <v>13</v>
      </c>
      <c r="E1805" s="8" t="s">
        <v>92</v>
      </c>
      <c r="F1805" t="s">
        <v>84</v>
      </c>
      <c r="G1805" s="8" t="s">
        <v>92</v>
      </c>
      <c r="H1805" t="s">
        <v>16</v>
      </c>
      <c r="I1805" t="e">
        <f>VLOOKUP(Tabela2[[#This Row],[Coluna7]],[1]!Tabela1[#All],2,0)</f>
        <v>#REF!</v>
      </c>
      <c r="J1805" t="s">
        <v>81</v>
      </c>
      <c r="L1805">
        <v>600</v>
      </c>
      <c r="Q1805" s="10" t="str">
        <f>Tabela2[[#This Row],[Coluna5]]</f>
        <v>01/2026</v>
      </c>
      <c r="R1805" s="10" t="str">
        <f>IF(Tabela2[[#This Row],[Coluna9]]&gt;0,"Entrada","Saída")</f>
        <v>Saída</v>
      </c>
      <c r="S1805" s="10" t="str">
        <f>Tabela2[[#This Row],[Coluna8]]</f>
        <v>TRANSFERÊNCIA PARA INVESTIMENTOS</v>
      </c>
      <c r="T1805" s="10" t="e">
        <f>Tabela2[[#This Row],[Coluna72]]</f>
        <v>#REF!</v>
      </c>
      <c r="U1805" s="10">
        <f>SUM(Tabela2[[#This Row],[Coluna9]],Tabela2[[#This Row],[Coluna10]])</f>
        <v>600</v>
      </c>
      <c r="V1805" s="2" t="str">
        <f>Tabela2[[#This Row],[Coluna4]]</f>
        <v>22/01/2026</v>
      </c>
      <c r="W1805" s="2" t="str">
        <f>Tabela2[[#This Row],[Coluna6]]</f>
        <v>22/01/2026</v>
      </c>
    </row>
    <row r="1806" spans="2:23" hidden="1" x14ac:dyDescent="0.2">
      <c r="B1806" t="s">
        <v>82</v>
      </c>
      <c r="D1806" t="s">
        <v>19</v>
      </c>
      <c r="E1806" s="8" t="s">
        <v>92</v>
      </c>
      <c r="F1806" t="s">
        <v>84</v>
      </c>
      <c r="G1806" s="8" t="s">
        <v>92</v>
      </c>
      <c r="H1806" t="s">
        <v>16</v>
      </c>
      <c r="I1806" t="e">
        <f>VLOOKUP(Tabela2[[#This Row],[Coluna7]],[1]!Tabela1[#All],2,0)</f>
        <v>#REF!</v>
      </c>
      <c r="J1806" t="s">
        <v>40</v>
      </c>
      <c r="K1806">
        <v>600</v>
      </c>
      <c r="Q1806" s="10" t="str">
        <f>Tabela2[[#This Row],[Coluna5]]</f>
        <v>01/2026</v>
      </c>
      <c r="R1806" s="10" t="str">
        <f>IF(Tabela2[[#This Row],[Coluna9]]&gt;0,"Entrada","Saída")</f>
        <v>Entrada</v>
      </c>
      <c r="S1806" s="10" t="str">
        <f>Tabela2[[#This Row],[Coluna8]]</f>
        <v>TRANSFERÊNCIA DE EFÍ - THIAGO URQUIZA ADVOGADOS</v>
      </c>
      <c r="T1806" s="10" t="e">
        <f>Tabela2[[#This Row],[Coluna72]]</f>
        <v>#REF!</v>
      </c>
      <c r="U1806" s="10">
        <f>SUM(Tabela2[[#This Row],[Coluna9]],Tabela2[[#This Row],[Coluna10]])</f>
        <v>600</v>
      </c>
      <c r="V1806" s="2" t="str">
        <f>Tabela2[[#This Row],[Coluna4]]</f>
        <v>22/01/2026</v>
      </c>
      <c r="W1806" s="2" t="str">
        <f>Tabela2[[#This Row],[Coluna6]]</f>
        <v>22/01/2026</v>
      </c>
    </row>
    <row r="1807" spans="2:23" hidden="1" x14ac:dyDescent="0.2">
      <c r="B1807" t="s">
        <v>27</v>
      </c>
      <c r="D1807" t="s">
        <v>13</v>
      </c>
      <c r="E1807" s="8" t="s">
        <v>93</v>
      </c>
      <c r="F1807" t="s">
        <v>84</v>
      </c>
      <c r="G1807" s="8" t="s">
        <v>93</v>
      </c>
      <c r="H1807" t="s">
        <v>16</v>
      </c>
      <c r="I1807" t="e">
        <f>VLOOKUP(Tabela2[[#This Row],[Coluna7]],[1]!Tabela1[#All],2,0)</f>
        <v>#REF!</v>
      </c>
      <c r="J1807" t="s">
        <v>17</v>
      </c>
      <c r="L1807">
        <v>30000</v>
      </c>
      <c r="Q1807" s="10" t="str">
        <f>Tabela2[[#This Row],[Coluna5]]</f>
        <v>01/2026</v>
      </c>
      <c r="R1807" s="10" t="str">
        <f>IF(Tabela2[[#This Row],[Coluna9]]&gt;0,"Entrada","Saída")</f>
        <v>Saída</v>
      </c>
      <c r="S1807" s="10" t="str">
        <f>Tabela2[[#This Row],[Coluna8]]</f>
        <v>TRANSFERÊNCIA PARA EFÍ - THIAGO URQUIZA ADVOGADOS</v>
      </c>
      <c r="T1807" s="10" t="e">
        <f>Tabela2[[#This Row],[Coluna72]]</f>
        <v>#REF!</v>
      </c>
      <c r="U1807" s="10">
        <f>SUM(Tabela2[[#This Row],[Coluna9]],Tabela2[[#This Row],[Coluna10]])</f>
        <v>30000</v>
      </c>
      <c r="V1807" s="2" t="str">
        <f>Tabela2[[#This Row],[Coluna4]]</f>
        <v>26/01/2026</v>
      </c>
      <c r="W1807" s="2" t="str">
        <f>Tabela2[[#This Row],[Coluna6]]</f>
        <v>26/01/2026</v>
      </c>
    </row>
    <row r="1808" spans="2:23" hidden="1" x14ac:dyDescent="0.2">
      <c r="B1808" t="s">
        <v>18</v>
      </c>
      <c r="D1808" t="s">
        <v>19</v>
      </c>
      <c r="E1808" s="8" t="s">
        <v>93</v>
      </c>
      <c r="F1808" t="s">
        <v>84</v>
      </c>
      <c r="G1808" s="8" t="s">
        <v>93</v>
      </c>
      <c r="H1808" t="s">
        <v>16</v>
      </c>
      <c r="I1808" t="e">
        <f>VLOOKUP(Tabela2[[#This Row],[Coluna7]],[1]!Tabela1[#All],2,0)</f>
        <v>#REF!</v>
      </c>
      <c r="J1808" t="s">
        <v>32</v>
      </c>
      <c r="K1808">
        <v>30000</v>
      </c>
      <c r="Q1808" s="10" t="str">
        <f>Tabela2[[#This Row],[Coluna5]]</f>
        <v>01/2026</v>
      </c>
      <c r="R1808" s="10" t="str">
        <f>IF(Tabela2[[#This Row],[Coluna9]]&gt;0,"Entrada","Saída")</f>
        <v>Entrada</v>
      </c>
      <c r="S1808" s="10" t="str">
        <f>Tabela2[[#This Row],[Coluna8]]</f>
        <v>TRANSFERÊNCIA DE BRADESCO</v>
      </c>
      <c r="T1808" s="10" t="e">
        <f>Tabela2[[#This Row],[Coluna72]]</f>
        <v>#REF!</v>
      </c>
      <c r="U1808" s="10">
        <f>SUM(Tabela2[[#This Row],[Coluna9]],Tabela2[[#This Row],[Coluna10]])</f>
        <v>30000</v>
      </c>
      <c r="V1808" s="2" t="str">
        <f>Tabela2[[#This Row],[Coluna4]]</f>
        <v>26/01/2026</v>
      </c>
      <c r="W1808" s="2" t="str">
        <f>Tabela2[[#This Row],[Coluna6]]</f>
        <v>26/01/2026</v>
      </c>
    </row>
    <row r="1809" spans="2:23" hidden="1" x14ac:dyDescent="0.2">
      <c r="B1809" t="s">
        <v>18</v>
      </c>
      <c r="D1809" t="s">
        <v>13</v>
      </c>
      <c r="E1809" s="8" t="s">
        <v>94</v>
      </c>
      <c r="F1809" t="s">
        <v>84</v>
      </c>
      <c r="G1809" s="8" t="s">
        <v>94</v>
      </c>
      <c r="H1809" t="s">
        <v>16</v>
      </c>
      <c r="I1809" t="e">
        <f>VLOOKUP(Tabela2[[#This Row],[Coluna7]],[1]!Tabela1[#All],2,0)</f>
        <v>#REF!</v>
      </c>
      <c r="J1809" t="s">
        <v>81</v>
      </c>
      <c r="L1809">
        <v>500</v>
      </c>
      <c r="Q1809" s="10" t="str">
        <f>Tabela2[[#This Row],[Coluna5]]</f>
        <v>01/2026</v>
      </c>
      <c r="R1809" s="10" t="str">
        <f>IF(Tabela2[[#This Row],[Coluna9]]&gt;0,"Entrada","Saída")</f>
        <v>Saída</v>
      </c>
      <c r="S1809" s="10" t="str">
        <f>Tabela2[[#This Row],[Coluna8]]</f>
        <v>TRANSFERÊNCIA PARA INVESTIMENTOS</v>
      </c>
      <c r="T1809" s="10" t="e">
        <f>Tabela2[[#This Row],[Coluna72]]</f>
        <v>#REF!</v>
      </c>
      <c r="U1809" s="10">
        <f>SUM(Tabela2[[#This Row],[Coluna9]],Tabela2[[#This Row],[Coluna10]])</f>
        <v>500</v>
      </c>
      <c r="V1809" s="2" t="str">
        <f>Tabela2[[#This Row],[Coluna4]]</f>
        <v>29/01/2026</v>
      </c>
      <c r="W1809" s="2" t="str">
        <f>Tabela2[[#This Row],[Coluna6]]</f>
        <v>29/01/2026</v>
      </c>
    </row>
    <row r="1810" spans="2:23" hidden="1" x14ac:dyDescent="0.2">
      <c r="B1810" t="s">
        <v>82</v>
      </c>
      <c r="D1810" t="s">
        <v>19</v>
      </c>
      <c r="E1810" s="8" t="s">
        <v>94</v>
      </c>
      <c r="F1810" t="s">
        <v>84</v>
      </c>
      <c r="G1810" s="8" t="s">
        <v>94</v>
      </c>
      <c r="H1810" t="s">
        <v>16</v>
      </c>
      <c r="I1810" t="e">
        <f>VLOOKUP(Tabela2[[#This Row],[Coluna7]],[1]!Tabela1[#All],2,0)</f>
        <v>#REF!</v>
      </c>
      <c r="J1810" t="s">
        <v>40</v>
      </c>
      <c r="K1810">
        <v>500</v>
      </c>
      <c r="Q1810" s="10" t="str">
        <f>Tabela2[[#This Row],[Coluna5]]</f>
        <v>01/2026</v>
      </c>
      <c r="R1810" s="10" t="str">
        <f>IF(Tabela2[[#This Row],[Coluna9]]&gt;0,"Entrada","Saída")</f>
        <v>Entrada</v>
      </c>
      <c r="S1810" s="10" t="str">
        <f>Tabela2[[#This Row],[Coluna8]]</f>
        <v>TRANSFERÊNCIA DE EFÍ - THIAGO URQUIZA ADVOGADOS</v>
      </c>
      <c r="T1810" s="10" t="e">
        <f>Tabela2[[#This Row],[Coluna72]]</f>
        <v>#REF!</v>
      </c>
      <c r="U1810" s="10">
        <f>SUM(Tabela2[[#This Row],[Coluna9]],Tabela2[[#This Row],[Coluna10]])</f>
        <v>500</v>
      </c>
      <c r="V1810" s="2" t="str">
        <f>Tabela2[[#This Row],[Coluna4]]</f>
        <v>29/01/2026</v>
      </c>
      <c r="W1810" s="2" t="str">
        <f>Tabela2[[#This Row],[Coluna6]]</f>
        <v>29/01/2026</v>
      </c>
    </row>
    <row r="1811" spans="2:23" hidden="1" x14ac:dyDescent="0.2">
      <c r="B1811" t="s">
        <v>18</v>
      </c>
      <c r="D1811" t="s">
        <v>13</v>
      </c>
      <c r="E1811" s="8" t="s">
        <v>361</v>
      </c>
      <c r="F1811" t="s">
        <v>750</v>
      </c>
      <c r="G1811" s="8" t="s">
        <v>751</v>
      </c>
      <c r="H1811" t="s">
        <v>22</v>
      </c>
      <c r="I1811" t="e">
        <f>VLOOKUP(Tabela2[[#This Row],[Coluna7]],[1]!Tabela1[#All],2,0)</f>
        <v>#REF!</v>
      </c>
      <c r="J1811" t="s">
        <v>23</v>
      </c>
      <c r="L1811">
        <v>112.79</v>
      </c>
      <c r="Q1811" s="10" t="str">
        <f>Tabela2[[#This Row],[Coluna5]]</f>
        <v>02/2026</v>
      </c>
      <c r="R1811" s="10" t="str">
        <f>IF(Tabela2[[#This Row],[Coluna9]]&gt;0,"Entrada","Saída")</f>
        <v>Saída</v>
      </c>
      <c r="S1811" s="10" t="str">
        <f>Tabela2[[#This Row],[Coluna8]]</f>
        <v>PAGAMENTO DE FATURA - INTER</v>
      </c>
      <c r="T1811" s="10" t="e">
        <f>Tabela2[[#This Row],[Coluna72]]</f>
        <v>#REF!</v>
      </c>
      <c r="U1811" s="10">
        <f>SUM(Tabela2[[#This Row],[Coluna9]],Tabela2[[#This Row],[Coluna10]])</f>
        <v>112.79</v>
      </c>
      <c r="V1811" s="2" t="str">
        <f>Tabela2[[#This Row],[Coluna4]]</f>
        <v>06/02/2026</v>
      </c>
      <c r="W1811" s="2" t="str">
        <f>Tabela2[[#This Row],[Coluna6]]</f>
        <v>09/02/2026</v>
      </c>
    </row>
    <row r="1812" spans="2:23" hidden="1" x14ac:dyDescent="0.2">
      <c r="B1812" t="s">
        <v>27</v>
      </c>
      <c r="D1812" t="s">
        <v>13</v>
      </c>
      <c r="E1812" s="8" t="s">
        <v>752</v>
      </c>
      <c r="F1812" t="s">
        <v>750</v>
      </c>
      <c r="G1812" s="8" t="s">
        <v>751</v>
      </c>
      <c r="H1812" t="s">
        <v>22</v>
      </c>
      <c r="I1812" t="e">
        <f>VLOOKUP(Tabela2[[#This Row],[Coluna7]],[1]!Tabela1[#All],2,0)</f>
        <v>#REF!</v>
      </c>
      <c r="J1812" t="s">
        <v>25</v>
      </c>
      <c r="L1812">
        <v>805.56</v>
      </c>
      <c r="Q1812" s="10" t="str">
        <f>Tabela2[[#This Row],[Coluna5]]</f>
        <v>02/2026</v>
      </c>
      <c r="R1812" s="10" t="str">
        <f>IF(Tabela2[[#This Row],[Coluna9]]&gt;0,"Entrada","Saída")</f>
        <v>Saída</v>
      </c>
      <c r="S1812" s="10" t="str">
        <f>Tabela2[[#This Row],[Coluna8]]</f>
        <v>PAGAMENTO DE FATURA - NUBANK PK</v>
      </c>
      <c r="T1812" s="10" t="e">
        <f>Tabela2[[#This Row],[Coluna72]]</f>
        <v>#REF!</v>
      </c>
      <c r="U1812" s="10">
        <f>SUM(Tabela2[[#This Row],[Coluna9]],Tabela2[[#This Row],[Coluna10]])</f>
        <v>805.56</v>
      </c>
      <c r="V1812" s="2" t="str">
        <f>Tabela2[[#This Row],[Coluna4]]</f>
        <v>08/02/2026</v>
      </c>
      <c r="W1812" s="2" t="str">
        <f>Tabela2[[#This Row],[Coluna6]]</f>
        <v>09/02/2026</v>
      </c>
    </row>
    <row r="1813" spans="2:23" hidden="1" x14ac:dyDescent="0.2">
      <c r="B1813" t="s">
        <v>27</v>
      </c>
      <c r="D1813" t="s">
        <v>13</v>
      </c>
      <c r="E1813" s="8" t="s">
        <v>752</v>
      </c>
      <c r="F1813" t="s">
        <v>750</v>
      </c>
      <c r="G1813" s="8" t="s">
        <v>361</v>
      </c>
      <c r="H1813" t="s">
        <v>22</v>
      </c>
      <c r="I1813" t="e">
        <f>VLOOKUP(Tabela2[[#This Row],[Coluna7]],[1]!Tabela1[#All],2,0)</f>
        <v>#REF!</v>
      </c>
      <c r="J1813" t="s">
        <v>26</v>
      </c>
      <c r="L1813">
        <v>6352.69</v>
      </c>
      <c r="Q1813" s="10" t="str">
        <f>Tabela2[[#This Row],[Coluna5]]</f>
        <v>02/2026</v>
      </c>
      <c r="R1813" s="10" t="str">
        <f>IF(Tabela2[[#This Row],[Coluna9]]&gt;0,"Entrada","Saída")</f>
        <v>Saída</v>
      </c>
      <c r="S1813" s="10" t="str">
        <f>Tabela2[[#This Row],[Coluna8]]</f>
        <v>PAGAMENTO DE FATURA - SANTANDER</v>
      </c>
      <c r="T1813" s="10" t="e">
        <f>Tabela2[[#This Row],[Coluna72]]</f>
        <v>#REF!</v>
      </c>
      <c r="U1813" s="10">
        <f>SUM(Tabela2[[#This Row],[Coluna9]],Tabela2[[#This Row],[Coluna10]])</f>
        <v>6352.69</v>
      </c>
      <c r="V1813" s="2" t="str">
        <f>Tabela2[[#This Row],[Coluna4]]</f>
        <v>08/02/2026</v>
      </c>
      <c r="W1813" s="2" t="str">
        <f>Tabela2[[#This Row],[Coluna6]]</f>
        <v>06/02/2026</v>
      </c>
    </row>
    <row r="1814" spans="2:23" hidden="1" x14ac:dyDescent="0.2">
      <c r="B1814" t="s">
        <v>18</v>
      </c>
      <c r="D1814" t="s">
        <v>13</v>
      </c>
      <c r="E1814" s="8" t="s">
        <v>753</v>
      </c>
      <c r="F1814" t="s">
        <v>750</v>
      </c>
      <c r="G1814" s="8" t="s">
        <v>754</v>
      </c>
      <c r="H1814" t="s">
        <v>22</v>
      </c>
      <c r="I1814" t="e">
        <f>VLOOKUP(Tabela2[[#This Row],[Coluna7]],[1]!Tabela1[#All],2,0)</f>
        <v>#REF!</v>
      </c>
      <c r="J1814" t="s">
        <v>53</v>
      </c>
      <c r="L1814">
        <v>3397.95</v>
      </c>
      <c r="Q1814" s="10" t="str">
        <f>Tabela2[[#This Row],[Coluna5]]</f>
        <v>02/2026</v>
      </c>
      <c r="R1814" s="10" t="str">
        <f>IF(Tabela2[[#This Row],[Coluna9]]&gt;0,"Entrada","Saída")</f>
        <v>Saída</v>
      </c>
      <c r="S1814" s="10" t="str">
        <f>Tabela2[[#This Row],[Coluna8]]</f>
        <v>PAGAMENTO DE FATURA - CARTÃO EFÍ</v>
      </c>
      <c r="T1814" s="10" t="e">
        <f>Tabela2[[#This Row],[Coluna72]]</f>
        <v>#REF!</v>
      </c>
      <c r="U1814" s="10">
        <f>SUM(Tabela2[[#This Row],[Coluna9]],Tabela2[[#This Row],[Coluna10]])</f>
        <v>3397.95</v>
      </c>
      <c r="V1814" s="2" t="str">
        <f>Tabela2[[#This Row],[Coluna4]]</f>
        <v>13/02/2026</v>
      </c>
      <c r="W1814" s="2" t="str">
        <f>Tabela2[[#This Row],[Coluna6]]</f>
        <v>04/02/2026</v>
      </c>
    </row>
    <row r="1815" spans="2:23" hidden="1" x14ac:dyDescent="0.2">
      <c r="B1815" t="s">
        <v>27</v>
      </c>
      <c r="D1815" t="s">
        <v>13</v>
      </c>
      <c r="E1815" s="8" t="s">
        <v>691</v>
      </c>
      <c r="F1815" t="s">
        <v>750</v>
      </c>
      <c r="G1815" s="8" t="s">
        <v>755</v>
      </c>
      <c r="H1815" t="s">
        <v>22</v>
      </c>
      <c r="I1815" t="e">
        <f>VLOOKUP(Tabela2[[#This Row],[Coluna7]],[1]!Tabela1[#All],2,0)</f>
        <v>#REF!</v>
      </c>
      <c r="J1815" t="s">
        <v>30</v>
      </c>
      <c r="L1815">
        <v>206.8</v>
      </c>
      <c r="Q1815" s="10" t="str">
        <f>Tabela2[[#This Row],[Coluna5]]</f>
        <v>02/2026</v>
      </c>
      <c r="R1815" s="10" t="str">
        <f>IF(Tabela2[[#This Row],[Coluna9]]&gt;0,"Entrada","Saída")</f>
        <v>Saída</v>
      </c>
      <c r="S1815" s="10" t="str">
        <f>Tabela2[[#This Row],[Coluna8]]</f>
        <v>PAGAMENTO DE FATURA - HIPERCARD</v>
      </c>
      <c r="T1815" s="10" t="e">
        <f>Tabela2[[#This Row],[Coluna72]]</f>
        <v>#REF!</v>
      </c>
      <c r="U1815" s="10">
        <f>SUM(Tabela2[[#This Row],[Coluna9]],Tabela2[[#This Row],[Coluna10]])</f>
        <v>206.8</v>
      </c>
      <c r="V1815" s="2" t="str">
        <f>Tabela2[[#This Row],[Coluna4]]</f>
        <v>15/02/2026</v>
      </c>
      <c r="W1815" s="2" t="str">
        <f>Tabela2[[#This Row],[Coluna6]]</f>
        <v>18/02/2026</v>
      </c>
    </row>
    <row r="1816" spans="2:23" hidden="1" x14ac:dyDescent="0.2">
      <c r="B1816" t="s">
        <v>27</v>
      </c>
      <c r="D1816" t="s">
        <v>13</v>
      </c>
      <c r="E1816" s="8" t="s">
        <v>691</v>
      </c>
      <c r="F1816" t="s">
        <v>750</v>
      </c>
      <c r="G1816" s="8" t="s">
        <v>755</v>
      </c>
      <c r="H1816" t="s">
        <v>22</v>
      </c>
      <c r="I1816" t="e">
        <f>VLOOKUP(Tabela2[[#This Row],[Coluna7]],[1]!Tabela1[#All],2,0)</f>
        <v>#REF!</v>
      </c>
      <c r="J1816" t="s">
        <v>749</v>
      </c>
      <c r="L1816">
        <v>2940.95</v>
      </c>
      <c r="Q1816" s="10" t="str">
        <f>Tabela2[[#This Row],[Coluna5]]</f>
        <v>02/2026</v>
      </c>
      <c r="R1816" s="10" t="str">
        <f>IF(Tabela2[[#This Row],[Coluna9]]&gt;0,"Entrada","Saída")</f>
        <v>Saída</v>
      </c>
      <c r="S1816" s="10" t="str">
        <f>Tabela2[[#This Row],[Coluna8]]</f>
        <v>PAGAMENTO DE FATURA - CARTÃO DE CRÉDITO BRADESCO</v>
      </c>
      <c r="T1816" s="10" t="e">
        <f>Tabela2[[#This Row],[Coluna72]]</f>
        <v>#REF!</v>
      </c>
      <c r="U1816" s="10">
        <f>SUM(Tabela2[[#This Row],[Coluna9]],Tabela2[[#This Row],[Coluna10]])</f>
        <v>2940.95</v>
      </c>
      <c r="V1816" s="2" t="str">
        <f>Tabela2[[#This Row],[Coluna4]]</f>
        <v>15/02/2026</v>
      </c>
      <c r="W1816" s="2" t="str">
        <f>Tabela2[[#This Row],[Coluna6]]</f>
        <v>18/02/2026</v>
      </c>
    </row>
    <row r="1817" spans="2:23" hidden="1" x14ac:dyDescent="0.2">
      <c r="B1817" t="s">
        <v>27</v>
      </c>
      <c r="D1817" t="s">
        <v>13</v>
      </c>
      <c r="E1817" s="8" t="s">
        <v>755</v>
      </c>
      <c r="F1817" t="s">
        <v>750</v>
      </c>
      <c r="G1817" s="8" t="s">
        <v>755</v>
      </c>
      <c r="H1817" t="s">
        <v>16</v>
      </c>
      <c r="I1817" t="e">
        <f>VLOOKUP(Tabela2[[#This Row],[Coluna7]],[1]!Tabela1[#All],2,0)</f>
        <v>#REF!</v>
      </c>
      <c r="J1817" t="s">
        <v>17</v>
      </c>
      <c r="L1817">
        <v>20000</v>
      </c>
      <c r="Q1817" s="10" t="str">
        <f>Tabela2[[#This Row],[Coluna5]]</f>
        <v>02/2026</v>
      </c>
      <c r="R1817" s="10" t="str">
        <f>IF(Tabela2[[#This Row],[Coluna9]]&gt;0,"Entrada","Saída")</f>
        <v>Saída</v>
      </c>
      <c r="S1817" s="10" t="str">
        <f>Tabela2[[#This Row],[Coluna8]]</f>
        <v>TRANSFERÊNCIA PARA EFÍ - THIAGO URQUIZA ADVOGADOS</v>
      </c>
      <c r="T1817" s="10" t="e">
        <f>Tabela2[[#This Row],[Coluna72]]</f>
        <v>#REF!</v>
      </c>
      <c r="U1817" s="10">
        <f>SUM(Tabela2[[#This Row],[Coluna9]],Tabela2[[#This Row],[Coluna10]])</f>
        <v>20000</v>
      </c>
      <c r="V1817" s="2" t="str">
        <f>Tabela2[[#This Row],[Coluna4]]</f>
        <v>18/02/2026</v>
      </c>
      <c r="W1817" s="2" t="str">
        <f>Tabela2[[#This Row],[Coluna6]]</f>
        <v>18/02/2026</v>
      </c>
    </row>
    <row r="1818" spans="2:23" hidden="1" x14ac:dyDescent="0.2">
      <c r="B1818" t="s">
        <v>18</v>
      </c>
      <c r="D1818" t="s">
        <v>19</v>
      </c>
      <c r="E1818" s="8" t="s">
        <v>755</v>
      </c>
      <c r="F1818" t="s">
        <v>750</v>
      </c>
      <c r="G1818" s="8" t="s">
        <v>755</v>
      </c>
      <c r="H1818" t="s">
        <v>16</v>
      </c>
      <c r="I1818" t="e">
        <f>VLOOKUP(Tabela2[[#This Row],[Coluna7]],[1]!Tabela1[#All],2,0)</f>
        <v>#REF!</v>
      </c>
      <c r="J1818" t="s">
        <v>32</v>
      </c>
      <c r="K1818">
        <v>20000</v>
      </c>
      <c r="Q1818" s="10" t="str">
        <f>Tabela2[[#This Row],[Coluna5]]</f>
        <v>02/2026</v>
      </c>
      <c r="R1818" s="10" t="str">
        <f>IF(Tabela2[[#This Row],[Coluna9]]&gt;0,"Entrada","Saída")</f>
        <v>Entrada</v>
      </c>
      <c r="S1818" s="10" t="str">
        <f>Tabela2[[#This Row],[Coluna8]]</f>
        <v>TRANSFERÊNCIA DE BRADESCO</v>
      </c>
      <c r="T1818" s="10" t="e">
        <f>Tabela2[[#This Row],[Coluna72]]</f>
        <v>#REF!</v>
      </c>
      <c r="U1818" s="10">
        <f>SUM(Tabela2[[#This Row],[Coluna9]],Tabela2[[#This Row],[Coluna10]])</f>
        <v>20000</v>
      </c>
      <c r="V1818" s="2" t="str">
        <f>Tabela2[[#This Row],[Coluna4]]</f>
        <v>18/02/2026</v>
      </c>
      <c r="W1818" s="2" t="str">
        <f>Tabela2[[#This Row],[Coluna6]]</f>
        <v>18/02/2026</v>
      </c>
    </row>
    <row r="1819" spans="2:23" hidden="1" x14ac:dyDescent="0.2">
      <c r="B1819" t="s">
        <v>27</v>
      </c>
      <c r="D1819" t="s">
        <v>13</v>
      </c>
      <c r="E1819" s="8" t="s">
        <v>756</v>
      </c>
      <c r="F1819" t="s">
        <v>750</v>
      </c>
      <c r="G1819" s="8" t="s">
        <v>755</v>
      </c>
      <c r="H1819" t="s">
        <v>22</v>
      </c>
      <c r="I1819" t="e">
        <f>VLOOKUP(Tabela2[[#This Row],[Coluna7]],[1]!Tabela1[#All],2,0)</f>
        <v>#REF!</v>
      </c>
      <c r="J1819" t="s">
        <v>36</v>
      </c>
      <c r="L1819">
        <v>378.26</v>
      </c>
      <c r="Q1819" s="10" t="str">
        <f>Tabela2[[#This Row],[Coluna5]]</f>
        <v>02/2026</v>
      </c>
      <c r="R1819" s="10" t="str">
        <f>IF(Tabela2[[#This Row],[Coluna9]]&gt;0,"Entrada","Saída")</f>
        <v>Saída</v>
      </c>
      <c r="S1819" s="10" t="str">
        <f>Tabela2[[#This Row],[Coluna8]]</f>
        <v>PAGAMENTO DE FATURA - CARREFOUR</v>
      </c>
      <c r="T1819" s="10" t="e">
        <f>Tabela2[[#This Row],[Coluna72]]</f>
        <v>#REF!</v>
      </c>
      <c r="U1819" s="10">
        <f>SUM(Tabela2[[#This Row],[Coluna9]],Tabela2[[#This Row],[Coluna10]])</f>
        <v>378.26</v>
      </c>
      <c r="V1819" s="2" t="str">
        <f>Tabela2[[#This Row],[Coluna4]]</f>
        <v>20/02/2026</v>
      </c>
      <c r="W1819" s="2" t="str">
        <f>Tabela2[[#This Row],[Coluna6]]</f>
        <v>18/02/2026</v>
      </c>
    </row>
    <row r="1820" spans="2:23" hidden="1" x14ac:dyDescent="0.2">
      <c r="B1820" t="s">
        <v>27</v>
      </c>
      <c r="D1820" t="s">
        <v>13</v>
      </c>
      <c r="E1820" s="8" t="s">
        <v>757</v>
      </c>
      <c r="F1820" t="s">
        <v>750</v>
      </c>
      <c r="G1820" s="8" t="s">
        <v>757</v>
      </c>
      <c r="H1820" t="s">
        <v>16</v>
      </c>
      <c r="I1820" t="e">
        <f>VLOOKUP(Tabela2[[#This Row],[Coluna7]],[1]!Tabela1[#All],2,0)</f>
        <v>#REF!</v>
      </c>
      <c r="J1820" t="s">
        <v>17</v>
      </c>
      <c r="L1820">
        <v>15000</v>
      </c>
      <c r="Q1820" s="10" t="str">
        <f>Tabela2[[#This Row],[Coluna5]]</f>
        <v>02/2026</v>
      </c>
      <c r="R1820" s="10" t="str">
        <f>IF(Tabela2[[#This Row],[Coluna9]]&gt;0,"Entrada","Saída")</f>
        <v>Saída</v>
      </c>
      <c r="S1820" s="10" t="str">
        <f>Tabela2[[#This Row],[Coluna8]]</f>
        <v>TRANSFERÊNCIA PARA EFÍ - THIAGO URQUIZA ADVOGADOS</v>
      </c>
      <c r="T1820" s="10" t="e">
        <f>Tabela2[[#This Row],[Coluna72]]</f>
        <v>#REF!</v>
      </c>
      <c r="U1820" s="10">
        <f>SUM(Tabela2[[#This Row],[Coluna9]],Tabela2[[#This Row],[Coluna10]])</f>
        <v>15000</v>
      </c>
      <c r="V1820" s="2" t="str">
        <f>Tabela2[[#This Row],[Coluna4]]</f>
        <v>24/02/2026</v>
      </c>
      <c r="W1820" s="2" t="str">
        <f>Tabela2[[#This Row],[Coluna6]]</f>
        <v>24/02/2026</v>
      </c>
    </row>
    <row r="1821" spans="2:23" hidden="1" x14ac:dyDescent="0.2">
      <c r="B1821" t="s">
        <v>18</v>
      </c>
      <c r="D1821" t="s">
        <v>19</v>
      </c>
      <c r="E1821" s="8" t="s">
        <v>757</v>
      </c>
      <c r="F1821" t="s">
        <v>750</v>
      </c>
      <c r="G1821" s="8" t="s">
        <v>757</v>
      </c>
      <c r="H1821" t="s">
        <v>16</v>
      </c>
      <c r="I1821" t="e">
        <f>VLOOKUP(Tabela2[[#This Row],[Coluna7]],[1]!Tabela1[#All],2,0)</f>
        <v>#REF!</v>
      </c>
      <c r="J1821" t="s">
        <v>32</v>
      </c>
      <c r="K1821">
        <v>15000</v>
      </c>
      <c r="Q1821" s="10" t="str">
        <f>Tabela2[[#This Row],[Coluna5]]</f>
        <v>02/2026</v>
      </c>
      <c r="R1821" s="10" t="str">
        <f>IF(Tabela2[[#This Row],[Coluna9]]&gt;0,"Entrada","Saída")</f>
        <v>Entrada</v>
      </c>
      <c r="S1821" s="10" t="str">
        <f>Tabela2[[#This Row],[Coluna8]]</f>
        <v>TRANSFERÊNCIA DE BRADESCO</v>
      </c>
      <c r="T1821" s="10" t="e">
        <f>Tabela2[[#This Row],[Coluna72]]</f>
        <v>#REF!</v>
      </c>
      <c r="U1821" s="10">
        <f>SUM(Tabela2[[#This Row],[Coluna9]],Tabela2[[#This Row],[Coluna10]])</f>
        <v>15000</v>
      </c>
      <c r="V1821" s="2" t="str">
        <f>Tabela2[[#This Row],[Coluna4]]</f>
        <v>24/02/2026</v>
      </c>
      <c r="W1821" s="2" t="str">
        <f>Tabela2[[#This Row],[Coluna6]]</f>
        <v>24/02/2026</v>
      </c>
    </row>
    <row r="1822" spans="2:23" hidden="1" x14ac:dyDescent="0.2">
      <c r="B1822" t="s">
        <v>18</v>
      </c>
      <c r="D1822" t="s">
        <v>13</v>
      </c>
      <c r="E1822" s="8" t="s">
        <v>758</v>
      </c>
      <c r="F1822" t="s">
        <v>750</v>
      </c>
      <c r="G1822" s="8" t="s">
        <v>758</v>
      </c>
      <c r="H1822" t="s">
        <v>16</v>
      </c>
      <c r="I1822" t="e">
        <f>VLOOKUP(Tabela2[[#This Row],[Coluna7]],[1]!Tabela1[#All],2,0)</f>
        <v>#REF!</v>
      </c>
      <c r="J1822" t="s">
        <v>39</v>
      </c>
      <c r="L1822">
        <v>4000</v>
      </c>
      <c r="Q1822" s="10" t="str">
        <f>Tabela2[[#This Row],[Coluna5]]</f>
        <v>02/2026</v>
      </c>
      <c r="R1822" s="10" t="str">
        <f>IF(Tabela2[[#This Row],[Coluna9]]&gt;0,"Entrada","Saída")</f>
        <v>Saída</v>
      </c>
      <c r="S1822" s="10" t="str">
        <f>Tabela2[[#This Row],[Coluna8]]</f>
        <v>TRANSFERÊNCIA PARA BRADESCO</v>
      </c>
      <c r="T1822" s="10" t="e">
        <f>Tabela2[[#This Row],[Coluna72]]</f>
        <v>#REF!</v>
      </c>
      <c r="U1822" s="10">
        <f>SUM(Tabela2[[#This Row],[Coluna9]],Tabela2[[#This Row],[Coluna10]])</f>
        <v>4000</v>
      </c>
      <c r="V1822" s="2" t="str">
        <f>Tabela2[[#This Row],[Coluna4]]</f>
        <v>26/02/2026</v>
      </c>
      <c r="W1822" s="2" t="str">
        <f>Tabela2[[#This Row],[Coluna6]]</f>
        <v>26/02/2026</v>
      </c>
    </row>
    <row r="1823" spans="2:23" hidden="1" x14ac:dyDescent="0.2">
      <c r="B1823" t="s">
        <v>27</v>
      </c>
      <c r="D1823" t="s">
        <v>19</v>
      </c>
      <c r="E1823" s="8" t="s">
        <v>758</v>
      </c>
      <c r="F1823" t="s">
        <v>750</v>
      </c>
      <c r="G1823" s="8" t="s">
        <v>758</v>
      </c>
      <c r="H1823" t="s">
        <v>16</v>
      </c>
      <c r="I1823" t="e">
        <f>VLOOKUP(Tabela2[[#This Row],[Coluna7]],[1]!Tabela1[#All],2,0)</f>
        <v>#REF!</v>
      </c>
      <c r="J1823" t="s">
        <v>40</v>
      </c>
      <c r="K1823">
        <v>4000</v>
      </c>
      <c r="Q1823" s="10" t="str">
        <f>Tabela2[[#This Row],[Coluna5]]</f>
        <v>02/2026</v>
      </c>
      <c r="R1823" s="10" t="str">
        <f>IF(Tabela2[[#This Row],[Coluna9]]&gt;0,"Entrada","Saída")</f>
        <v>Entrada</v>
      </c>
      <c r="S1823" s="10" t="str">
        <f>Tabela2[[#This Row],[Coluna8]]</f>
        <v>TRANSFERÊNCIA DE EFÍ - THIAGO URQUIZA ADVOGADOS</v>
      </c>
      <c r="T1823" s="10" t="e">
        <f>Tabela2[[#This Row],[Coluna72]]</f>
        <v>#REF!</v>
      </c>
      <c r="U1823" s="10">
        <f>SUM(Tabela2[[#This Row],[Coluna9]],Tabela2[[#This Row],[Coluna10]])</f>
        <v>4000</v>
      </c>
      <c r="V1823" s="2" t="str">
        <f>Tabela2[[#This Row],[Coluna4]]</f>
        <v>26/02/2026</v>
      </c>
      <c r="W1823" s="2" t="str">
        <f>Tabela2[[#This Row],[Coluna6]]</f>
        <v>26/02/2026</v>
      </c>
    </row>
    <row r="1824" spans="2:23" x14ac:dyDescent="0.2">
      <c r="B1824" t="s">
        <v>71</v>
      </c>
      <c r="C1824" t="s">
        <v>95</v>
      </c>
      <c r="D1824" t="s">
        <v>19</v>
      </c>
      <c r="E1824" s="8" t="s">
        <v>69</v>
      </c>
      <c r="F1824" t="s">
        <v>15</v>
      </c>
      <c r="G1824" s="8" t="s">
        <v>301</v>
      </c>
      <c r="H1824" t="s">
        <v>98</v>
      </c>
      <c r="I1824" t="e">
        <f>VLOOKUP(Tabela2[[#This Row],[Coluna7]],[1]!Tabela1[#All],2,0)</f>
        <v>#REF!</v>
      </c>
      <c r="J1824" t="s">
        <v>759</v>
      </c>
      <c r="K1824">
        <v>500</v>
      </c>
      <c r="M1824" t="s">
        <v>160</v>
      </c>
      <c r="N1824" t="s">
        <v>161</v>
      </c>
      <c r="Q1824" s="10" t="str">
        <f>Tabela2[[#This Row],[Coluna5]]</f>
        <v>10/2025</v>
      </c>
      <c r="R1824" s="10" t="str">
        <f>IF(Tabela2[[#This Row],[Coluna9]]&gt;0,"Entrada","Saída")</f>
        <v>Entrada</v>
      </c>
      <c r="S1824" s="10" t="str">
        <f>Tabela2[[#This Row],[Coluna8]]</f>
        <v>3/14</v>
      </c>
      <c r="T1824" s="10" t="e">
        <f>Tabela2[[#This Row],[Coluna72]]</f>
        <v>#REF!</v>
      </c>
      <c r="U1824" s="10">
        <f>SUM(Tabela2[[#This Row],[Coluna9]],Tabela2[[#This Row],[Coluna10]])</f>
        <v>500</v>
      </c>
      <c r="V1824" s="2" t="str">
        <f>Tabela2[[#This Row],[Coluna4]]</f>
        <v>10/12/2025</v>
      </c>
      <c r="W1824" s="2" t="str">
        <f>Tabela2[[#This Row],[Coluna6]]</f>
        <v>05/01/2026</v>
      </c>
    </row>
    <row r="1825" spans="2:23" x14ac:dyDescent="0.2">
      <c r="B1825" t="s">
        <v>27</v>
      </c>
      <c r="C1825" t="s">
        <v>125</v>
      </c>
      <c r="D1825" t="s">
        <v>19</v>
      </c>
      <c r="E1825" s="8" t="s">
        <v>334</v>
      </c>
      <c r="F1825" t="s">
        <v>64</v>
      </c>
      <c r="G1825" s="8" t="s">
        <v>85</v>
      </c>
      <c r="H1825" t="s">
        <v>98</v>
      </c>
      <c r="I1825" t="e">
        <f>VLOOKUP(Tabela2[[#This Row],[Coluna7]],[1]!Tabela1[#All],2,0)</f>
        <v>#REF!</v>
      </c>
      <c r="J1825" t="s">
        <v>760</v>
      </c>
      <c r="K1825">
        <v>500</v>
      </c>
      <c r="M1825" t="s">
        <v>226</v>
      </c>
      <c r="N1825" t="s">
        <v>227</v>
      </c>
      <c r="Q1825" s="10" t="str">
        <f>Tabela2[[#This Row],[Coluna5]]</f>
        <v>12/2025</v>
      </c>
      <c r="R1825" s="10" t="str">
        <f>IF(Tabela2[[#This Row],[Coluna9]]&gt;0,"Entrada","Saída")</f>
        <v>Entrada</v>
      </c>
      <c r="S1825" s="10" t="str">
        <f>Tabela2[[#This Row],[Coluna8]]</f>
        <v>2/10</v>
      </c>
      <c r="T1825" s="10" t="e">
        <f>Tabela2[[#This Row],[Coluna72]]</f>
        <v>#REF!</v>
      </c>
      <c r="U1825" s="10">
        <f>SUM(Tabela2[[#This Row],[Coluna9]],Tabela2[[#This Row],[Coluna10]])</f>
        <v>500</v>
      </c>
      <c r="V1825" s="2" t="str">
        <f>Tabela2[[#This Row],[Coluna4]]</f>
        <v>30/12/2025</v>
      </c>
      <c r="W1825" s="2" t="str">
        <f>Tabela2[[#This Row],[Coluna6]]</f>
        <v>08/01/2026</v>
      </c>
    </row>
    <row r="1826" spans="2:23" x14ac:dyDescent="0.2">
      <c r="B1826" t="s">
        <v>71</v>
      </c>
      <c r="C1826" t="s">
        <v>125</v>
      </c>
      <c r="D1826" t="s">
        <v>19</v>
      </c>
      <c r="E1826" s="8" t="s">
        <v>338</v>
      </c>
      <c r="F1826" t="s">
        <v>64</v>
      </c>
      <c r="G1826" s="8" t="s">
        <v>87</v>
      </c>
      <c r="H1826" t="s">
        <v>98</v>
      </c>
      <c r="I1826" t="e">
        <f>VLOOKUP(Tabela2[[#This Row],[Coluna7]],[1]!Tabela1[#All],2,0)</f>
        <v>#REF!</v>
      </c>
      <c r="J1826" t="s">
        <v>275</v>
      </c>
      <c r="K1826">
        <v>500</v>
      </c>
      <c r="N1826" t="s">
        <v>284</v>
      </c>
      <c r="Q1826" s="10" t="str">
        <f>Tabela2[[#This Row],[Coluna5]]</f>
        <v>12/2025</v>
      </c>
      <c r="R1826" s="10" t="str">
        <f>IF(Tabela2[[#This Row],[Coluna9]]&gt;0,"Entrada","Saída")</f>
        <v>Entrada</v>
      </c>
      <c r="S1826" s="10" t="str">
        <f>Tabela2[[#This Row],[Coluna8]]</f>
        <v>2/20</v>
      </c>
      <c r="T1826" s="10" t="e">
        <f>Tabela2[[#This Row],[Coluna72]]</f>
        <v>#REF!</v>
      </c>
      <c r="U1826" s="10">
        <f>SUM(Tabela2[[#This Row],[Coluna9]],Tabela2[[#This Row],[Coluna10]])</f>
        <v>500</v>
      </c>
      <c r="V1826" s="2" t="str">
        <f>Tabela2[[#This Row],[Coluna4]]</f>
        <v>01/01/2026</v>
      </c>
      <c r="W1826" s="2" t="str">
        <f>Tabela2[[#This Row],[Coluna6]]</f>
        <v>07/01/2026</v>
      </c>
    </row>
    <row r="1827" spans="2:23" x14ac:dyDescent="0.2">
      <c r="B1827" t="s">
        <v>71</v>
      </c>
      <c r="C1827" t="s">
        <v>200</v>
      </c>
      <c r="D1827" t="s">
        <v>19</v>
      </c>
      <c r="E1827" s="8" t="s">
        <v>339</v>
      </c>
      <c r="F1827" t="s">
        <v>84</v>
      </c>
      <c r="G1827" s="8" t="s">
        <v>339</v>
      </c>
      <c r="H1827" t="s">
        <v>111</v>
      </c>
      <c r="I1827" t="e">
        <f>VLOOKUP(Tabela2[[#This Row],[Coluna7]],[1]!Tabela1[#All],2,0)</f>
        <v>#REF!</v>
      </c>
      <c r="K1827">
        <v>1964</v>
      </c>
      <c r="M1827" t="s">
        <v>761</v>
      </c>
      <c r="N1827" t="s">
        <v>340</v>
      </c>
      <c r="Q1827" s="10" t="str">
        <f>Tabela2[[#This Row],[Coluna5]]</f>
        <v>01/2026</v>
      </c>
      <c r="R1827" s="10" t="str">
        <f>IF(Tabela2[[#This Row],[Coluna9]]&gt;0,"Entrada","Saída")</f>
        <v>Entrada</v>
      </c>
      <c r="S1827" s="10">
        <f>Tabela2[[#This Row],[Coluna8]]</f>
        <v>0</v>
      </c>
      <c r="T1827" s="10" t="e">
        <f>Tabela2[[#This Row],[Coluna72]]</f>
        <v>#REF!</v>
      </c>
      <c r="U1827" s="10">
        <f>SUM(Tabela2[[#This Row],[Coluna9]],Tabela2[[#This Row],[Coluna10]])</f>
        <v>1964</v>
      </c>
      <c r="V1827" s="2" t="str">
        <f>Tabela2[[#This Row],[Coluna4]]</f>
        <v>02/01/2026</v>
      </c>
      <c r="W1827" s="2" t="str">
        <f>Tabela2[[#This Row],[Coluna6]]</f>
        <v>02/01/2026</v>
      </c>
    </row>
    <row r="1828" spans="2:23" x14ac:dyDescent="0.2">
      <c r="B1828" t="s">
        <v>71</v>
      </c>
      <c r="C1828" t="s">
        <v>95</v>
      </c>
      <c r="D1828" t="s">
        <v>19</v>
      </c>
      <c r="E1828" s="8" t="s">
        <v>339</v>
      </c>
      <c r="F1828" t="s">
        <v>84</v>
      </c>
      <c r="G1828" s="8" t="s">
        <v>339</v>
      </c>
      <c r="H1828" t="s">
        <v>156</v>
      </c>
      <c r="I1828" t="e">
        <f>VLOOKUP(Tabela2[[#This Row],[Coluna7]],[1]!Tabela1[#All],2,0)</f>
        <v>#REF!</v>
      </c>
      <c r="J1828" t="s">
        <v>762</v>
      </c>
      <c r="K1828">
        <v>3036</v>
      </c>
      <c r="M1828" t="s">
        <v>761</v>
      </c>
      <c r="N1828" t="s">
        <v>340</v>
      </c>
      <c r="Q1828" s="10" t="str">
        <f>Tabela2[[#This Row],[Coluna5]]</f>
        <v>01/2026</v>
      </c>
      <c r="R1828" s="10" t="str">
        <f>IF(Tabela2[[#This Row],[Coluna9]]&gt;0,"Entrada","Saída")</f>
        <v>Entrada</v>
      </c>
      <c r="S1828" s="10" t="str">
        <f>Tabela2[[#This Row],[Coluna8]]</f>
        <v>REEMBOLSO</v>
      </c>
      <c r="T1828" s="10" t="e">
        <f>Tabela2[[#This Row],[Coluna72]]</f>
        <v>#REF!</v>
      </c>
      <c r="U1828" s="10">
        <f>SUM(Tabela2[[#This Row],[Coluna9]],Tabela2[[#This Row],[Coluna10]])</f>
        <v>3036</v>
      </c>
      <c r="V1828" s="2" t="str">
        <f>Tabela2[[#This Row],[Coluna4]]</f>
        <v>02/01/2026</v>
      </c>
      <c r="W1828" s="2" t="str">
        <f>Tabela2[[#This Row],[Coluna6]]</f>
        <v>02/01/2026</v>
      </c>
    </row>
    <row r="1829" spans="2:23" x14ac:dyDescent="0.2">
      <c r="B1829" t="s">
        <v>748</v>
      </c>
      <c r="C1829" t="s">
        <v>95</v>
      </c>
      <c r="D1829" t="s">
        <v>19</v>
      </c>
      <c r="E1829" s="8" t="s">
        <v>339</v>
      </c>
      <c r="F1829" t="s">
        <v>84</v>
      </c>
      <c r="G1829" s="8" t="s">
        <v>339</v>
      </c>
      <c r="H1829" t="s">
        <v>211</v>
      </c>
      <c r="I1829" t="e">
        <f>VLOOKUP(Tabela2[[#This Row],[Coluna7]],[1]!Tabela1[#All],2,0)</f>
        <v>#REF!</v>
      </c>
      <c r="K1829">
        <v>500</v>
      </c>
      <c r="Q1829" s="10" t="str">
        <f>Tabela2[[#This Row],[Coluna5]]</f>
        <v>01/2026</v>
      </c>
      <c r="R1829" s="10" t="str">
        <f>IF(Tabela2[[#This Row],[Coluna9]]&gt;0,"Entrada","Saída")</f>
        <v>Entrada</v>
      </c>
      <c r="S1829" s="10">
        <f>Tabela2[[#This Row],[Coluna8]]</f>
        <v>0</v>
      </c>
      <c r="T1829" s="10" t="e">
        <f>Tabela2[[#This Row],[Coluna72]]</f>
        <v>#REF!</v>
      </c>
      <c r="U1829" s="10">
        <f>SUM(Tabela2[[#This Row],[Coluna9]],Tabela2[[#This Row],[Coluna10]])</f>
        <v>500</v>
      </c>
      <c r="V1829" s="2" t="str">
        <f>Tabela2[[#This Row],[Coluna4]]</f>
        <v>02/01/2026</v>
      </c>
      <c r="W1829" s="2" t="str">
        <f>Tabela2[[#This Row],[Coluna6]]</f>
        <v>02/01/2026</v>
      </c>
    </row>
    <row r="1830" spans="2:23" x14ac:dyDescent="0.2">
      <c r="B1830" t="s">
        <v>748</v>
      </c>
      <c r="C1830" t="s">
        <v>125</v>
      </c>
      <c r="D1830" t="s">
        <v>19</v>
      </c>
      <c r="E1830" s="8" t="s">
        <v>339</v>
      </c>
      <c r="F1830" t="s">
        <v>84</v>
      </c>
      <c r="G1830" s="8" t="s">
        <v>339</v>
      </c>
      <c r="H1830" t="s">
        <v>107</v>
      </c>
      <c r="I1830" t="e">
        <f>VLOOKUP(Tabela2[[#This Row],[Coluna7]],[1]!Tabela1[#All],2,0)</f>
        <v>#REF!</v>
      </c>
      <c r="J1830" t="s">
        <v>763</v>
      </c>
      <c r="K1830">
        <v>16567.169999999998</v>
      </c>
      <c r="M1830" t="s">
        <v>341</v>
      </c>
      <c r="N1830" t="s">
        <v>342</v>
      </c>
      <c r="Q1830" s="10" t="str">
        <f>Tabela2[[#This Row],[Coluna5]]</f>
        <v>01/2026</v>
      </c>
      <c r="R1830" s="10" t="str">
        <f>IF(Tabela2[[#This Row],[Coluna9]]&gt;0,"Entrada","Saída")</f>
        <v>Entrada</v>
      </c>
      <c r="S1830" s="10" t="str">
        <f>Tabela2[[#This Row],[Coluna8]]</f>
        <v>DESTACAMENTO - CEF</v>
      </c>
      <c r="T1830" s="10" t="e">
        <f>Tabela2[[#This Row],[Coluna72]]</f>
        <v>#REF!</v>
      </c>
      <c r="U1830" s="10">
        <f>SUM(Tabela2[[#This Row],[Coluna9]],Tabela2[[#This Row],[Coluna10]])</f>
        <v>16567.169999999998</v>
      </c>
      <c r="V1830" s="2" t="str">
        <f>Tabela2[[#This Row],[Coluna4]]</f>
        <v>02/01/2026</v>
      </c>
      <c r="W1830" s="2" t="str">
        <f>Tabela2[[#This Row],[Coluna6]]</f>
        <v>02/01/2026</v>
      </c>
    </row>
    <row r="1831" spans="2:23" x14ac:dyDescent="0.2">
      <c r="B1831" t="s">
        <v>748</v>
      </c>
      <c r="C1831" t="s">
        <v>125</v>
      </c>
      <c r="D1831" t="s">
        <v>19</v>
      </c>
      <c r="E1831" s="8" t="s">
        <v>339</v>
      </c>
      <c r="F1831" t="s">
        <v>84</v>
      </c>
      <c r="G1831" s="8" t="s">
        <v>339</v>
      </c>
      <c r="H1831" t="s">
        <v>181</v>
      </c>
      <c r="I1831" t="e">
        <f>VLOOKUP(Tabela2[[#This Row],[Coluna7]],[1]!Tabela1[#All],2,0)</f>
        <v>#REF!</v>
      </c>
      <c r="K1831">
        <v>3362.66</v>
      </c>
      <c r="M1831" t="s">
        <v>341</v>
      </c>
      <c r="N1831" t="s">
        <v>342</v>
      </c>
      <c r="Q1831" s="10" t="str">
        <f>Tabela2[[#This Row],[Coluna5]]</f>
        <v>01/2026</v>
      </c>
      <c r="R1831" s="10" t="str">
        <f>IF(Tabela2[[#This Row],[Coluna9]]&gt;0,"Entrada","Saída")</f>
        <v>Entrada</v>
      </c>
      <c r="S1831" s="10">
        <f>Tabela2[[#This Row],[Coluna8]]</f>
        <v>0</v>
      </c>
      <c r="T1831" s="10" t="e">
        <f>Tabela2[[#This Row],[Coluna72]]</f>
        <v>#REF!</v>
      </c>
      <c r="U1831" s="10">
        <f>SUM(Tabela2[[#This Row],[Coluna9]],Tabela2[[#This Row],[Coluna10]])</f>
        <v>3362.66</v>
      </c>
      <c r="V1831" s="2" t="str">
        <f>Tabela2[[#This Row],[Coluna4]]</f>
        <v>02/01/2026</v>
      </c>
      <c r="W1831" s="2" t="str">
        <f>Tabela2[[#This Row],[Coluna6]]</f>
        <v>02/01/2026</v>
      </c>
    </row>
    <row r="1832" spans="2:23" x14ac:dyDescent="0.2">
      <c r="B1832" t="s">
        <v>748</v>
      </c>
      <c r="C1832" t="s">
        <v>125</v>
      </c>
      <c r="D1832" t="s">
        <v>19</v>
      </c>
      <c r="E1832" s="8" t="s">
        <v>339</v>
      </c>
      <c r="F1832" t="s">
        <v>84</v>
      </c>
      <c r="G1832" s="8" t="s">
        <v>339</v>
      </c>
      <c r="H1832" t="s">
        <v>107</v>
      </c>
      <c r="I1832" t="e">
        <f>VLOOKUP(Tabela2[[#This Row],[Coluna7]],[1]!Tabela1[#All],2,0)</f>
        <v>#REF!</v>
      </c>
      <c r="J1832" t="s">
        <v>763</v>
      </c>
      <c r="K1832">
        <v>13525.8</v>
      </c>
      <c r="M1832" t="s">
        <v>764</v>
      </c>
      <c r="N1832" t="s">
        <v>765</v>
      </c>
      <c r="Q1832" s="10" t="str">
        <f>Tabela2[[#This Row],[Coluna5]]</f>
        <v>01/2026</v>
      </c>
      <c r="R1832" s="10" t="str">
        <f>IF(Tabela2[[#This Row],[Coluna9]]&gt;0,"Entrada","Saída")</f>
        <v>Entrada</v>
      </c>
      <c r="S1832" s="10" t="str">
        <f>Tabela2[[#This Row],[Coluna8]]</f>
        <v>DESTACAMENTO - CEF</v>
      </c>
      <c r="T1832" s="10" t="e">
        <f>Tabela2[[#This Row],[Coluna72]]</f>
        <v>#REF!</v>
      </c>
      <c r="U1832" s="10">
        <f>SUM(Tabela2[[#This Row],[Coluna9]],Tabela2[[#This Row],[Coluna10]])</f>
        <v>13525.8</v>
      </c>
      <c r="V1832" s="2" t="str">
        <f>Tabela2[[#This Row],[Coluna4]]</f>
        <v>02/01/2026</v>
      </c>
      <c r="W1832" s="2" t="str">
        <f>Tabela2[[#This Row],[Coluna6]]</f>
        <v>02/01/2026</v>
      </c>
    </row>
    <row r="1833" spans="2:23" x14ac:dyDescent="0.2">
      <c r="B1833" t="s">
        <v>748</v>
      </c>
      <c r="C1833" t="s">
        <v>125</v>
      </c>
      <c r="D1833" t="s">
        <v>19</v>
      </c>
      <c r="E1833" s="8" t="s">
        <v>339</v>
      </c>
      <c r="F1833" t="s">
        <v>84</v>
      </c>
      <c r="G1833" s="8" t="s">
        <v>339</v>
      </c>
      <c r="H1833" t="s">
        <v>107</v>
      </c>
      <c r="I1833" t="e">
        <f>VLOOKUP(Tabela2[[#This Row],[Coluna7]],[1]!Tabela1[#All],2,0)</f>
        <v>#REF!</v>
      </c>
      <c r="J1833" t="s">
        <v>766</v>
      </c>
      <c r="K1833">
        <v>4453.41</v>
      </c>
      <c r="M1833" t="s">
        <v>767</v>
      </c>
      <c r="N1833" t="s">
        <v>768</v>
      </c>
      <c r="Q1833" s="10" t="str">
        <f>Tabela2[[#This Row],[Coluna5]]</f>
        <v>01/2026</v>
      </c>
      <c r="R1833" s="10" t="str">
        <f>IF(Tabela2[[#This Row],[Coluna9]]&gt;0,"Entrada","Saída")</f>
        <v>Entrada</v>
      </c>
      <c r="S1833" s="10" t="str">
        <f>Tabela2[[#This Row],[Coluna8]]</f>
        <v>DESTACAMENTO - CEF (PGTO PARCIAL)</v>
      </c>
      <c r="T1833" s="10" t="e">
        <f>Tabela2[[#This Row],[Coluna72]]</f>
        <v>#REF!</v>
      </c>
      <c r="U1833" s="10">
        <f>SUM(Tabela2[[#This Row],[Coluna9]],Tabela2[[#This Row],[Coluna10]])</f>
        <v>4453.41</v>
      </c>
      <c r="V1833" s="2" t="str">
        <f>Tabela2[[#This Row],[Coluna4]]</f>
        <v>02/01/2026</v>
      </c>
      <c r="W1833" s="2" t="str">
        <f>Tabela2[[#This Row],[Coluna6]]</f>
        <v>02/01/2026</v>
      </c>
    </row>
    <row r="1834" spans="2:23" x14ac:dyDescent="0.2">
      <c r="B1834" t="s">
        <v>18</v>
      </c>
      <c r="C1834" t="s">
        <v>125</v>
      </c>
      <c r="D1834" t="s">
        <v>19</v>
      </c>
      <c r="E1834" s="8" t="s">
        <v>343</v>
      </c>
      <c r="F1834" t="s">
        <v>42</v>
      </c>
      <c r="G1834" s="8" t="s">
        <v>301</v>
      </c>
      <c r="H1834" t="s">
        <v>98</v>
      </c>
      <c r="I1834" t="e">
        <f>VLOOKUP(Tabela2[[#This Row],[Coluna7]],[1]!Tabela1[#All],2,0)</f>
        <v>#REF!</v>
      </c>
      <c r="J1834" t="s">
        <v>297</v>
      </c>
      <c r="K1834">
        <v>420</v>
      </c>
      <c r="N1834" t="s">
        <v>132</v>
      </c>
      <c r="Q1834" s="10" t="str">
        <f>Tabela2[[#This Row],[Coluna5]]</f>
        <v>11/2025</v>
      </c>
      <c r="R1834" s="10" t="str">
        <f>IF(Tabela2[[#This Row],[Coluna9]]&gt;0,"Entrada","Saída")</f>
        <v>Entrada</v>
      </c>
      <c r="S1834" s="10" t="str">
        <f>Tabela2[[#This Row],[Coluna8]]</f>
        <v>3/5</v>
      </c>
      <c r="T1834" s="10" t="e">
        <f>Tabela2[[#This Row],[Coluna72]]</f>
        <v>#REF!</v>
      </c>
      <c r="U1834" s="10">
        <f>SUM(Tabela2[[#This Row],[Coluna9]],Tabela2[[#This Row],[Coluna10]])</f>
        <v>420</v>
      </c>
      <c r="V1834" s="2" t="str">
        <f>Tabela2[[#This Row],[Coluna4]]</f>
        <v>03/01/2026</v>
      </c>
      <c r="W1834" s="2" t="str">
        <f>Tabela2[[#This Row],[Coluna6]]</f>
        <v>05/01/2026</v>
      </c>
    </row>
    <row r="1835" spans="2:23" x14ac:dyDescent="0.2">
      <c r="B1835" t="s">
        <v>27</v>
      </c>
      <c r="C1835" t="s">
        <v>110</v>
      </c>
      <c r="D1835" t="s">
        <v>19</v>
      </c>
      <c r="E1835" s="8" t="s">
        <v>343</v>
      </c>
      <c r="F1835" t="s">
        <v>15</v>
      </c>
      <c r="G1835" s="8" t="s">
        <v>301</v>
      </c>
      <c r="H1835" t="s">
        <v>111</v>
      </c>
      <c r="I1835" t="e">
        <f>VLOOKUP(Tabela2[[#This Row],[Coluna7]],[1]!Tabela1[#All],2,0)</f>
        <v>#REF!</v>
      </c>
      <c r="J1835" t="s">
        <v>769</v>
      </c>
      <c r="K1835">
        <v>500</v>
      </c>
      <c r="N1835" t="s">
        <v>113</v>
      </c>
      <c r="Q1835" s="10" t="str">
        <f>Tabela2[[#This Row],[Coluna5]]</f>
        <v>10/2025</v>
      </c>
      <c r="R1835" s="10" t="str">
        <f>IF(Tabela2[[#This Row],[Coluna9]]&gt;0,"Entrada","Saída")</f>
        <v>Entrada</v>
      </c>
      <c r="S1835" s="10" t="str">
        <f>Tabela2[[#This Row],[Coluna8]]</f>
        <v>4/6</v>
      </c>
      <c r="T1835" s="10" t="e">
        <f>Tabela2[[#This Row],[Coluna72]]</f>
        <v>#REF!</v>
      </c>
      <c r="U1835" s="10">
        <f>SUM(Tabela2[[#This Row],[Coluna9]],Tabela2[[#This Row],[Coluna10]])</f>
        <v>500</v>
      </c>
      <c r="V1835" s="2" t="str">
        <f>Tabela2[[#This Row],[Coluna4]]</f>
        <v>03/01/2026</v>
      </c>
      <c r="W1835" s="2" t="str">
        <f>Tabela2[[#This Row],[Coluna6]]</f>
        <v>05/01/2026</v>
      </c>
    </row>
    <row r="1836" spans="2:23" x14ac:dyDescent="0.2">
      <c r="B1836" t="s">
        <v>18</v>
      </c>
      <c r="C1836" t="s">
        <v>95</v>
      </c>
      <c r="D1836" t="s">
        <v>19</v>
      </c>
      <c r="E1836" s="8" t="s">
        <v>345</v>
      </c>
      <c r="F1836" t="s">
        <v>42</v>
      </c>
      <c r="G1836" s="8" t="s">
        <v>339</v>
      </c>
      <c r="H1836" t="s">
        <v>98</v>
      </c>
      <c r="I1836" t="e">
        <f>VLOOKUP(Tabela2[[#This Row],[Coluna7]],[1]!Tabela1[#All],2,0)</f>
        <v>#REF!</v>
      </c>
      <c r="J1836" t="s">
        <v>302</v>
      </c>
      <c r="K1836">
        <v>420</v>
      </c>
      <c r="N1836" t="s">
        <v>131</v>
      </c>
      <c r="Q1836" s="10" t="str">
        <f>Tabela2[[#This Row],[Coluna5]]</f>
        <v>11/2025</v>
      </c>
      <c r="R1836" s="10" t="str">
        <f>IF(Tabela2[[#This Row],[Coluna9]]&gt;0,"Entrada","Saída")</f>
        <v>Entrada</v>
      </c>
      <c r="S1836" s="10" t="str">
        <f>Tabela2[[#This Row],[Coluna8]]</f>
        <v>3/3</v>
      </c>
      <c r="T1836" s="10" t="e">
        <f>Tabela2[[#This Row],[Coluna72]]</f>
        <v>#REF!</v>
      </c>
      <c r="U1836" s="10">
        <f>SUM(Tabela2[[#This Row],[Coluna9]],Tabela2[[#This Row],[Coluna10]])</f>
        <v>420</v>
      </c>
      <c r="V1836" s="2" t="str">
        <f>Tabela2[[#This Row],[Coluna4]]</f>
        <v>04/01/2026</v>
      </c>
      <c r="W1836" s="2" t="str">
        <f>Tabela2[[#This Row],[Coluna6]]</f>
        <v>02/01/2026</v>
      </c>
    </row>
    <row r="1837" spans="2:23" x14ac:dyDescent="0.2">
      <c r="B1837" t="s">
        <v>27</v>
      </c>
      <c r="C1837" t="s">
        <v>95</v>
      </c>
      <c r="D1837" t="s">
        <v>19</v>
      </c>
      <c r="E1837" s="8" t="s">
        <v>301</v>
      </c>
      <c r="F1837" t="s">
        <v>42</v>
      </c>
      <c r="G1837" s="8" t="s">
        <v>83</v>
      </c>
      <c r="H1837" t="s">
        <v>98</v>
      </c>
      <c r="I1837" t="e">
        <f>VLOOKUP(Tabela2[[#This Row],[Coluna7]],[1]!Tabela1[#All],2,0)</f>
        <v>#REF!</v>
      </c>
      <c r="J1837" t="s">
        <v>302</v>
      </c>
      <c r="K1837">
        <v>270</v>
      </c>
      <c r="M1837" t="s">
        <v>118</v>
      </c>
      <c r="N1837" t="s">
        <v>119</v>
      </c>
      <c r="Q1837" s="10" t="str">
        <f>Tabela2[[#This Row],[Coluna5]]</f>
        <v>11/2025</v>
      </c>
      <c r="R1837" s="10" t="str">
        <f>IF(Tabela2[[#This Row],[Coluna9]]&gt;0,"Entrada","Saída")</f>
        <v>Entrada</v>
      </c>
      <c r="S1837" s="10" t="str">
        <f>Tabela2[[#This Row],[Coluna8]]</f>
        <v>3/3</v>
      </c>
      <c r="T1837" s="10" t="e">
        <f>Tabela2[[#This Row],[Coluna72]]</f>
        <v>#REF!</v>
      </c>
      <c r="U1837" s="10">
        <f>SUM(Tabela2[[#This Row],[Coluna9]],Tabela2[[#This Row],[Coluna10]])</f>
        <v>270</v>
      </c>
      <c r="V1837" s="2" t="str">
        <f>Tabela2[[#This Row],[Coluna4]]</f>
        <v>05/01/2026</v>
      </c>
      <c r="W1837" s="2" t="str">
        <f>Tabela2[[#This Row],[Coluna6]]</f>
        <v>06/01/2026</v>
      </c>
    </row>
    <row r="1838" spans="2:23" x14ac:dyDescent="0.2">
      <c r="B1838" t="s">
        <v>215</v>
      </c>
      <c r="C1838" t="s">
        <v>222</v>
      </c>
      <c r="D1838" t="s">
        <v>19</v>
      </c>
      <c r="E1838" s="8" t="s">
        <v>301</v>
      </c>
      <c r="F1838" t="s">
        <v>42</v>
      </c>
      <c r="G1838" s="8" t="s">
        <v>83</v>
      </c>
      <c r="H1838" t="s">
        <v>98</v>
      </c>
      <c r="I1838" t="e">
        <f>VLOOKUP(Tabela2[[#This Row],[Coluna7]],[1]!Tabela1[#All],2,0)</f>
        <v>#REF!</v>
      </c>
      <c r="J1838" t="s">
        <v>770</v>
      </c>
      <c r="K1838">
        <v>200</v>
      </c>
      <c r="M1838" t="s">
        <v>224</v>
      </c>
      <c r="N1838" t="s">
        <v>225</v>
      </c>
      <c r="Q1838" s="10" t="str">
        <f>Tabela2[[#This Row],[Coluna5]]</f>
        <v>11/2025</v>
      </c>
      <c r="R1838" s="10" t="str">
        <f>IF(Tabela2[[#This Row],[Coluna9]]&gt;0,"Entrada","Saída")</f>
        <v>Entrada</v>
      </c>
      <c r="S1838" s="10" t="str">
        <f>Tabela2[[#This Row],[Coluna8]]</f>
        <v>3/15 HONORARIOS INICIAIS</v>
      </c>
      <c r="T1838" s="10" t="e">
        <f>Tabela2[[#This Row],[Coluna72]]</f>
        <v>#REF!</v>
      </c>
      <c r="U1838" s="10">
        <f>SUM(Tabela2[[#This Row],[Coluna9]],Tabela2[[#This Row],[Coluna10]])</f>
        <v>200</v>
      </c>
      <c r="V1838" s="2" t="str">
        <f>Tabela2[[#This Row],[Coluna4]]</f>
        <v>05/01/2026</v>
      </c>
      <c r="W1838" s="2" t="str">
        <f>Tabela2[[#This Row],[Coluna6]]</f>
        <v>06/01/2026</v>
      </c>
    </row>
    <row r="1839" spans="2:23" x14ac:dyDescent="0.2">
      <c r="B1839" t="s">
        <v>27</v>
      </c>
      <c r="C1839" t="s">
        <v>125</v>
      </c>
      <c r="D1839" t="s">
        <v>19</v>
      </c>
      <c r="E1839" s="8" t="s">
        <v>301</v>
      </c>
      <c r="F1839" t="s">
        <v>84</v>
      </c>
      <c r="G1839" s="8" t="s">
        <v>301</v>
      </c>
      <c r="H1839" t="s">
        <v>107</v>
      </c>
      <c r="I1839" t="e">
        <f>VLOOKUP(Tabela2[[#This Row],[Coluna7]],[1]!Tabela1[#All],2,0)</f>
        <v>#REF!</v>
      </c>
      <c r="J1839" t="s">
        <v>771</v>
      </c>
      <c r="K1839">
        <v>9934.08</v>
      </c>
      <c r="M1839" t="s">
        <v>772</v>
      </c>
      <c r="N1839" t="s">
        <v>773</v>
      </c>
      <c r="Q1839" s="10" t="str">
        <f>Tabela2[[#This Row],[Coluna5]]</f>
        <v>01/2026</v>
      </c>
      <c r="R1839" s="10" t="str">
        <f>IF(Tabela2[[#This Row],[Coluna9]]&gt;0,"Entrada","Saída")</f>
        <v>Entrada</v>
      </c>
      <c r="S1839" s="10" t="str">
        <f>Tabela2[[#This Row],[Coluna8]]</f>
        <v>DESTACAMENTO - BB</v>
      </c>
      <c r="T1839" s="10" t="e">
        <f>Tabela2[[#This Row],[Coluna72]]</f>
        <v>#REF!</v>
      </c>
      <c r="U1839" s="10">
        <f>SUM(Tabela2[[#This Row],[Coluna9]],Tabela2[[#This Row],[Coluna10]])</f>
        <v>9934.08</v>
      </c>
      <c r="V1839" s="2" t="str">
        <f>Tabela2[[#This Row],[Coluna4]]</f>
        <v>05/01/2026</v>
      </c>
      <c r="W1839" s="2" t="str">
        <f>Tabela2[[#This Row],[Coluna6]]</f>
        <v>05/01/2026</v>
      </c>
    </row>
    <row r="1840" spans="2:23" x14ac:dyDescent="0.2">
      <c r="B1840" t="s">
        <v>27</v>
      </c>
      <c r="C1840" t="s">
        <v>125</v>
      </c>
      <c r="D1840" t="s">
        <v>19</v>
      </c>
      <c r="E1840" s="8" t="s">
        <v>301</v>
      </c>
      <c r="F1840" t="s">
        <v>84</v>
      </c>
      <c r="G1840" s="8" t="s">
        <v>301</v>
      </c>
      <c r="H1840" t="s">
        <v>107</v>
      </c>
      <c r="I1840" t="e">
        <f>VLOOKUP(Tabela2[[#This Row],[Coluna7]],[1]!Tabela1[#All],2,0)</f>
        <v>#REF!</v>
      </c>
      <c r="J1840" t="s">
        <v>771</v>
      </c>
      <c r="K1840">
        <v>6216.63</v>
      </c>
      <c r="M1840" t="s">
        <v>774</v>
      </c>
      <c r="N1840" t="s">
        <v>775</v>
      </c>
      <c r="Q1840" s="10" t="str">
        <f>Tabela2[[#This Row],[Coluna5]]</f>
        <v>01/2026</v>
      </c>
      <c r="R1840" s="10" t="str">
        <f>IF(Tabela2[[#This Row],[Coluna9]]&gt;0,"Entrada","Saída")</f>
        <v>Entrada</v>
      </c>
      <c r="S1840" s="10" t="str">
        <f>Tabela2[[#This Row],[Coluna8]]</f>
        <v>DESTACAMENTO - BB</v>
      </c>
      <c r="T1840" s="10" t="e">
        <f>Tabela2[[#This Row],[Coluna72]]</f>
        <v>#REF!</v>
      </c>
      <c r="U1840" s="10">
        <f>SUM(Tabela2[[#This Row],[Coluna9]],Tabela2[[#This Row],[Coluna10]])</f>
        <v>6216.63</v>
      </c>
      <c r="V1840" s="2" t="str">
        <f>Tabela2[[#This Row],[Coluna4]]</f>
        <v>05/01/2026</v>
      </c>
      <c r="W1840" s="2" t="str">
        <f>Tabela2[[#This Row],[Coluna6]]</f>
        <v>05/01/2026</v>
      </c>
    </row>
    <row r="1841" spans="2:23" x14ac:dyDescent="0.2">
      <c r="B1841" t="s">
        <v>27</v>
      </c>
      <c r="C1841" t="s">
        <v>95</v>
      </c>
      <c r="D1841" t="s">
        <v>19</v>
      </c>
      <c r="E1841" s="8" t="s">
        <v>83</v>
      </c>
      <c r="F1841" t="s">
        <v>15</v>
      </c>
      <c r="G1841" s="8" t="s">
        <v>346</v>
      </c>
      <c r="H1841" t="s">
        <v>98</v>
      </c>
      <c r="I1841" t="e">
        <f>VLOOKUP(Tabela2[[#This Row],[Coluna7]],[1]!Tabela1[#All],2,0)</f>
        <v>#REF!</v>
      </c>
      <c r="J1841" t="s">
        <v>776</v>
      </c>
      <c r="K1841">
        <v>300</v>
      </c>
      <c r="N1841" t="s">
        <v>134</v>
      </c>
      <c r="Q1841" s="10" t="str">
        <f>Tabela2[[#This Row],[Coluna5]]</f>
        <v>10/2025</v>
      </c>
      <c r="R1841" s="10" t="str">
        <f>IF(Tabela2[[#This Row],[Coluna9]]&gt;0,"Entrada","Saída")</f>
        <v>Entrada</v>
      </c>
      <c r="S1841" s="10" t="str">
        <f>Tabela2[[#This Row],[Coluna8]]</f>
        <v>4/17 (GILMA MARIA ALVINO)</v>
      </c>
      <c r="T1841" s="10" t="e">
        <f>Tabela2[[#This Row],[Coluna72]]</f>
        <v>#REF!</v>
      </c>
      <c r="U1841" s="10">
        <f>SUM(Tabela2[[#This Row],[Coluna9]],Tabela2[[#This Row],[Coluna10]])</f>
        <v>300</v>
      </c>
      <c r="V1841" s="2" t="str">
        <f>Tabela2[[#This Row],[Coluna4]]</f>
        <v>06/01/2026</v>
      </c>
      <c r="W1841" s="2" t="str">
        <f>Tabela2[[#This Row],[Coluna6]]</f>
        <v>12/01/2026</v>
      </c>
    </row>
    <row r="1842" spans="2:23" x14ac:dyDescent="0.2">
      <c r="B1842" t="s">
        <v>18</v>
      </c>
      <c r="C1842" t="s">
        <v>125</v>
      </c>
      <c r="D1842" t="s">
        <v>19</v>
      </c>
      <c r="E1842" s="8" t="s">
        <v>83</v>
      </c>
      <c r="F1842" t="s">
        <v>42</v>
      </c>
      <c r="G1842" s="8" t="s">
        <v>85</v>
      </c>
      <c r="H1842" t="s">
        <v>98</v>
      </c>
      <c r="I1842" t="e">
        <f>VLOOKUP(Tabela2[[#This Row],[Coluna7]],[1]!Tabela1[#All],2,0)</f>
        <v>#REF!</v>
      </c>
      <c r="J1842" t="s">
        <v>302</v>
      </c>
      <c r="K1842">
        <v>408.13</v>
      </c>
      <c r="M1842" t="s">
        <v>123</v>
      </c>
      <c r="N1842" t="s">
        <v>124</v>
      </c>
      <c r="Q1842" s="10" t="str">
        <f>Tabela2[[#This Row],[Coluna5]]</f>
        <v>11/2025</v>
      </c>
      <c r="R1842" s="10" t="str">
        <f>IF(Tabela2[[#This Row],[Coluna9]]&gt;0,"Entrada","Saída")</f>
        <v>Entrada</v>
      </c>
      <c r="S1842" s="10" t="str">
        <f>Tabela2[[#This Row],[Coluna8]]</f>
        <v>3/3</v>
      </c>
      <c r="T1842" s="10" t="e">
        <f>Tabela2[[#This Row],[Coluna72]]</f>
        <v>#REF!</v>
      </c>
      <c r="U1842" s="10">
        <f>SUM(Tabela2[[#This Row],[Coluna9]],Tabela2[[#This Row],[Coluna10]])</f>
        <v>408.13</v>
      </c>
      <c r="V1842" s="2" t="str">
        <f>Tabela2[[#This Row],[Coluna4]]</f>
        <v>06/01/2026</v>
      </c>
      <c r="W1842" s="2" t="str">
        <f>Tabela2[[#This Row],[Coluna6]]</f>
        <v>08/01/2026</v>
      </c>
    </row>
    <row r="1843" spans="2:23" x14ac:dyDescent="0.2">
      <c r="B1843" t="s">
        <v>27</v>
      </c>
      <c r="C1843" t="s">
        <v>125</v>
      </c>
      <c r="D1843" t="s">
        <v>19</v>
      </c>
      <c r="E1843" s="8" t="s">
        <v>83</v>
      </c>
      <c r="F1843" t="s">
        <v>84</v>
      </c>
      <c r="G1843" s="8" t="s">
        <v>83</v>
      </c>
      <c r="H1843" t="s">
        <v>104</v>
      </c>
      <c r="I1843" t="e">
        <f>VLOOKUP(Tabela2[[#This Row],[Coluna7]],[1]!Tabela1[#All],2,0)</f>
        <v>#REF!</v>
      </c>
      <c r="K1843">
        <v>15688</v>
      </c>
      <c r="M1843" t="s">
        <v>777</v>
      </c>
      <c r="N1843" t="s">
        <v>778</v>
      </c>
      <c r="Q1843" s="10" t="str">
        <f>Tabela2[[#This Row],[Coluna5]]</f>
        <v>01/2026</v>
      </c>
      <c r="R1843" s="10" t="str">
        <f>IF(Tabela2[[#This Row],[Coluna9]]&gt;0,"Entrada","Saída")</f>
        <v>Entrada</v>
      </c>
      <c r="S1843" s="10">
        <f>Tabela2[[#This Row],[Coluna8]]</f>
        <v>0</v>
      </c>
      <c r="T1843" s="10" t="e">
        <f>Tabela2[[#This Row],[Coluna72]]</f>
        <v>#REF!</v>
      </c>
      <c r="U1843" s="10">
        <f>SUM(Tabela2[[#This Row],[Coluna9]],Tabela2[[#This Row],[Coluna10]])</f>
        <v>15688</v>
      </c>
      <c r="V1843" s="2" t="str">
        <f>Tabela2[[#This Row],[Coluna4]]</f>
        <v>06/01/2026</v>
      </c>
      <c r="W1843" s="2" t="str">
        <f>Tabela2[[#This Row],[Coluna6]]</f>
        <v>06/01/2026</v>
      </c>
    </row>
    <row r="1844" spans="2:23" x14ac:dyDescent="0.2">
      <c r="B1844" t="s">
        <v>27</v>
      </c>
      <c r="C1844" t="s">
        <v>200</v>
      </c>
      <c r="D1844" t="s">
        <v>19</v>
      </c>
      <c r="E1844" s="8" t="s">
        <v>83</v>
      </c>
      <c r="F1844" t="s">
        <v>84</v>
      </c>
      <c r="G1844" s="8" t="s">
        <v>83</v>
      </c>
      <c r="H1844" t="s">
        <v>107</v>
      </c>
      <c r="I1844" t="e">
        <f>VLOOKUP(Tabela2[[#This Row],[Coluna7]],[1]!Tabela1[#All],2,0)</f>
        <v>#REF!</v>
      </c>
      <c r="K1844">
        <v>4945</v>
      </c>
      <c r="M1844" t="s">
        <v>209</v>
      </c>
      <c r="N1844" t="s">
        <v>210</v>
      </c>
      <c r="Q1844" s="10" t="str">
        <f>Tabela2[[#This Row],[Coluna5]]</f>
        <v>01/2026</v>
      </c>
      <c r="R1844" s="10" t="str">
        <f>IF(Tabela2[[#This Row],[Coluna9]]&gt;0,"Entrada","Saída")</f>
        <v>Entrada</v>
      </c>
      <c r="S1844" s="10">
        <f>Tabela2[[#This Row],[Coluna8]]</f>
        <v>0</v>
      </c>
      <c r="T1844" s="10" t="e">
        <f>Tabela2[[#This Row],[Coluna72]]</f>
        <v>#REF!</v>
      </c>
      <c r="U1844" s="10">
        <f>SUM(Tabela2[[#This Row],[Coluna9]],Tabela2[[#This Row],[Coluna10]])</f>
        <v>4945</v>
      </c>
      <c r="V1844" s="2" t="str">
        <f>Tabela2[[#This Row],[Coluna4]]</f>
        <v>06/01/2026</v>
      </c>
      <c r="W1844" s="2" t="str">
        <f>Tabela2[[#This Row],[Coluna6]]</f>
        <v>06/01/2026</v>
      </c>
    </row>
    <row r="1845" spans="2:23" x14ac:dyDescent="0.2">
      <c r="B1845" t="s">
        <v>18</v>
      </c>
      <c r="C1845" t="s">
        <v>95</v>
      </c>
      <c r="D1845" t="s">
        <v>19</v>
      </c>
      <c r="E1845" s="8" t="s">
        <v>87</v>
      </c>
      <c r="F1845" t="s">
        <v>15</v>
      </c>
      <c r="G1845" s="8" t="s">
        <v>87</v>
      </c>
      <c r="H1845" t="s">
        <v>98</v>
      </c>
      <c r="I1845" t="e">
        <f>VLOOKUP(Tabela2[[#This Row],[Coluna7]],[1]!Tabela1[#All],2,0)</f>
        <v>#REF!</v>
      </c>
      <c r="J1845" t="s">
        <v>779</v>
      </c>
      <c r="K1845">
        <v>1000</v>
      </c>
      <c r="M1845" t="s">
        <v>152</v>
      </c>
      <c r="N1845" t="s">
        <v>153</v>
      </c>
      <c r="Q1845" s="10" t="str">
        <f>Tabela2[[#This Row],[Coluna5]]</f>
        <v>10/2025</v>
      </c>
      <c r="R1845" s="10" t="str">
        <f>IF(Tabela2[[#This Row],[Coluna9]]&gt;0,"Entrada","Saída")</f>
        <v>Entrada</v>
      </c>
      <c r="S1845" s="10" t="str">
        <f>Tabela2[[#This Row],[Coluna8]]</f>
        <v>4/5</v>
      </c>
      <c r="T1845" s="10" t="e">
        <f>Tabela2[[#This Row],[Coluna72]]</f>
        <v>#REF!</v>
      </c>
      <c r="U1845" s="10">
        <f>SUM(Tabela2[[#This Row],[Coluna9]],Tabela2[[#This Row],[Coluna10]])</f>
        <v>1000</v>
      </c>
      <c r="V1845" s="2" t="str">
        <f>Tabela2[[#This Row],[Coluna4]]</f>
        <v>07/01/2026</v>
      </c>
      <c r="W1845" s="2" t="str">
        <f>Tabela2[[#This Row],[Coluna6]]</f>
        <v>07/01/2026</v>
      </c>
    </row>
    <row r="1846" spans="2:23" x14ac:dyDescent="0.2">
      <c r="B1846" t="s">
        <v>18</v>
      </c>
      <c r="C1846" t="s">
        <v>95</v>
      </c>
      <c r="D1846" t="s">
        <v>19</v>
      </c>
      <c r="E1846" s="8" t="s">
        <v>87</v>
      </c>
      <c r="F1846" t="s">
        <v>15</v>
      </c>
      <c r="G1846" s="8" t="s">
        <v>83</v>
      </c>
      <c r="H1846" t="s">
        <v>98</v>
      </c>
      <c r="I1846" t="e">
        <f>VLOOKUP(Tabela2[[#This Row],[Coluna7]],[1]!Tabela1[#All],2,0)</f>
        <v>#REF!</v>
      </c>
      <c r="J1846" t="s">
        <v>780</v>
      </c>
      <c r="K1846">
        <v>634</v>
      </c>
      <c r="N1846" t="s">
        <v>154</v>
      </c>
      <c r="Q1846" s="10" t="str">
        <f>Tabela2[[#This Row],[Coluna5]]</f>
        <v>10/2025</v>
      </c>
      <c r="R1846" s="10" t="str">
        <f>IF(Tabela2[[#This Row],[Coluna9]]&gt;0,"Entrada","Saída")</f>
        <v>Entrada</v>
      </c>
      <c r="S1846" s="10" t="str">
        <f>Tabela2[[#This Row],[Coluna8]]</f>
        <v>4/9</v>
      </c>
      <c r="T1846" s="10" t="e">
        <f>Tabela2[[#This Row],[Coluna72]]</f>
        <v>#REF!</v>
      </c>
      <c r="U1846" s="10">
        <f>SUM(Tabela2[[#This Row],[Coluna9]],Tabela2[[#This Row],[Coluna10]])</f>
        <v>634</v>
      </c>
      <c r="V1846" s="2" t="str">
        <f>Tabela2[[#This Row],[Coluna4]]</f>
        <v>07/01/2026</v>
      </c>
      <c r="W1846" s="2" t="str">
        <f>Tabela2[[#This Row],[Coluna6]]</f>
        <v>06/01/2026</v>
      </c>
    </row>
    <row r="1847" spans="2:23" x14ac:dyDescent="0.2">
      <c r="B1847" t="s">
        <v>71</v>
      </c>
      <c r="C1847" t="s">
        <v>200</v>
      </c>
      <c r="D1847" t="s">
        <v>19</v>
      </c>
      <c r="E1847" s="8" t="s">
        <v>87</v>
      </c>
      <c r="F1847" t="s">
        <v>781</v>
      </c>
      <c r="G1847" s="8" t="s">
        <v>85</v>
      </c>
      <c r="H1847" t="s">
        <v>98</v>
      </c>
      <c r="I1847" t="e">
        <f>VLOOKUP(Tabela2[[#This Row],[Coluna7]],[1]!Tabela1[#All],2,0)</f>
        <v>#REF!</v>
      </c>
      <c r="J1847" t="s">
        <v>333</v>
      </c>
      <c r="K1847">
        <v>540</v>
      </c>
      <c r="N1847" t="s">
        <v>202</v>
      </c>
      <c r="Q1847" s="10" t="str">
        <f>Tabela2[[#This Row],[Coluna5]]</f>
        <v>01/2025</v>
      </c>
      <c r="R1847" s="10" t="str">
        <f>IF(Tabela2[[#This Row],[Coluna9]]&gt;0,"Entrada","Saída")</f>
        <v>Entrada</v>
      </c>
      <c r="S1847" s="10" t="str">
        <f>Tabela2[[#This Row],[Coluna8]]</f>
        <v>3/12</v>
      </c>
      <c r="T1847" s="10" t="e">
        <f>Tabela2[[#This Row],[Coluna72]]</f>
        <v>#REF!</v>
      </c>
      <c r="U1847" s="10">
        <f>SUM(Tabela2[[#This Row],[Coluna9]],Tabela2[[#This Row],[Coluna10]])</f>
        <v>540</v>
      </c>
      <c r="V1847" s="2" t="str">
        <f>Tabela2[[#This Row],[Coluna4]]</f>
        <v>07/01/2026</v>
      </c>
      <c r="W1847" s="2" t="str">
        <f>Tabela2[[#This Row],[Coluna6]]</f>
        <v>08/01/2026</v>
      </c>
    </row>
    <row r="1848" spans="2:23" x14ac:dyDescent="0.2">
      <c r="B1848" t="s">
        <v>748</v>
      </c>
      <c r="C1848" t="s">
        <v>125</v>
      </c>
      <c r="D1848" t="s">
        <v>19</v>
      </c>
      <c r="E1848" s="8" t="s">
        <v>87</v>
      </c>
      <c r="F1848" t="s">
        <v>84</v>
      </c>
      <c r="G1848" s="8" t="s">
        <v>87</v>
      </c>
      <c r="H1848" t="s">
        <v>104</v>
      </c>
      <c r="I1848" t="e">
        <f>VLOOKUP(Tabela2[[#This Row],[Coluna7]],[1]!Tabela1[#All],2,0)</f>
        <v>#REF!</v>
      </c>
      <c r="K1848">
        <v>8180</v>
      </c>
      <c r="M1848" t="s">
        <v>782</v>
      </c>
      <c r="N1848" t="s">
        <v>783</v>
      </c>
      <c r="Q1848" s="10" t="str">
        <f>Tabela2[[#This Row],[Coluna5]]</f>
        <v>01/2026</v>
      </c>
      <c r="R1848" s="10" t="str">
        <f>IF(Tabela2[[#This Row],[Coluna9]]&gt;0,"Entrada","Saída")</f>
        <v>Entrada</v>
      </c>
      <c r="S1848" s="10">
        <f>Tabela2[[#This Row],[Coluna8]]</f>
        <v>0</v>
      </c>
      <c r="T1848" s="10" t="e">
        <f>Tabela2[[#This Row],[Coluna72]]</f>
        <v>#REF!</v>
      </c>
      <c r="U1848" s="10">
        <f>SUM(Tabela2[[#This Row],[Coluna9]],Tabela2[[#This Row],[Coluna10]])</f>
        <v>8180</v>
      </c>
      <c r="V1848" s="2" t="str">
        <f>Tabela2[[#This Row],[Coluna4]]</f>
        <v>07/01/2026</v>
      </c>
      <c r="W1848" s="2" t="str">
        <f>Tabela2[[#This Row],[Coluna6]]</f>
        <v>07/01/2026</v>
      </c>
    </row>
    <row r="1849" spans="2:23" x14ac:dyDescent="0.2">
      <c r="B1849" t="s">
        <v>27</v>
      </c>
      <c r="C1849" t="s">
        <v>125</v>
      </c>
      <c r="D1849" t="s">
        <v>19</v>
      </c>
      <c r="E1849" s="8" t="s">
        <v>87</v>
      </c>
      <c r="F1849" t="s">
        <v>84</v>
      </c>
      <c r="G1849" s="8" t="s">
        <v>87</v>
      </c>
      <c r="H1849" t="s">
        <v>104</v>
      </c>
      <c r="I1849" t="e">
        <f>VLOOKUP(Tabela2[[#This Row],[Coluna7]],[1]!Tabela1[#All],2,0)</f>
        <v>#REF!</v>
      </c>
      <c r="K1849">
        <v>1345</v>
      </c>
      <c r="M1849" t="s">
        <v>784</v>
      </c>
      <c r="N1849" t="s">
        <v>785</v>
      </c>
      <c r="Q1849" s="10" t="str">
        <f>Tabela2[[#This Row],[Coluna5]]</f>
        <v>01/2026</v>
      </c>
      <c r="R1849" s="10" t="str">
        <f>IF(Tabela2[[#This Row],[Coluna9]]&gt;0,"Entrada","Saída")</f>
        <v>Entrada</v>
      </c>
      <c r="S1849" s="10">
        <f>Tabela2[[#This Row],[Coluna8]]</f>
        <v>0</v>
      </c>
      <c r="T1849" s="10" t="e">
        <f>Tabela2[[#This Row],[Coluna72]]</f>
        <v>#REF!</v>
      </c>
      <c r="U1849" s="10">
        <f>SUM(Tabela2[[#This Row],[Coluna9]],Tabela2[[#This Row],[Coluna10]])</f>
        <v>1345</v>
      </c>
      <c r="V1849" s="2" t="str">
        <f>Tabela2[[#This Row],[Coluna4]]</f>
        <v>07/01/2026</v>
      </c>
      <c r="W1849" s="2" t="str">
        <f>Tabela2[[#This Row],[Coluna6]]</f>
        <v>07/01/2026</v>
      </c>
    </row>
    <row r="1850" spans="2:23" x14ac:dyDescent="0.2">
      <c r="B1850" t="s">
        <v>27</v>
      </c>
      <c r="C1850" t="s">
        <v>125</v>
      </c>
      <c r="D1850" t="s">
        <v>19</v>
      </c>
      <c r="E1850" s="8" t="s">
        <v>87</v>
      </c>
      <c r="F1850" t="s">
        <v>84</v>
      </c>
      <c r="G1850" s="8" t="s">
        <v>87</v>
      </c>
      <c r="H1850" t="s">
        <v>104</v>
      </c>
      <c r="I1850" t="e">
        <f>VLOOKUP(Tabela2[[#This Row],[Coluna7]],[1]!Tabela1[#All],2,0)</f>
        <v>#REF!</v>
      </c>
      <c r="K1850">
        <v>5500</v>
      </c>
      <c r="M1850" t="s">
        <v>786</v>
      </c>
      <c r="N1850" t="s">
        <v>787</v>
      </c>
      <c r="Q1850" s="10" t="str">
        <f>Tabela2[[#This Row],[Coluna5]]</f>
        <v>01/2026</v>
      </c>
      <c r="R1850" s="10" t="str">
        <f>IF(Tabela2[[#This Row],[Coluna9]]&gt;0,"Entrada","Saída")</f>
        <v>Entrada</v>
      </c>
      <c r="S1850" s="10">
        <f>Tabela2[[#This Row],[Coluna8]]</f>
        <v>0</v>
      </c>
      <c r="T1850" s="10" t="e">
        <f>Tabela2[[#This Row],[Coluna72]]</f>
        <v>#REF!</v>
      </c>
      <c r="U1850" s="10">
        <f>SUM(Tabela2[[#This Row],[Coluna9]],Tabela2[[#This Row],[Coluna10]])</f>
        <v>5500</v>
      </c>
      <c r="V1850" s="2" t="str">
        <f>Tabela2[[#This Row],[Coluna4]]</f>
        <v>07/01/2026</v>
      </c>
      <c r="W1850" s="2" t="str">
        <f>Tabela2[[#This Row],[Coluna6]]</f>
        <v>07/01/2026</v>
      </c>
    </row>
    <row r="1851" spans="2:23" x14ac:dyDescent="0.2">
      <c r="B1851" t="s">
        <v>27</v>
      </c>
      <c r="C1851" t="s">
        <v>95</v>
      </c>
      <c r="D1851" t="s">
        <v>19</v>
      </c>
      <c r="E1851" s="8" t="s">
        <v>85</v>
      </c>
      <c r="F1851" t="s">
        <v>15</v>
      </c>
      <c r="G1851" s="8" t="s">
        <v>85</v>
      </c>
      <c r="H1851" t="s">
        <v>98</v>
      </c>
      <c r="I1851" t="e">
        <f>VLOOKUP(Tabela2[[#This Row],[Coluna7]],[1]!Tabela1[#All],2,0)</f>
        <v>#REF!</v>
      </c>
      <c r="J1851" t="s">
        <v>780</v>
      </c>
      <c r="K1851">
        <v>500</v>
      </c>
      <c r="N1851" t="s">
        <v>164</v>
      </c>
      <c r="Q1851" s="10" t="str">
        <f>Tabela2[[#This Row],[Coluna5]]</f>
        <v>10/2025</v>
      </c>
      <c r="R1851" s="10" t="str">
        <f>IF(Tabela2[[#This Row],[Coluna9]]&gt;0,"Entrada","Saída")</f>
        <v>Entrada</v>
      </c>
      <c r="S1851" s="10" t="str">
        <f>Tabela2[[#This Row],[Coluna8]]</f>
        <v>4/9</v>
      </c>
      <c r="T1851" s="10" t="e">
        <f>Tabela2[[#This Row],[Coluna72]]</f>
        <v>#REF!</v>
      </c>
      <c r="U1851" s="10">
        <f>SUM(Tabela2[[#This Row],[Coluna9]],Tabela2[[#This Row],[Coluna10]])</f>
        <v>500</v>
      </c>
      <c r="V1851" s="2" t="str">
        <f>Tabela2[[#This Row],[Coluna4]]</f>
        <v>08/01/2026</v>
      </c>
      <c r="W1851" s="2" t="str">
        <f>Tabela2[[#This Row],[Coluna6]]</f>
        <v>08/01/2026</v>
      </c>
    </row>
    <row r="1852" spans="2:23" x14ac:dyDescent="0.2">
      <c r="B1852" t="s">
        <v>27</v>
      </c>
      <c r="C1852" t="s">
        <v>125</v>
      </c>
      <c r="D1852" t="s">
        <v>19</v>
      </c>
      <c r="E1852" s="8" t="s">
        <v>85</v>
      </c>
      <c r="F1852" t="s">
        <v>84</v>
      </c>
      <c r="G1852" s="8" t="s">
        <v>85</v>
      </c>
      <c r="H1852" t="s">
        <v>104</v>
      </c>
      <c r="I1852" t="e">
        <f>VLOOKUP(Tabela2[[#This Row],[Coluna7]],[1]!Tabela1[#All],2,0)</f>
        <v>#REF!</v>
      </c>
      <c r="K1852">
        <v>9075</v>
      </c>
      <c r="M1852" t="s">
        <v>788</v>
      </c>
      <c r="N1852" t="s">
        <v>789</v>
      </c>
      <c r="Q1852" s="10" t="str">
        <f>Tabela2[[#This Row],[Coluna5]]</f>
        <v>01/2026</v>
      </c>
      <c r="R1852" s="10" t="str">
        <f>IF(Tabela2[[#This Row],[Coluna9]]&gt;0,"Entrada","Saída")</f>
        <v>Entrada</v>
      </c>
      <c r="S1852" s="10">
        <f>Tabela2[[#This Row],[Coluna8]]</f>
        <v>0</v>
      </c>
      <c r="T1852" s="10" t="e">
        <f>Tabela2[[#This Row],[Coluna72]]</f>
        <v>#REF!</v>
      </c>
      <c r="U1852" s="10">
        <f>SUM(Tabela2[[#This Row],[Coluna9]],Tabela2[[#This Row],[Coluna10]])</f>
        <v>9075</v>
      </c>
      <c r="V1852" s="2" t="str">
        <f>Tabela2[[#This Row],[Coluna4]]</f>
        <v>08/01/2026</v>
      </c>
      <c r="W1852" s="2" t="str">
        <f>Tabela2[[#This Row],[Coluna6]]</f>
        <v>08/01/2026</v>
      </c>
    </row>
    <row r="1853" spans="2:23" x14ac:dyDescent="0.2">
      <c r="B1853" t="s">
        <v>71</v>
      </c>
      <c r="C1853" t="s">
        <v>95</v>
      </c>
      <c r="D1853" t="s">
        <v>19</v>
      </c>
      <c r="E1853" s="8" t="s">
        <v>85</v>
      </c>
      <c r="F1853" t="s">
        <v>84</v>
      </c>
      <c r="G1853" s="8" t="s">
        <v>85</v>
      </c>
      <c r="H1853" t="s">
        <v>156</v>
      </c>
      <c r="I1853" t="e">
        <f>VLOOKUP(Tabela2[[#This Row],[Coluna7]],[1]!Tabela1[#All],2,0)</f>
        <v>#REF!</v>
      </c>
      <c r="J1853" t="s">
        <v>790</v>
      </c>
      <c r="K1853">
        <v>600</v>
      </c>
      <c r="N1853" t="s">
        <v>791</v>
      </c>
      <c r="Q1853" s="10" t="str">
        <f>Tabela2[[#This Row],[Coluna5]]</f>
        <v>01/2026</v>
      </c>
      <c r="R1853" s="10" t="str">
        <f>IF(Tabela2[[#This Row],[Coluna9]]&gt;0,"Entrada","Saída")</f>
        <v>Entrada</v>
      </c>
      <c r="S1853" s="10" t="str">
        <f>Tabela2[[#This Row],[Coluna8]]</f>
        <v>SUBLOCAÇÃO</v>
      </c>
      <c r="T1853" s="10" t="e">
        <f>Tabela2[[#This Row],[Coluna72]]</f>
        <v>#REF!</v>
      </c>
      <c r="U1853" s="10">
        <f>SUM(Tabela2[[#This Row],[Coluna9]],Tabela2[[#This Row],[Coluna10]])</f>
        <v>600</v>
      </c>
      <c r="V1853" s="2" t="str">
        <f>Tabela2[[#This Row],[Coluna4]]</f>
        <v>08/01/2026</v>
      </c>
      <c r="W1853" s="2" t="str">
        <f>Tabela2[[#This Row],[Coluna6]]</f>
        <v>08/01/2026</v>
      </c>
    </row>
    <row r="1854" spans="2:23" x14ac:dyDescent="0.2">
      <c r="B1854" t="s">
        <v>215</v>
      </c>
      <c r="C1854" t="s">
        <v>200</v>
      </c>
      <c r="D1854" t="s">
        <v>19</v>
      </c>
      <c r="E1854" s="8" t="s">
        <v>348</v>
      </c>
      <c r="F1854" t="s">
        <v>84</v>
      </c>
      <c r="G1854" s="8" t="s">
        <v>83</v>
      </c>
      <c r="H1854" t="s">
        <v>104</v>
      </c>
      <c r="I1854" t="e">
        <f>VLOOKUP(Tabela2[[#This Row],[Coluna7]],[1]!Tabela1[#All],2,0)</f>
        <v>#REF!</v>
      </c>
      <c r="K1854">
        <v>2228</v>
      </c>
      <c r="M1854" t="s">
        <v>349</v>
      </c>
      <c r="N1854" t="s">
        <v>350</v>
      </c>
      <c r="Q1854" s="10" t="str">
        <f>Tabela2[[#This Row],[Coluna5]]</f>
        <v>01/2026</v>
      </c>
      <c r="R1854" s="10" t="str">
        <f>IF(Tabela2[[#This Row],[Coluna9]]&gt;0,"Entrada","Saída")</f>
        <v>Entrada</v>
      </c>
      <c r="S1854" s="10">
        <f>Tabela2[[#This Row],[Coluna8]]</f>
        <v>0</v>
      </c>
      <c r="T1854" s="10" t="e">
        <f>Tabela2[[#This Row],[Coluna72]]</f>
        <v>#REF!</v>
      </c>
      <c r="U1854" s="10">
        <f>SUM(Tabela2[[#This Row],[Coluna9]],Tabela2[[#This Row],[Coluna10]])</f>
        <v>2228</v>
      </c>
      <c r="V1854" s="2" t="str">
        <f>Tabela2[[#This Row],[Coluna4]]</f>
        <v>09/01/2026</v>
      </c>
      <c r="W1854" s="2" t="str">
        <f>Tabela2[[#This Row],[Coluna6]]</f>
        <v>06/01/2026</v>
      </c>
    </row>
    <row r="1855" spans="2:23" x14ac:dyDescent="0.2">
      <c r="B1855" t="s">
        <v>27</v>
      </c>
      <c r="C1855" t="s">
        <v>200</v>
      </c>
      <c r="D1855" t="s">
        <v>19</v>
      </c>
      <c r="E1855" s="8" t="s">
        <v>348</v>
      </c>
      <c r="F1855" t="s">
        <v>84</v>
      </c>
      <c r="G1855" s="8" t="s">
        <v>348</v>
      </c>
      <c r="H1855" t="s">
        <v>104</v>
      </c>
      <c r="I1855" t="e">
        <f>VLOOKUP(Tabela2[[#This Row],[Coluna7]],[1]!Tabela1[#All],2,0)</f>
        <v>#REF!</v>
      </c>
      <c r="K1855">
        <v>6000</v>
      </c>
      <c r="M1855" t="s">
        <v>792</v>
      </c>
      <c r="N1855" t="s">
        <v>793</v>
      </c>
      <c r="Q1855" s="10" t="str">
        <f>Tabela2[[#This Row],[Coluna5]]</f>
        <v>01/2026</v>
      </c>
      <c r="R1855" s="10" t="str">
        <f>IF(Tabela2[[#This Row],[Coluna9]]&gt;0,"Entrada","Saída")</f>
        <v>Entrada</v>
      </c>
      <c r="S1855" s="10">
        <f>Tabela2[[#This Row],[Coluna8]]</f>
        <v>0</v>
      </c>
      <c r="T1855" s="10" t="e">
        <f>Tabela2[[#This Row],[Coluna72]]</f>
        <v>#REF!</v>
      </c>
      <c r="U1855" s="10">
        <f>SUM(Tabela2[[#This Row],[Coluna9]],Tabela2[[#This Row],[Coluna10]])</f>
        <v>6000</v>
      </c>
      <c r="V1855" s="2" t="str">
        <f>Tabela2[[#This Row],[Coluna4]]</f>
        <v>09/01/2026</v>
      </c>
      <c r="W1855" s="2" t="str">
        <f>Tabela2[[#This Row],[Coluna6]]</f>
        <v>09/01/2026</v>
      </c>
    </row>
    <row r="1856" spans="2:23" x14ac:dyDescent="0.2">
      <c r="B1856" t="s">
        <v>27</v>
      </c>
      <c r="C1856" t="s">
        <v>95</v>
      </c>
      <c r="D1856" t="s">
        <v>19</v>
      </c>
      <c r="E1856" s="8" t="s">
        <v>348</v>
      </c>
      <c r="F1856" t="s">
        <v>84</v>
      </c>
      <c r="G1856" s="8" t="s">
        <v>348</v>
      </c>
      <c r="H1856" t="s">
        <v>98</v>
      </c>
      <c r="I1856" t="e">
        <f>VLOOKUP(Tabela2[[#This Row],[Coluna7]],[1]!Tabela1[#All],2,0)</f>
        <v>#REF!</v>
      </c>
      <c r="K1856">
        <v>320</v>
      </c>
      <c r="N1856" t="s">
        <v>166</v>
      </c>
      <c r="Q1856" s="10" t="str">
        <f>Tabela2[[#This Row],[Coluna5]]</f>
        <v>01/2026</v>
      </c>
      <c r="R1856" s="10" t="str">
        <f>IF(Tabela2[[#This Row],[Coluna9]]&gt;0,"Entrada","Saída")</f>
        <v>Entrada</v>
      </c>
      <c r="S1856" s="10">
        <f>Tabela2[[#This Row],[Coluna8]]</f>
        <v>0</v>
      </c>
      <c r="T1856" s="10" t="e">
        <f>Tabela2[[#This Row],[Coluna72]]</f>
        <v>#REF!</v>
      </c>
      <c r="U1856" s="10">
        <f>SUM(Tabela2[[#This Row],[Coluna9]],Tabela2[[#This Row],[Coluna10]])</f>
        <v>320</v>
      </c>
      <c r="V1856" s="2" t="str">
        <f>Tabela2[[#This Row],[Coluna4]]</f>
        <v>09/01/2026</v>
      </c>
      <c r="W1856" s="2" t="str">
        <f>Tabela2[[#This Row],[Coluna6]]</f>
        <v>09/01/2026</v>
      </c>
    </row>
    <row r="1857" spans="2:23" x14ac:dyDescent="0.2">
      <c r="B1857" t="s">
        <v>27</v>
      </c>
      <c r="C1857" t="s">
        <v>95</v>
      </c>
      <c r="D1857" t="s">
        <v>19</v>
      </c>
      <c r="E1857" s="8" t="s">
        <v>348</v>
      </c>
      <c r="F1857" t="s">
        <v>84</v>
      </c>
      <c r="G1857" s="8" t="s">
        <v>348</v>
      </c>
      <c r="H1857" t="s">
        <v>107</v>
      </c>
      <c r="I1857" t="e">
        <f>VLOOKUP(Tabela2[[#This Row],[Coluna7]],[1]!Tabela1[#All],2,0)</f>
        <v>#REF!</v>
      </c>
      <c r="K1857">
        <v>9622.5</v>
      </c>
      <c r="M1857" t="s">
        <v>794</v>
      </c>
      <c r="N1857" t="s">
        <v>795</v>
      </c>
      <c r="Q1857" s="10" t="str">
        <f>Tabela2[[#This Row],[Coluna5]]</f>
        <v>01/2026</v>
      </c>
      <c r="R1857" s="10" t="str">
        <f>IF(Tabela2[[#This Row],[Coluna9]]&gt;0,"Entrada","Saída")</f>
        <v>Entrada</v>
      </c>
      <c r="S1857" s="10">
        <f>Tabela2[[#This Row],[Coluna8]]</f>
        <v>0</v>
      </c>
      <c r="T1857" s="10" t="e">
        <f>Tabela2[[#This Row],[Coluna72]]</f>
        <v>#REF!</v>
      </c>
      <c r="U1857" s="10">
        <f>SUM(Tabela2[[#This Row],[Coluna9]],Tabela2[[#This Row],[Coluna10]])</f>
        <v>9622.5</v>
      </c>
      <c r="V1857" s="2" t="str">
        <f>Tabela2[[#This Row],[Coluna4]]</f>
        <v>09/01/2026</v>
      </c>
      <c r="W1857" s="2" t="str">
        <f>Tabela2[[#This Row],[Coluna6]]</f>
        <v>09/01/2026</v>
      </c>
    </row>
    <row r="1858" spans="2:23" x14ac:dyDescent="0.2">
      <c r="B1858" t="s">
        <v>71</v>
      </c>
      <c r="C1858" t="s">
        <v>95</v>
      </c>
      <c r="D1858" t="s">
        <v>19</v>
      </c>
      <c r="E1858" s="8" t="s">
        <v>351</v>
      </c>
      <c r="F1858" t="s">
        <v>15</v>
      </c>
      <c r="G1858" s="8" t="s">
        <v>94</v>
      </c>
      <c r="H1858" t="s">
        <v>98</v>
      </c>
      <c r="I1858" t="e">
        <f>VLOOKUP(Tabela2[[#This Row],[Coluna7]],[1]!Tabela1[#All],2,0)</f>
        <v>#REF!</v>
      </c>
      <c r="J1858" t="s">
        <v>796</v>
      </c>
      <c r="K1858">
        <v>500</v>
      </c>
      <c r="M1858" t="s">
        <v>160</v>
      </c>
      <c r="N1858" t="s">
        <v>161</v>
      </c>
      <c r="Q1858" s="10" t="str">
        <f>Tabela2[[#This Row],[Coluna5]]</f>
        <v>10/2025</v>
      </c>
      <c r="R1858" s="10" t="str">
        <f>IF(Tabela2[[#This Row],[Coluna9]]&gt;0,"Entrada","Saída")</f>
        <v>Entrada</v>
      </c>
      <c r="S1858" s="10" t="str">
        <f>Tabela2[[#This Row],[Coluna8]]</f>
        <v>4/14</v>
      </c>
      <c r="T1858" s="10" t="e">
        <f>Tabela2[[#This Row],[Coluna72]]</f>
        <v>#REF!</v>
      </c>
      <c r="U1858" s="10">
        <f>SUM(Tabela2[[#This Row],[Coluna9]],Tabela2[[#This Row],[Coluna10]])</f>
        <v>500</v>
      </c>
      <c r="V1858" s="2" t="str">
        <f>Tabela2[[#This Row],[Coluna4]]</f>
        <v>10/01/2026</v>
      </c>
      <c r="W1858" s="2" t="str">
        <f>Tabela2[[#This Row],[Coluna6]]</f>
        <v>29/01/2026</v>
      </c>
    </row>
    <row r="1859" spans="2:23" x14ac:dyDescent="0.2">
      <c r="B1859" t="s">
        <v>71</v>
      </c>
      <c r="C1859" t="s">
        <v>95</v>
      </c>
      <c r="D1859" t="s">
        <v>19</v>
      </c>
      <c r="E1859" s="8" t="s">
        <v>351</v>
      </c>
      <c r="F1859" t="s">
        <v>84</v>
      </c>
      <c r="G1859" s="8" t="s">
        <v>348</v>
      </c>
      <c r="H1859" t="s">
        <v>156</v>
      </c>
      <c r="I1859" t="e">
        <f>VLOOKUP(Tabela2[[#This Row],[Coluna7]],[1]!Tabela1[#All],2,0)</f>
        <v>#REF!</v>
      </c>
      <c r="J1859" t="s">
        <v>239</v>
      </c>
      <c r="K1859">
        <v>600</v>
      </c>
      <c r="Q1859" s="10" t="str">
        <f>Tabela2[[#This Row],[Coluna5]]</f>
        <v>01/2026</v>
      </c>
      <c r="R1859" s="10" t="str">
        <f>IF(Tabela2[[#This Row],[Coluna9]]&gt;0,"Entrada","Saída")</f>
        <v>Entrada</v>
      </c>
      <c r="S1859" s="10" t="str">
        <f>Tabela2[[#This Row],[Coluna8]]</f>
        <v>FRANCISCO SALES - ALUGUEL</v>
      </c>
      <c r="T1859" s="10" t="e">
        <f>Tabela2[[#This Row],[Coluna72]]</f>
        <v>#REF!</v>
      </c>
      <c r="U1859" s="10">
        <f>SUM(Tabela2[[#This Row],[Coluna9]],Tabela2[[#This Row],[Coluna10]])</f>
        <v>600</v>
      </c>
      <c r="V1859" s="2" t="str">
        <f>Tabela2[[#This Row],[Coluna4]]</f>
        <v>10/01/2026</v>
      </c>
      <c r="W1859" s="2" t="str">
        <f>Tabela2[[#This Row],[Coluna6]]</f>
        <v>09/01/2026</v>
      </c>
    </row>
    <row r="1860" spans="2:23" x14ac:dyDescent="0.2">
      <c r="B1860" t="s">
        <v>27</v>
      </c>
      <c r="C1860" t="s">
        <v>95</v>
      </c>
      <c r="D1860" t="s">
        <v>19</v>
      </c>
      <c r="E1860" s="8" t="s">
        <v>86</v>
      </c>
      <c r="F1860" t="s">
        <v>84</v>
      </c>
      <c r="G1860" s="8" t="s">
        <v>86</v>
      </c>
      <c r="H1860" t="s">
        <v>162</v>
      </c>
      <c r="I1860" t="e">
        <f>VLOOKUP(Tabela2[[#This Row],[Coluna7]],[1]!Tabela1[#All],2,0)</f>
        <v>#REF!</v>
      </c>
      <c r="K1860">
        <v>0.41</v>
      </c>
      <c r="Q1860" s="10" t="str">
        <f>Tabela2[[#This Row],[Coluna5]]</f>
        <v>01/2026</v>
      </c>
      <c r="R1860" s="10" t="str">
        <f>IF(Tabela2[[#This Row],[Coluna9]]&gt;0,"Entrada","Saída")</f>
        <v>Entrada</v>
      </c>
      <c r="S1860" s="10">
        <f>Tabela2[[#This Row],[Coluna8]]</f>
        <v>0</v>
      </c>
      <c r="T1860" s="10" t="e">
        <f>Tabela2[[#This Row],[Coluna72]]</f>
        <v>#REF!</v>
      </c>
      <c r="U1860" s="10">
        <f>SUM(Tabela2[[#This Row],[Coluna9]],Tabela2[[#This Row],[Coluna10]])</f>
        <v>0.41</v>
      </c>
      <c r="V1860" s="2" t="str">
        <f>Tabela2[[#This Row],[Coluna4]]</f>
        <v>13/01/2026</v>
      </c>
      <c r="W1860" s="2" t="str">
        <f>Tabela2[[#This Row],[Coluna6]]</f>
        <v>13/01/2026</v>
      </c>
    </row>
    <row r="1861" spans="2:23" x14ac:dyDescent="0.2">
      <c r="B1861" t="s">
        <v>27</v>
      </c>
      <c r="C1861" t="s">
        <v>95</v>
      </c>
      <c r="D1861" t="s">
        <v>19</v>
      </c>
      <c r="E1861" s="8" t="s">
        <v>88</v>
      </c>
      <c r="F1861" t="s">
        <v>84</v>
      </c>
      <c r="G1861" s="8" t="s">
        <v>346</v>
      </c>
      <c r="H1861" t="s">
        <v>98</v>
      </c>
      <c r="I1861" t="e">
        <f>VLOOKUP(Tabela2[[#This Row],[Coluna7]],[1]!Tabela1[#All],2,0)</f>
        <v>#REF!</v>
      </c>
      <c r="J1861" t="s">
        <v>333</v>
      </c>
      <c r="K1861">
        <v>900</v>
      </c>
      <c r="M1861" t="s">
        <v>176</v>
      </c>
      <c r="N1861" t="s">
        <v>177</v>
      </c>
      <c r="Q1861" s="10" t="str">
        <f>Tabela2[[#This Row],[Coluna5]]</f>
        <v>01/2026</v>
      </c>
      <c r="R1861" s="10" t="str">
        <f>IF(Tabela2[[#This Row],[Coluna9]]&gt;0,"Entrada","Saída")</f>
        <v>Entrada</v>
      </c>
      <c r="S1861" s="10" t="str">
        <f>Tabela2[[#This Row],[Coluna8]]</f>
        <v>3/12</v>
      </c>
      <c r="T1861" s="10" t="e">
        <f>Tabela2[[#This Row],[Coluna72]]</f>
        <v>#REF!</v>
      </c>
      <c r="U1861" s="10">
        <f>SUM(Tabela2[[#This Row],[Coluna9]],Tabela2[[#This Row],[Coluna10]])</f>
        <v>900</v>
      </c>
      <c r="V1861" s="2" t="str">
        <f>Tabela2[[#This Row],[Coluna4]]</f>
        <v>14/01/2026</v>
      </c>
      <c r="W1861" s="2" t="str">
        <f>Tabela2[[#This Row],[Coluna6]]</f>
        <v>12/01/2026</v>
      </c>
    </row>
    <row r="1862" spans="2:23" x14ac:dyDescent="0.2">
      <c r="B1862" t="s">
        <v>27</v>
      </c>
      <c r="C1862" t="s">
        <v>95</v>
      </c>
      <c r="D1862" t="s">
        <v>19</v>
      </c>
      <c r="E1862" s="8" t="s">
        <v>88</v>
      </c>
      <c r="F1862" t="s">
        <v>84</v>
      </c>
      <c r="G1862" s="8" t="s">
        <v>88</v>
      </c>
      <c r="H1862" t="s">
        <v>211</v>
      </c>
      <c r="I1862" t="e">
        <f>VLOOKUP(Tabela2[[#This Row],[Coluna7]],[1]!Tabela1[#All],2,0)</f>
        <v>#REF!</v>
      </c>
      <c r="K1862">
        <v>250</v>
      </c>
      <c r="Q1862" s="10" t="str">
        <f>Tabela2[[#This Row],[Coluna5]]</f>
        <v>01/2026</v>
      </c>
      <c r="R1862" s="10" t="str">
        <f>IF(Tabela2[[#This Row],[Coluna9]]&gt;0,"Entrada","Saída")</f>
        <v>Entrada</v>
      </c>
      <c r="S1862" s="10">
        <f>Tabela2[[#This Row],[Coluna8]]</f>
        <v>0</v>
      </c>
      <c r="T1862" s="10" t="e">
        <f>Tabela2[[#This Row],[Coluna72]]</f>
        <v>#REF!</v>
      </c>
      <c r="U1862" s="10">
        <f>SUM(Tabela2[[#This Row],[Coluna9]],Tabela2[[#This Row],[Coluna10]])</f>
        <v>250</v>
      </c>
      <c r="V1862" s="2" t="str">
        <f>Tabela2[[#This Row],[Coluna4]]</f>
        <v>14/01/2026</v>
      </c>
      <c r="W1862" s="2" t="str">
        <f>Tabela2[[#This Row],[Coluna6]]</f>
        <v>14/01/2026</v>
      </c>
    </row>
    <row r="1863" spans="2:23" x14ac:dyDescent="0.2">
      <c r="B1863" t="s">
        <v>27</v>
      </c>
      <c r="C1863" t="s">
        <v>95</v>
      </c>
      <c r="D1863" t="s">
        <v>19</v>
      </c>
      <c r="E1863" s="8" t="s">
        <v>88</v>
      </c>
      <c r="F1863" t="s">
        <v>84</v>
      </c>
      <c r="G1863" s="8" t="s">
        <v>88</v>
      </c>
      <c r="H1863" t="s">
        <v>162</v>
      </c>
      <c r="I1863" t="e">
        <f>VLOOKUP(Tabela2[[#This Row],[Coluna7]],[1]!Tabela1[#All],2,0)</f>
        <v>#REF!</v>
      </c>
      <c r="K1863">
        <v>2.16</v>
      </c>
      <c r="Q1863" s="10" t="str">
        <f>Tabela2[[#This Row],[Coluna5]]</f>
        <v>01/2026</v>
      </c>
      <c r="R1863" s="10" t="str">
        <f>IF(Tabela2[[#This Row],[Coluna9]]&gt;0,"Entrada","Saída")</f>
        <v>Entrada</v>
      </c>
      <c r="S1863" s="10">
        <f>Tabela2[[#This Row],[Coluna8]]</f>
        <v>0</v>
      </c>
      <c r="T1863" s="10" t="e">
        <f>Tabela2[[#This Row],[Coluna72]]</f>
        <v>#REF!</v>
      </c>
      <c r="U1863" s="10">
        <f>SUM(Tabela2[[#This Row],[Coluna9]],Tabela2[[#This Row],[Coluna10]])</f>
        <v>2.16</v>
      </c>
      <c r="V1863" s="2" t="str">
        <f>Tabela2[[#This Row],[Coluna4]]</f>
        <v>14/01/2026</v>
      </c>
      <c r="W1863" s="2" t="str">
        <f>Tabela2[[#This Row],[Coluna6]]</f>
        <v>14/01/2026</v>
      </c>
    </row>
    <row r="1864" spans="2:23" x14ac:dyDescent="0.2">
      <c r="B1864" t="s">
        <v>748</v>
      </c>
      <c r="C1864" t="s">
        <v>95</v>
      </c>
      <c r="D1864" t="s">
        <v>19</v>
      </c>
      <c r="E1864" s="8" t="s">
        <v>88</v>
      </c>
      <c r="F1864" t="s">
        <v>84</v>
      </c>
      <c r="G1864" s="8" t="s">
        <v>88</v>
      </c>
      <c r="H1864" t="s">
        <v>156</v>
      </c>
      <c r="I1864" t="e">
        <f>VLOOKUP(Tabela2[[#This Row],[Coluna7]],[1]!Tabela1[#All],2,0)</f>
        <v>#REF!</v>
      </c>
      <c r="J1864" t="s">
        <v>797</v>
      </c>
      <c r="K1864">
        <v>9.9</v>
      </c>
      <c r="Q1864" s="10" t="str">
        <f>Tabela2[[#This Row],[Coluna5]]</f>
        <v>01/2026</v>
      </c>
      <c r="R1864" s="10" t="str">
        <f>IF(Tabela2[[#This Row],[Coluna9]]&gt;0,"Entrada","Saída")</f>
        <v>Entrada</v>
      </c>
      <c r="S1864" s="10" t="str">
        <f>Tabela2[[#This Row],[Coluna8]]</f>
        <v>ESTORNO</v>
      </c>
      <c r="T1864" s="10" t="e">
        <f>Tabela2[[#This Row],[Coluna72]]</f>
        <v>#REF!</v>
      </c>
      <c r="U1864" s="10">
        <f>SUM(Tabela2[[#This Row],[Coluna9]],Tabela2[[#This Row],[Coluna10]])</f>
        <v>9.9</v>
      </c>
      <c r="V1864" s="2" t="str">
        <f>Tabela2[[#This Row],[Coluna4]]</f>
        <v>14/01/2026</v>
      </c>
      <c r="W1864" s="2" t="str">
        <f>Tabela2[[#This Row],[Coluna6]]</f>
        <v>14/01/2026</v>
      </c>
    </row>
    <row r="1865" spans="2:23" x14ac:dyDescent="0.2">
      <c r="B1865" t="s">
        <v>27</v>
      </c>
      <c r="C1865" t="s">
        <v>200</v>
      </c>
      <c r="D1865" t="s">
        <v>19</v>
      </c>
      <c r="E1865" s="8" t="s">
        <v>89</v>
      </c>
      <c r="F1865" t="s">
        <v>64</v>
      </c>
      <c r="G1865" s="8" t="s">
        <v>339</v>
      </c>
      <c r="H1865" t="s">
        <v>98</v>
      </c>
      <c r="I1865" t="e">
        <f>VLOOKUP(Tabela2[[#This Row],[Coluna7]],[1]!Tabela1[#All],2,0)</f>
        <v>#REF!</v>
      </c>
      <c r="J1865" t="s">
        <v>760</v>
      </c>
      <c r="K1865">
        <v>400</v>
      </c>
      <c r="N1865" t="s">
        <v>270</v>
      </c>
      <c r="Q1865" s="10" t="str">
        <f>Tabela2[[#This Row],[Coluna5]]</f>
        <v>12/2025</v>
      </c>
      <c r="R1865" s="10" t="str">
        <f>IF(Tabela2[[#This Row],[Coluna9]]&gt;0,"Entrada","Saída")</f>
        <v>Entrada</v>
      </c>
      <c r="S1865" s="10" t="str">
        <f>Tabela2[[#This Row],[Coluna8]]</f>
        <v>2/10</v>
      </c>
      <c r="T1865" s="10" t="e">
        <f>Tabela2[[#This Row],[Coluna72]]</f>
        <v>#REF!</v>
      </c>
      <c r="U1865" s="10">
        <f>SUM(Tabela2[[#This Row],[Coluna9]],Tabela2[[#This Row],[Coluna10]])</f>
        <v>400</v>
      </c>
      <c r="V1865" s="2" t="str">
        <f>Tabela2[[#This Row],[Coluna4]]</f>
        <v>15/01/2026</v>
      </c>
      <c r="W1865" s="2" t="str">
        <f>Tabela2[[#This Row],[Coluna6]]</f>
        <v>02/01/2026</v>
      </c>
    </row>
    <row r="1866" spans="2:23" x14ac:dyDescent="0.2">
      <c r="B1866" t="s">
        <v>748</v>
      </c>
      <c r="C1866" t="s">
        <v>200</v>
      </c>
      <c r="D1866" t="s">
        <v>19</v>
      </c>
      <c r="E1866" s="8" t="s">
        <v>89</v>
      </c>
      <c r="F1866" t="s">
        <v>64</v>
      </c>
      <c r="G1866" s="8" t="s">
        <v>90</v>
      </c>
      <c r="H1866" t="s">
        <v>98</v>
      </c>
      <c r="I1866" t="e">
        <f>VLOOKUP(Tabela2[[#This Row],[Coluna7]],[1]!Tabela1[#All],2,0)</f>
        <v>#REF!</v>
      </c>
      <c r="J1866" t="s">
        <v>219</v>
      </c>
      <c r="K1866">
        <v>500</v>
      </c>
      <c r="N1866" t="s">
        <v>189</v>
      </c>
      <c r="Q1866" s="10" t="str">
        <f>Tabela2[[#This Row],[Coluna5]]</f>
        <v>12/2025</v>
      </c>
      <c r="R1866" s="10" t="str">
        <f>IF(Tabela2[[#This Row],[Coluna9]]&gt;0,"Entrada","Saída")</f>
        <v>Entrada</v>
      </c>
      <c r="S1866" s="10" t="str">
        <f>Tabela2[[#This Row],[Coluna8]]</f>
        <v>2/8</v>
      </c>
      <c r="T1866" s="10" t="e">
        <f>Tabela2[[#This Row],[Coluna72]]</f>
        <v>#REF!</v>
      </c>
      <c r="U1866" s="10">
        <f>SUM(Tabela2[[#This Row],[Coluna9]],Tabela2[[#This Row],[Coluna10]])</f>
        <v>500</v>
      </c>
      <c r="V1866" s="2" t="str">
        <f>Tabela2[[#This Row],[Coluna4]]</f>
        <v>15/01/2026</v>
      </c>
      <c r="W1866" s="2" t="str">
        <f>Tabela2[[#This Row],[Coluna6]]</f>
        <v>19/01/2026</v>
      </c>
    </row>
    <row r="1867" spans="2:23" x14ac:dyDescent="0.2">
      <c r="B1867" t="s">
        <v>27</v>
      </c>
      <c r="C1867" t="s">
        <v>95</v>
      </c>
      <c r="D1867" t="s">
        <v>19</v>
      </c>
      <c r="E1867" s="8" t="s">
        <v>89</v>
      </c>
      <c r="F1867" t="s">
        <v>84</v>
      </c>
      <c r="G1867" s="8" t="s">
        <v>89</v>
      </c>
      <c r="H1867" t="s">
        <v>107</v>
      </c>
      <c r="I1867" t="e">
        <f>VLOOKUP(Tabela2[[#This Row],[Coluna7]],[1]!Tabela1[#All],2,0)</f>
        <v>#REF!</v>
      </c>
      <c r="K1867">
        <v>7132</v>
      </c>
      <c r="M1867" t="s">
        <v>100</v>
      </c>
      <c r="N1867" t="s">
        <v>101</v>
      </c>
      <c r="Q1867" s="10" t="str">
        <f>Tabela2[[#This Row],[Coluna5]]</f>
        <v>01/2026</v>
      </c>
      <c r="R1867" s="10" t="str">
        <f>IF(Tabela2[[#This Row],[Coluna9]]&gt;0,"Entrada","Saída")</f>
        <v>Entrada</v>
      </c>
      <c r="S1867" s="10">
        <f>Tabela2[[#This Row],[Coluna8]]</f>
        <v>0</v>
      </c>
      <c r="T1867" s="10" t="e">
        <f>Tabela2[[#This Row],[Coluna72]]</f>
        <v>#REF!</v>
      </c>
      <c r="U1867" s="10">
        <f>SUM(Tabela2[[#This Row],[Coluna9]],Tabela2[[#This Row],[Coluna10]])</f>
        <v>7132</v>
      </c>
      <c r="V1867" s="2" t="str">
        <f>Tabela2[[#This Row],[Coluna4]]</f>
        <v>15/01/2026</v>
      </c>
      <c r="W1867" s="2" t="str">
        <f>Tabela2[[#This Row],[Coluna6]]</f>
        <v>15/01/2026</v>
      </c>
    </row>
    <row r="1868" spans="2:23" x14ac:dyDescent="0.2">
      <c r="B1868" t="s">
        <v>27</v>
      </c>
      <c r="C1868" t="s">
        <v>245</v>
      </c>
      <c r="D1868" t="s">
        <v>19</v>
      </c>
      <c r="E1868" s="8" t="s">
        <v>352</v>
      </c>
      <c r="F1868" t="s">
        <v>42</v>
      </c>
      <c r="G1868" s="8" t="s">
        <v>89</v>
      </c>
      <c r="H1868" t="s">
        <v>107</v>
      </c>
      <c r="I1868" t="e">
        <f>VLOOKUP(Tabela2[[#This Row],[Coluna7]],[1]!Tabela1[#All],2,0)</f>
        <v>#REF!</v>
      </c>
      <c r="J1868" t="s">
        <v>798</v>
      </c>
      <c r="K1868">
        <v>600</v>
      </c>
      <c r="M1868" t="s">
        <v>187</v>
      </c>
      <c r="N1868" t="s">
        <v>188</v>
      </c>
      <c r="Q1868" s="10" t="str">
        <f>Tabela2[[#This Row],[Coluna5]]</f>
        <v>11/2025</v>
      </c>
      <c r="R1868" s="10" t="str">
        <f>IF(Tabela2[[#This Row],[Coluna9]]&gt;0,"Entrada","Saída")</f>
        <v>Entrada</v>
      </c>
      <c r="S1868" s="10" t="str">
        <f>Tabela2[[#This Row],[Coluna8]]</f>
        <v>3/8 - BODE E BRASA</v>
      </c>
      <c r="T1868" s="10" t="e">
        <f>Tabela2[[#This Row],[Coluna72]]</f>
        <v>#REF!</v>
      </c>
      <c r="U1868" s="10">
        <f>SUM(Tabela2[[#This Row],[Coluna9]],Tabela2[[#This Row],[Coluna10]])</f>
        <v>600</v>
      </c>
      <c r="V1868" s="2" t="str">
        <f>Tabela2[[#This Row],[Coluna4]]</f>
        <v>16/01/2026</v>
      </c>
      <c r="W1868" s="2" t="str">
        <f>Tabela2[[#This Row],[Coluna6]]</f>
        <v>15/01/2026</v>
      </c>
    </row>
    <row r="1869" spans="2:23" x14ac:dyDescent="0.2">
      <c r="B1869" t="s">
        <v>215</v>
      </c>
      <c r="C1869" t="s">
        <v>200</v>
      </c>
      <c r="D1869" t="s">
        <v>19</v>
      </c>
      <c r="E1869" s="8" t="s">
        <v>352</v>
      </c>
      <c r="F1869" t="s">
        <v>84</v>
      </c>
      <c r="G1869" s="8" t="s">
        <v>86</v>
      </c>
      <c r="H1869" t="s">
        <v>104</v>
      </c>
      <c r="I1869" t="e">
        <f>VLOOKUP(Tabela2[[#This Row],[Coluna7]],[1]!Tabela1[#All],2,0)</f>
        <v>#REF!</v>
      </c>
      <c r="K1869">
        <v>1822</v>
      </c>
      <c r="M1869" t="s">
        <v>353</v>
      </c>
      <c r="N1869" t="s">
        <v>354</v>
      </c>
      <c r="Q1869" s="10" t="str">
        <f>Tabela2[[#This Row],[Coluna5]]</f>
        <v>01/2026</v>
      </c>
      <c r="R1869" s="10" t="str">
        <f>IF(Tabela2[[#This Row],[Coluna9]]&gt;0,"Entrada","Saída")</f>
        <v>Entrada</v>
      </c>
      <c r="S1869" s="10">
        <f>Tabela2[[#This Row],[Coluna8]]</f>
        <v>0</v>
      </c>
      <c r="T1869" s="10" t="e">
        <f>Tabela2[[#This Row],[Coluna72]]</f>
        <v>#REF!</v>
      </c>
      <c r="U1869" s="10">
        <f>SUM(Tabela2[[#This Row],[Coluna9]],Tabela2[[#This Row],[Coluna10]])</f>
        <v>1822</v>
      </c>
      <c r="V1869" s="2" t="str">
        <f>Tabela2[[#This Row],[Coluna4]]</f>
        <v>16/01/2026</v>
      </c>
      <c r="W1869" s="2" t="str">
        <f>Tabela2[[#This Row],[Coluna6]]</f>
        <v>13/01/2026</v>
      </c>
    </row>
    <row r="1870" spans="2:23" x14ac:dyDescent="0.2">
      <c r="B1870" t="s">
        <v>27</v>
      </c>
      <c r="C1870" t="s">
        <v>95</v>
      </c>
      <c r="D1870" t="s">
        <v>19</v>
      </c>
      <c r="E1870" s="8" t="s">
        <v>352</v>
      </c>
      <c r="F1870" t="s">
        <v>84</v>
      </c>
      <c r="G1870" s="8" t="s">
        <v>352</v>
      </c>
      <c r="H1870" t="s">
        <v>162</v>
      </c>
      <c r="I1870" t="e">
        <f>VLOOKUP(Tabela2[[#This Row],[Coluna7]],[1]!Tabela1[#All],2,0)</f>
        <v>#REF!</v>
      </c>
      <c r="K1870">
        <v>0.01</v>
      </c>
      <c r="Q1870" s="10" t="str">
        <f>Tabela2[[#This Row],[Coluna5]]</f>
        <v>01/2026</v>
      </c>
      <c r="R1870" s="10" t="str">
        <f>IF(Tabela2[[#This Row],[Coluna9]]&gt;0,"Entrada","Saída")</f>
        <v>Entrada</v>
      </c>
      <c r="S1870" s="10">
        <f>Tabela2[[#This Row],[Coluna8]]</f>
        <v>0</v>
      </c>
      <c r="T1870" s="10" t="e">
        <f>Tabela2[[#This Row],[Coluna72]]</f>
        <v>#REF!</v>
      </c>
      <c r="U1870" s="10">
        <f>SUM(Tabela2[[#This Row],[Coluna9]],Tabela2[[#This Row],[Coluna10]])</f>
        <v>0.01</v>
      </c>
      <c r="V1870" s="2" t="str">
        <f>Tabela2[[#This Row],[Coluna4]]</f>
        <v>16/01/2026</v>
      </c>
      <c r="W1870" s="2" t="str">
        <f>Tabela2[[#This Row],[Coluna6]]</f>
        <v>16/01/2026</v>
      </c>
    </row>
    <row r="1871" spans="2:23" x14ac:dyDescent="0.2">
      <c r="B1871" t="s">
        <v>27</v>
      </c>
      <c r="C1871" t="s">
        <v>95</v>
      </c>
      <c r="D1871" t="s">
        <v>19</v>
      </c>
      <c r="E1871" s="8" t="s">
        <v>90</v>
      </c>
      <c r="F1871" t="s">
        <v>84</v>
      </c>
      <c r="G1871" s="8" t="s">
        <v>90</v>
      </c>
      <c r="H1871" t="s">
        <v>104</v>
      </c>
      <c r="I1871" t="e">
        <f>VLOOKUP(Tabela2[[#This Row],[Coluna7]],[1]!Tabela1[#All],2,0)</f>
        <v>#REF!</v>
      </c>
      <c r="K1871">
        <v>6500</v>
      </c>
      <c r="N1871" t="s">
        <v>799</v>
      </c>
      <c r="Q1871" s="10" t="str">
        <f>Tabela2[[#This Row],[Coluna5]]</f>
        <v>01/2026</v>
      </c>
      <c r="R1871" s="10" t="str">
        <f>IF(Tabela2[[#This Row],[Coluna9]]&gt;0,"Entrada","Saída")</f>
        <v>Entrada</v>
      </c>
      <c r="S1871" s="10">
        <f>Tabela2[[#This Row],[Coluna8]]</f>
        <v>0</v>
      </c>
      <c r="T1871" s="10" t="e">
        <f>Tabela2[[#This Row],[Coluna72]]</f>
        <v>#REF!</v>
      </c>
      <c r="U1871" s="10">
        <f>SUM(Tabela2[[#This Row],[Coluna9]],Tabela2[[#This Row],[Coluna10]])</f>
        <v>6500</v>
      </c>
      <c r="V1871" s="2" t="str">
        <f>Tabela2[[#This Row],[Coluna4]]</f>
        <v>19/01/2026</v>
      </c>
      <c r="W1871" s="2" t="str">
        <f>Tabela2[[#This Row],[Coluna6]]</f>
        <v>19/01/2026</v>
      </c>
    </row>
    <row r="1872" spans="2:23" x14ac:dyDescent="0.2">
      <c r="B1872" t="s">
        <v>748</v>
      </c>
      <c r="C1872" t="s">
        <v>95</v>
      </c>
      <c r="D1872" t="s">
        <v>19</v>
      </c>
      <c r="E1872" s="8" t="s">
        <v>90</v>
      </c>
      <c r="F1872" t="s">
        <v>84</v>
      </c>
      <c r="G1872" s="8" t="s">
        <v>90</v>
      </c>
      <c r="H1872" t="s">
        <v>211</v>
      </c>
      <c r="I1872" t="e">
        <f>VLOOKUP(Tabela2[[#This Row],[Coluna7]],[1]!Tabela1[#All],2,0)</f>
        <v>#REF!</v>
      </c>
      <c r="K1872">
        <v>3440</v>
      </c>
      <c r="Q1872" s="10" t="str">
        <f>Tabela2[[#This Row],[Coluna5]]</f>
        <v>01/2026</v>
      </c>
      <c r="R1872" s="10" t="str">
        <f>IF(Tabela2[[#This Row],[Coluna9]]&gt;0,"Entrada","Saída")</f>
        <v>Entrada</v>
      </c>
      <c r="S1872" s="10">
        <f>Tabela2[[#This Row],[Coluna8]]</f>
        <v>0</v>
      </c>
      <c r="T1872" s="10" t="e">
        <f>Tabela2[[#This Row],[Coluna72]]</f>
        <v>#REF!</v>
      </c>
      <c r="U1872" s="10">
        <f>SUM(Tabela2[[#This Row],[Coluna9]],Tabela2[[#This Row],[Coluna10]])</f>
        <v>3440</v>
      </c>
      <c r="V1872" s="2" t="str">
        <f>Tabela2[[#This Row],[Coluna4]]</f>
        <v>19/01/2026</v>
      </c>
      <c r="W1872" s="2" t="str">
        <f>Tabela2[[#This Row],[Coluna6]]</f>
        <v>19/01/2026</v>
      </c>
    </row>
    <row r="1873" spans="2:23" x14ac:dyDescent="0.2">
      <c r="B1873" t="s">
        <v>215</v>
      </c>
      <c r="C1873" t="s">
        <v>200</v>
      </c>
      <c r="D1873" t="s">
        <v>19</v>
      </c>
      <c r="E1873" s="8" t="s">
        <v>91</v>
      </c>
      <c r="F1873" t="s">
        <v>84</v>
      </c>
      <c r="G1873" s="8" t="s">
        <v>91</v>
      </c>
      <c r="H1873" t="s">
        <v>111</v>
      </c>
      <c r="I1873" t="e">
        <f>VLOOKUP(Tabela2[[#This Row],[Coluna7]],[1]!Tabela1[#All],2,0)</f>
        <v>#REF!</v>
      </c>
      <c r="J1873" t="s">
        <v>283</v>
      </c>
      <c r="K1873">
        <v>500</v>
      </c>
      <c r="N1873" t="s">
        <v>355</v>
      </c>
      <c r="Q1873" s="10" t="str">
        <f>Tabela2[[#This Row],[Coluna5]]</f>
        <v>01/2026</v>
      </c>
      <c r="R1873" s="10" t="str">
        <f>IF(Tabela2[[#This Row],[Coluna9]]&gt;0,"Entrada","Saída")</f>
        <v>Entrada</v>
      </c>
      <c r="S1873" s="10" t="str">
        <f>Tabela2[[#This Row],[Coluna8]]</f>
        <v>1/10</v>
      </c>
      <c r="T1873" s="10" t="e">
        <f>Tabela2[[#This Row],[Coluna72]]</f>
        <v>#REF!</v>
      </c>
      <c r="U1873" s="10">
        <f>SUM(Tabela2[[#This Row],[Coluna9]],Tabela2[[#This Row],[Coluna10]])</f>
        <v>500</v>
      </c>
      <c r="V1873" s="2" t="str">
        <f>Tabela2[[#This Row],[Coluna4]]</f>
        <v>20/01/2026</v>
      </c>
      <c r="W1873" s="2" t="str">
        <f>Tabela2[[#This Row],[Coluna6]]</f>
        <v>20/01/2026</v>
      </c>
    </row>
    <row r="1874" spans="2:23" x14ac:dyDescent="0.2">
      <c r="B1874" t="s">
        <v>27</v>
      </c>
      <c r="C1874" t="s">
        <v>95</v>
      </c>
      <c r="D1874" t="s">
        <v>19</v>
      </c>
      <c r="E1874" s="8" t="s">
        <v>91</v>
      </c>
      <c r="F1874" t="s">
        <v>84</v>
      </c>
      <c r="G1874" s="8" t="s">
        <v>91</v>
      </c>
      <c r="H1874" t="s">
        <v>162</v>
      </c>
      <c r="I1874" t="e">
        <f>VLOOKUP(Tabela2[[#This Row],[Coluna7]],[1]!Tabela1[#All],2,0)</f>
        <v>#REF!</v>
      </c>
      <c r="K1874">
        <v>2.5299999999999998</v>
      </c>
      <c r="Q1874" s="10" t="str">
        <f>Tabela2[[#This Row],[Coluna5]]</f>
        <v>01/2026</v>
      </c>
      <c r="R1874" s="10" t="str">
        <f>IF(Tabela2[[#This Row],[Coluna9]]&gt;0,"Entrada","Saída")</f>
        <v>Entrada</v>
      </c>
      <c r="S1874" s="10">
        <f>Tabela2[[#This Row],[Coluna8]]</f>
        <v>0</v>
      </c>
      <c r="T1874" s="10" t="e">
        <f>Tabela2[[#This Row],[Coluna72]]</f>
        <v>#REF!</v>
      </c>
      <c r="U1874" s="10">
        <f>SUM(Tabela2[[#This Row],[Coluna9]],Tabela2[[#This Row],[Coluna10]])</f>
        <v>2.5299999999999998</v>
      </c>
      <c r="V1874" s="2" t="str">
        <f>Tabela2[[#This Row],[Coluna4]]</f>
        <v>20/01/2026</v>
      </c>
      <c r="W1874" s="2" t="str">
        <f>Tabela2[[#This Row],[Coluna6]]</f>
        <v>20/01/2026</v>
      </c>
    </row>
    <row r="1875" spans="2:23" x14ac:dyDescent="0.2">
      <c r="B1875" t="s">
        <v>34</v>
      </c>
      <c r="C1875" t="s">
        <v>95</v>
      </c>
      <c r="D1875" t="s">
        <v>19</v>
      </c>
      <c r="E1875" s="8" t="s">
        <v>356</v>
      </c>
      <c r="F1875" t="s">
        <v>84</v>
      </c>
      <c r="G1875" s="8" t="s">
        <v>86</v>
      </c>
      <c r="H1875" t="s">
        <v>162</v>
      </c>
      <c r="I1875" t="e">
        <f>VLOOKUP(Tabela2[[#This Row],[Coluna7]],[1]!Tabela1[#All],2,0)</f>
        <v>#REF!</v>
      </c>
      <c r="K1875">
        <v>0.41</v>
      </c>
      <c r="Q1875" s="10" t="str">
        <f>Tabela2[[#This Row],[Coluna5]]</f>
        <v>01/2026</v>
      </c>
      <c r="R1875" s="10" t="str">
        <f>IF(Tabela2[[#This Row],[Coluna9]]&gt;0,"Entrada","Saída")</f>
        <v>Entrada</v>
      </c>
      <c r="S1875" s="10">
        <f>Tabela2[[#This Row],[Coluna8]]</f>
        <v>0</v>
      </c>
      <c r="T1875" s="10" t="e">
        <f>Tabela2[[#This Row],[Coluna72]]</f>
        <v>#REF!</v>
      </c>
      <c r="U1875" s="10">
        <f>SUM(Tabela2[[#This Row],[Coluna9]],Tabela2[[#This Row],[Coluna10]])</f>
        <v>0.41</v>
      </c>
      <c r="V1875" s="2" t="str">
        <f>Tabela2[[#This Row],[Coluna4]]</f>
        <v>21/01/2026</v>
      </c>
      <c r="W1875" s="2" t="str">
        <f>Tabela2[[#This Row],[Coluna6]]</f>
        <v>13/01/2026</v>
      </c>
    </row>
    <row r="1876" spans="2:23" x14ac:dyDescent="0.2">
      <c r="B1876" t="s">
        <v>71</v>
      </c>
      <c r="C1876" t="s">
        <v>125</v>
      </c>
      <c r="D1876" t="s">
        <v>19</v>
      </c>
      <c r="E1876" s="8" t="s">
        <v>356</v>
      </c>
      <c r="F1876" t="s">
        <v>84</v>
      </c>
      <c r="G1876" s="8" t="s">
        <v>356</v>
      </c>
      <c r="H1876" t="s">
        <v>104</v>
      </c>
      <c r="I1876" t="e">
        <f>VLOOKUP(Tabela2[[#This Row],[Coluna7]],[1]!Tabela1[#All],2,0)</f>
        <v>#REF!</v>
      </c>
      <c r="K1876">
        <v>7700</v>
      </c>
      <c r="M1876" t="s">
        <v>800</v>
      </c>
      <c r="N1876" t="s">
        <v>801</v>
      </c>
      <c r="Q1876" s="10" t="str">
        <f>Tabela2[[#This Row],[Coluna5]]</f>
        <v>01/2026</v>
      </c>
      <c r="R1876" s="10" t="str">
        <f>IF(Tabela2[[#This Row],[Coluna9]]&gt;0,"Entrada","Saída")</f>
        <v>Entrada</v>
      </c>
      <c r="S1876" s="10">
        <f>Tabela2[[#This Row],[Coluna8]]</f>
        <v>0</v>
      </c>
      <c r="T1876" s="10" t="e">
        <f>Tabela2[[#This Row],[Coluna72]]</f>
        <v>#REF!</v>
      </c>
      <c r="U1876" s="10">
        <f>SUM(Tabela2[[#This Row],[Coluna9]],Tabela2[[#This Row],[Coluna10]])</f>
        <v>7700</v>
      </c>
      <c r="V1876" s="2" t="str">
        <f>Tabela2[[#This Row],[Coluna4]]</f>
        <v>21/01/2026</v>
      </c>
      <c r="W1876" s="2" t="str">
        <f>Tabela2[[#This Row],[Coluna6]]</f>
        <v>21/01/2026</v>
      </c>
    </row>
    <row r="1877" spans="2:23" x14ac:dyDescent="0.2">
      <c r="B1877" t="s">
        <v>27</v>
      </c>
      <c r="C1877" t="s">
        <v>200</v>
      </c>
      <c r="D1877" t="s">
        <v>19</v>
      </c>
      <c r="E1877" s="8" t="s">
        <v>356</v>
      </c>
      <c r="F1877" t="s">
        <v>84</v>
      </c>
      <c r="G1877" s="8" t="s">
        <v>356</v>
      </c>
      <c r="H1877" t="s">
        <v>104</v>
      </c>
      <c r="I1877" t="e">
        <f>VLOOKUP(Tabela2[[#This Row],[Coluna7]],[1]!Tabela1[#All],2,0)</f>
        <v>#REF!</v>
      </c>
      <c r="J1877" t="s">
        <v>802</v>
      </c>
      <c r="K1877">
        <v>70</v>
      </c>
      <c r="M1877" t="s">
        <v>800</v>
      </c>
      <c r="N1877" t="s">
        <v>801</v>
      </c>
      <c r="Q1877" s="10" t="str">
        <f>Tabela2[[#This Row],[Coluna5]]</f>
        <v>01/2026</v>
      </c>
      <c r="R1877" s="10" t="str">
        <f>IF(Tabela2[[#This Row],[Coluna9]]&gt;0,"Entrada","Saída")</f>
        <v>Entrada</v>
      </c>
      <c r="S1877" s="10" t="str">
        <f>Tabela2[[#This Row],[Coluna8]]</f>
        <v>COMPLEMENTO</v>
      </c>
      <c r="T1877" s="10" t="e">
        <f>Tabela2[[#This Row],[Coluna72]]</f>
        <v>#REF!</v>
      </c>
      <c r="U1877" s="10">
        <f>SUM(Tabela2[[#This Row],[Coluna9]],Tabela2[[#This Row],[Coluna10]])</f>
        <v>70</v>
      </c>
      <c r="V1877" s="2" t="str">
        <f>Tabela2[[#This Row],[Coluna4]]</f>
        <v>21/01/2026</v>
      </c>
      <c r="W1877" s="2" t="str">
        <f>Tabela2[[#This Row],[Coluna6]]</f>
        <v>21/01/2026</v>
      </c>
    </row>
    <row r="1878" spans="2:23" x14ac:dyDescent="0.2">
      <c r="B1878" t="s">
        <v>18</v>
      </c>
      <c r="C1878" t="s">
        <v>95</v>
      </c>
      <c r="D1878" t="s">
        <v>19</v>
      </c>
      <c r="E1878" s="8" t="s">
        <v>92</v>
      </c>
      <c r="F1878" t="s">
        <v>15</v>
      </c>
      <c r="G1878" s="8" t="s">
        <v>88</v>
      </c>
      <c r="H1878" t="s">
        <v>111</v>
      </c>
      <c r="I1878" t="e">
        <f>VLOOKUP(Tabela2[[#This Row],[Coluna7]],[1]!Tabela1[#All],2,0)</f>
        <v>#REF!</v>
      </c>
      <c r="J1878" t="s">
        <v>779</v>
      </c>
      <c r="K1878">
        <v>2000</v>
      </c>
      <c r="M1878" t="s">
        <v>192</v>
      </c>
      <c r="N1878" t="s">
        <v>193</v>
      </c>
      <c r="Q1878" s="10" t="str">
        <f>Tabela2[[#This Row],[Coluna5]]</f>
        <v>10/2025</v>
      </c>
      <c r="R1878" s="10" t="str">
        <f>IF(Tabela2[[#This Row],[Coluna9]]&gt;0,"Entrada","Saída")</f>
        <v>Entrada</v>
      </c>
      <c r="S1878" s="10" t="str">
        <f>Tabela2[[#This Row],[Coluna8]]</f>
        <v>4/5</v>
      </c>
      <c r="T1878" s="10" t="e">
        <f>Tabela2[[#This Row],[Coluna72]]</f>
        <v>#REF!</v>
      </c>
      <c r="U1878" s="10">
        <f>SUM(Tabela2[[#This Row],[Coluna9]],Tabela2[[#This Row],[Coluna10]])</f>
        <v>2000</v>
      </c>
      <c r="V1878" s="2" t="str">
        <f>Tabela2[[#This Row],[Coluna4]]</f>
        <v>22/01/2026</v>
      </c>
      <c r="W1878" s="2" t="str">
        <f>Tabela2[[#This Row],[Coluna6]]</f>
        <v>14/01/2026</v>
      </c>
    </row>
    <row r="1879" spans="2:23" x14ac:dyDescent="0.2">
      <c r="B1879" t="s">
        <v>27</v>
      </c>
      <c r="C1879" t="s">
        <v>95</v>
      </c>
      <c r="D1879" t="s">
        <v>19</v>
      </c>
      <c r="E1879" s="8" t="s">
        <v>92</v>
      </c>
      <c r="F1879" t="s">
        <v>84</v>
      </c>
      <c r="G1879" s="8" t="s">
        <v>92</v>
      </c>
      <c r="H1879" t="s">
        <v>162</v>
      </c>
      <c r="I1879" t="e">
        <f>VLOOKUP(Tabela2[[#This Row],[Coluna7]],[1]!Tabela1[#All],2,0)</f>
        <v>#REF!</v>
      </c>
      <c r="K1879">
        <v>0.13</v>
      </c>
      <c r="Q1879" s="10" t="str">
        <f>Tabela2[[#This Row],[Coluna5]]</f>
        <v>01/2026</v>
      </c>
      <c r="R1879" s="10" t="str">
        <f>IF(Tabela2[[#This Row],[Coluna9]]&gt;0,"Entrada","Saída")</f>
        <v>Entrada</v>
      </c>
      <c r="S1879" s="10">
        <f>Tabela2[[#This Row],[Coluna8]]</f>
        <v>0</v>
      </c>
      <c r="T1879" s="10" t="e">
        <f>Tabela2[[#This Row],[Coluna72]]</f>
        <v>#REF!</v>
      </c>
      <c r="U1879" s="10">
        <f>SUM(Tabela2[[#This Row],[Coluna9]],Tabela2[[#This Row],[Coluna10]])</f>
        <v>0.13</v>
      </c>
      <c r="V1879" s="2" t="str">
        <f>Tabela2[[#This Row],[Coluna4]]</f>
        <v>22/01/2026</v>
      </c>
      <c r="W1879" s="2" t="str">
        <f>Tabela2[[#This Row],[Coluna6]]</f>
        <v>22/01/2026</v>
      </c>
    </row>
    <row r="1880" spans="2:23" x14ac:dyDescent="0.2">
      <c r="B1880" t="s">
        <v>27</v>
      </c>
      <c r="C1880" t="s">
        <v>95</v>
      </c>
      <c r="D1880" t="s">
        <v>19</v>
      </c>
      <c r="E1880" s="8" t="s">
        <v>357</v>
      </c>
      <c r="F1880" t="s">
        <v>84</v>
      </c>
      <c r="G1880" s="8" t="s">
        <v>357</v>
      </c>
      <c r="H1880" t="s">
        <v>162</v>
      </c>
      <c r="I1880" t="e">
        <f>VLOOKUP(Tabela2[[#This Row],[Coluna7]],[1]!Tabela1[#All],2,0)</f>
        <v>#REF!</v>
      </c>
      <c r="K1880">
        <v>0.13</v>
      </c>
      <c r="Q1880" s="10" t="str">
        <f>Tabela2[[#This Row],[Coluna5]]</f>
        <v>01/2026</v>
      </c>
      <c r="R1880" s="10" t="str">
        <f>IF(Tabela2[[#This Row],[Coluna9]]&gt;0,"Entrada","Saída")</f>
        <v>Entrada</v>
      </c>
      <c r="S1880" s="10">
        <f>Tabela2[[#This Row],[Coluna8]]</f>
        <v>0</v>
      </c>
      <c r="T1880" s="10" t="e">
        <f>Tabela2[[#This Row],[Coluna72]]</f>
        <v>#REF!</v>
      </c>
      <c r="U1880" s="10">
        <f>SUM(Tabela2[[#This Row],[Coluna9]],Tabela2[[#This Row],[Coluna10]])</f>
        <v>0.13</v>
      </c>
      <c r="V1880" s="2" t="str">
        <f>Tabela2[[#This Row],[Coluna4]]</f>
        <v>23/01/2026</v>
      </c>
      <c r="W1880" s="2" t="str">
        <f>Tabela2[[#This Row],[Coluna6]]</f>
        <v>23/01/2026</v>
      </c>
    </row>
    <row r="1881" spans="2:23" x14ac:dyDescent="0.2">
      <c r="B1881" t="s">
        <v>18</v>
      </c>
      <c r="C1881" t="s">
        <v>95</v>
      </c>
      <c r="D1881" t="s">
        <v>19</v>
      </c>
      <c r="E1881" s="8" t="s">
        <v>803</v>
      </c>
      <c r="F1881" t="s">
        <v>15</v>
      </c>
      <c r="G1881" s="8" t="s">
        <v>83</v>
      </c>
      <c r="H1881" t="s">
        <v>98</v>
      </c>
      <c r="I1881" t="e">
        <f>VLOOKUP(Tabela2[[#This Row],[Coluna7]],[1]!Tabela1[#All],2,0)</f>
        <v>#REF!</v>
      </c>
      <c r="J1881" t="s">
        <v>804</v>
      </c>
      <c r="K1881">
        <v>530</v>
      </c>
      <c r="N1881" t="s">
        <v>199</v>
      </c>
      <c r="Q1881" s="10" t="str">
        <f>Tabela2[[#This Row],[Coluna5]]</f>
        <v>10/2025</v>
      </c>
      <c r="R1881" s="10" t="str">
        <f>IF(Tabela2[[#This Row],[Coluna9]]&gt;0,"Entrada","Saída")</f>
        <v>Entrada</v>
      </c>
      <c r="S1881" s="10" t="str">
        <f>Tabela2[[#This Row],[Coluna8]]</f>
        <v>4/18</v>
      </c>
      <c r="T1881" s="10" t="e">
        <f>Tabela2[[#This Row],[Coluna72]]</f>
        <v>#REF!</v>
      </c>
      <c r="U1881" s="10">
        <f>SUM(Tabela2[[#This Row],[Coluna9]],Tabela2[[#This Row],[Coluna10]])</f>
        <v>530</v>
      </c>
      <c r="V1881" s="2" t="str">
        <f>Tabela2[[#This Row],[Coluna4]]</f>
        <v>25/01/2026</v>
      </c>
      <c r="W1881" s="2" t="str">
        <f>Tabela2[[#This Row],[Coluna6]]</f>
        <v>06/01/2026</v>
      </c>
    </row>
    <row r="1882" spans="2:23" x14ac:dyDescent="0.2">
      <c r="B1882" t="s">
        <v>27</v>
      </c>
      <c r="C1882" t="s">
        <v>200</v>
      </c>
      <c r="D1882" t="s">
        <v>19</v>
      </c>
      <c r="E1882" s="8" t="s">
        <v>93</v>
      </c>
      <c r="F1882" t="s">
        <v>84</v>
      </c>
      <c r="G1882" s="8" t="s">
        <v>93</v>
      </c>
      <c r="H1882" t="s">
        <v>104</v>
      </c>
      <c r="I1882" t="e">
        <f>VLOOKUP(Tabela2[[#This Row],[Coluna7]],[1]!Tabela1[#All],2,0)</f>
        <v>#REF!</v>
      </c>
      <c r="K1882">
        <v>197.22</v>
      </c>
      <c r="N1882" t="s">
        <v>174</v>
      </c>
      <c r="Q1882" s="10" t="str">
        <f>Tabela2[[#This Row],[Coluna5]]</f>
        <v>01/2026</v>
      </c>
      <c r="R1882" s="10" t="str">
        <f>IF(Tabela2[[#This Row],[Coluna9]]&gt;0,"Entrada","Saída")</f>
        <v>Entrada</v>
      </c>
      <c r="S1882" s="10">
        <f>Tabela2[[#This Row],[Coluna8]]</f>
        <v>0</v>
      </c>
      <c r="T1882" s="10" t="e">
        <f>Tabela2[[#This Row],[Coluna72]]</f>
        <v>#REF!</v>
      </c>
      <c r="U1882" s="10">
        <f>SUM(Tabela2[[#This Row],[Coluna9]],Tabela2[[#This Row],[Coluna10]])</f>
        <v>197.22</v>
      </c>
      <c r="V1882" s="2" t="str">
        <f>Tabela2[[#This Row],[Coluna4]]</f>
        <v>26/01/2026</v>
      </c>
      <c r="W1882" s="2" t="str">
        <f>Tabela2[[#This Row],[Coluna6]]</f>
        <v>26/01/2026</v>
      </c>
    </row>
    <row r="1883" spans="2:23" x14ac:dyDescent="0.2">
      <c r="B1883" t="s">
        <v>27</v>
      </c>
      <c r="C1883" t="s">
        <v>125</v>
      </c>
      <c r="D1883" t="s">
        <v>19</v>
      </c>
      <c r="E1883" s="8" t="s">
        <v>358</v>
      </c>
      <c r="F1883" t="s">
        <v>84</v>
      </c>
      <c r="G1883" s="8" t="s">
        <v>358</v>
      </c>
      <c r="H1883" t="s">
        <v>104</v>
      </c>
      <c r="I1883" t="e">
        <f>VLOOKUP(Tabela2[[#This Row],[Coluna7]],[1]!Tabela1[#All],2,0)</f>
        <v>#REF!</v>
      </c>
      <c r="K1883">
        <v>2709</v>
      </c>
      <c r="M1883" t="s">
        <v>805</v>
      </c>
      <c r="N1883" t="s">
        <v>806</v>
      </c>
      <c r="Q1883" s="10" t="str">
        <f>Tabela2[[#This Row],[Coluna5]]</f>
        <v>01/2026</v>
      </c>
      <c r="R1883" s="10" t="str">
        <f>IF(Tabela2[[#This Row],[Coluna9]]&gt;0,"Entrada","Saída")</f>
        <v>Entrada</v>
      </c>
      <c r="S1883" s="10">
        <f>Tabela2[[#This Row],[Coluna8]]</f>
        <v>0</v>
      </c>
      <c r="T1883" s="10" t="e">
        <f>Tabela2[[#This Row],[Coluna72]]</f>
        <v>#REF!</v>
      </c>
      <c r="U1883" s="10">
        <f>SUM(Tabela2[[#This Row],[Coluna9]],Tabela2[[#This Row],[Coluna10]])</f>
        <v>2709</v>
      </c>
      <c r="V1883" s="2" t="str">
        <f>Tabela2[[#This Row],[Coluna4]]</f>
        <v>27/01/2026</v>
      </c>
      <c r="W1883" s="2" t="str">
        <f>Tabela2[[#This Row],[Coluna6]]</f>
        <v>27/01/2026</v>
      </c>
    </row>
    <row r="1884" spans="2:23" x14ac:dyDescent="0.2">
      <c r="B1884" t="s">
        <v>27</v>
      </c>
      <c r="C1884" t="s">
        <v>95</v>
      </c>
      <c r="D1884" t="s">
        <v>19</v>
      </c>
      <c r="E1884" s="8" t="s">
        <v>358</v>
      </c>
      <c r="F1884" t="s">
        <v>84</v>
      </c>
      <c r="G1884" s="8" t="s">
        <v>358</v>
      </c>
      <c r="H1884" t="s">
        <v>211</v>
      </c>
      <c r="I1884" t="e">
        <f>VLOOKUP(Tabela2[[#This Row],[Coluna7]],[1]!Tabela1[#All],2,0)</f>
        <v>#REF!</v>
      </c>
      <c r="J1884" t="s">
        <v>807</v>
      </c>
      <c r="K1884">
        <v>1000</v>
      </c>
      <c r="Q1884" s="10" t="str">
        <f>Tabela2[[#This Row],[Coluna5]]</f>
        <v>01/2026</v>
      </c>
      <c r="R1884" s="10" t="str">
        <f>IF(Tabela2[[#This Row],[Coluna9]]&gt;0,"Entrada","Saída")</f>
        <v>Entrada</v>
      </c>
      <c r="S1884" s="10" t="str">
        <f>Tabela2[[#This Row],[Coluna8]]</f>
        <v>JORGE LUIZ DE AMORIM</v>
      </c>
      <c r="T1884" s="10" t="e">
        <f>Tabela2[[#This Row],[Coluna72]]</f>
        <v>#REF!</v>
      </c>
      <c r="U1884" s="10">
        <f>SUM(Tabela2[[#This Row],[Coluna9]],Tabela2[[#This Row],[Coluna10]])</f>
        <v>1000</v>
      </c>
      <c r="V1884" s="2" t="str">
        <f>Tabela2[[#This Row],[Coluna4]]</f>
        <v>27/01/2026</v>
      </c>
      <c r="W1884" s="2" t="str">
        <f>Tabela2[[#This Row],[Coluna6]]</f>
        <v>27/01/2026</v>
      </c>
    </row>
    <row r="1885" spans="2:23" x14ac:dyDescent="0.2">
      <c r="B1885" t="s">
        <v>27</v>
      </c>
      <c r="C1885" t="s">
        <v>95</v>
      </c>
      <c r="D1885" t="s">
        <v>19</v>
      </c>
      <c r="E1885" s="8" t="s">
        <v>359</v>
      </c>
      <c r="F1885" t="s">
        <v>84</v>
      </c>
      <c r="G1885" s="8" t="s">
        <v>359</v>
      </c>
      <c r="H1885" t="s">
        <v>162</v>
      </c>
      <c r="I1885" t="e">
        <f>VLOOKUP(Tabela2[[#This Row],[Coluna7]],[1]!Tabela1[#All],2,0)</f>
        <v>#REF!</v>
      </c>
      <c r="K1885">
        <v>7.0000000000000007E-2</v>
      </c>
      <c r="Q1885" s="10" t="str">
        <f>Tabela2[[#This Row],[Coluna5]]</f>
        <v>01/2026</v>
      </c>
      <c r="R1885" s="10" t="str">
        <f>IF(Tabela2[[#This Row],[Coluna9]]&gt;0,"Entrada","Saída")</f>
        <v>Entrada</v>
      </c>
      <c r="S1885" s="10">
        <f>Tabela2[[#This Row],[Coluna8]]</f>
        <v>0</v>
      </c>
      <c r="T1885" s="10" t="e">
        <f>Tabela2[[#This Row],[Coluna72]]</f>
        <v>#REF!</v>
      </c>
      <c r="U1885" s="10">
        <f>SUM(Tabela2[[#This Row],[Coluna9]],Tabela2[[#This Row],[Coluna10]])</f>
        <v>7.0000000000000007E-2</v>
      </c>
      <c r="V1885" s="2" t="str">
        <f>Tabela2[[#This Row],[Coluna4]]</f>
        <v>28/01/2026</v>
      </c>
      <c r="W1885" s="2" t="str">
        <f>Tabela2[[#This Row],[Coluna6]]</f>
        <v>28/01/2026</v>
      </c>
    </row>
    <row r="1886" spans="2:23" x14ac:dyDescent="0.2">
      <c r="B1886" t="s">
        <v>18</v>
      </c>
      <c r="C1886" t="s">
        <v>95</v>
      </c>
      <c r="D1886" t="s">
        <v>19</v>
      </c>
      <c r="E1886" s="8" t="s">
        <v>94</v>
      </c>
      <c r="F1886" t="s">
        <v>15</v>
      </c>
      <c r="G1886" s="8" t="s">
        <v>93</v>
      </c>
      <c r="H1886" t="s">
        <v>98</v>
      </c>
      <c r="I1886" t="e">
        <f>VLOOKUP(Tabela2[[#This Row],[Coluna7]],[1]!Tabela1[#All],2,0)</f>
        <v>#REF!</v>
      </c>
      <c r="J1886" t="s">
        <v>808</v>
      </c>
      <c r="K1886">
        <v>450</v>
      </c>
      <c r="M1886" t="s">
        <v>204</v>
      </c>
      <c r="N1886" t="s">
        <v>205</v>
      </c>
      <c r="Q1886" s="10" t="str">
        <f>Tabela2[[#This Row],[Coluna5]]</f>
        <v>10/2025</v>
      </c>
      <c r="R1886" s="10" t="str">
        <f>IF(Tabela2[[#This Row],[Coluna9]]&gt;0,"Entrada","Saída")</f>
        <v>Entrada</v>
      </c>
      <c r="S1886" s="10" t="str">
        <f>Tabela2[[#This Row],[Coluna8]]</f>
        <v>4/20</v>
      </c>
      <c r="T1886" s="10" t="e">
        <f>Tabela2[[#This Row],[Coluna72]]</f>
        <v>#REF!</v>
      </c>
      <c r="U1886" s="10">
        <f>SUM(Tabela2[[#This Row],[Coluna9]],Tabela2[[#This Row],[Coluna10]])</f>
        <v>450</v>
      </c>
      <c r="V1886" s="2" t="str">
        <f>Tabela2[[#This Row],[Coluna4]]</f>
        <v>29/01/2026</v>
      </c>
      <c r="W1886" s="2" t="str">
        <f>Tabela2[[#This Row],[Coluna6]]</f>
        <v>26/01/2026</v>
      </c>
    </row>
    <row r="1887" spans="2:23" x14ac:dyDescent="0.2">
      <c r="B1887" t="s">
        <v>18</v>
      </c>
      <c r="C1887" t="s">
        <v>95</v>
      </c>
      <c r="D1887" t="s">
        <v>19</v>
      </c>
      <c r="E1887" s="8" t="s">
        <v>94</v>
      </c>
      <c r="F1887" t="s">
        <v>15</v>
      </c>
      <c r="G1887" s="8" t="s">
        <v>93</v>
      </c>
      <c r="H1887" t="s">
        <v>98</v>
      </c>
      <c r="I1887" t="e">
        <f>VLOOKUP(Tabela2[[#This Row],[Coluna7]],[1]!Tabela1[#All],2,0)</f>
        <v>#REF!</v>
      </c>
      <c r="J1887" t="s">
        <v>809</v>
      </c>
      <c r="K1887">
        <v>319</v>
      </c>
      <c r="N1887" t="s">
        <v>207</v>
      </c>
      <c r="Q1887" s="10" t="str">
        <f>Tabela2[[#This Row],[Coluna5]]</f>
        <v>10/2025</v>
      </c>
      <c r="R1887" s="10" t="str">
        <f>IF(Tabela2[[#This Row],[Coluna9]]&gt;0,"Entrada","Saída")</f>
        <v>Entrada</v>
      </c>
      <c r="S1887" s="10" t="str">
        <f>Tabela2[[#This Row],[Coluna8]]</f>
        <v>4/12</v>
      </c>
      <c r="T1887" s="10" t="e">
        <f>Tabela2[[#This Row],[Coluna72]]</f>
        <v>#REF!</v>
      </c>
      <c r="U1887" s="10">
        <f>SUM(Tabela2[[#This Row],[Coluna9]],Tabela2[[#This Row],[Coluna10]])</f>
        <v>319</v>
      </c>
      <c r="V1887" s="2" t="str">
        <f>Tabela2[[#This Row],[Coluna4]]</f>
        <v>29/01/2026</v>
      </c>
      <c r="W1887" s="2" t="str">
        <f>Tabela2[[#This Row],[Coluna6]]</f>
        <v>26/01/2026</v>
      </c>
    </row>
    <row r="1888" spans="2:23" x14ac:dyDescent="0.2">
      <c r="B1888" t="s">
        <v>18</v>
      </c>
      <c r="C1888" t="s">
        <v>125</v>
      </c>
      <c r="D1888" t="s">
        <v>19</v>
      </c>
      <c r="E1888" s="8" t="s">
        <v>94</v>
      </c>
      <c r="F1888" t="s">
        <v>781</v>
      </c>
      <c r="G1888" s="8" t="s">
        <v>810</v>
      </c>
      <c r="H1888" t="s">
        <v>98</v>
      </c>
      <c r="I1888" t="e">
        <f>VLOOKUP(Tabela2[[#This Row],[Coluna7]],[1]!Tabela1[#All],2,0)</f>
        <v>#REF!</v>
      </c>
      <c r="J1888" t="s">
        <v>811</v>
      </c>
      <c r="K1888">
        <v>490</v>
      </c>
      <c r="N1888" t="s">
        <v>103</v>
      </c>
      <c r="Q1888" s="10" t="str">
        <f>Tabela2[[#This Row],[Coluna5]]</f>
        <v>01/2025</v>
      </c>
      <c r="R1888" s="10" t="str">
        <f>IF(Tabela2[[#This Row],[Coluna9]]&gt;0,"Entrada","Saída")</f>
        <v>Entrada</v>
      </c>
      <c r="S1888" s="10" t="str">
        <f>Tabela2[[#This Row],[Coluna8]]</f>
        <v>3/4</v>
      </c>
      <c r="T1888" s="10" t="e">
        <f>Tabela2[[#This Row],[Coluna72]]</f>
        <v>#REF!</v>
      </c>
      <c r="U1888" s="10">
        <f>SUM(Tabela2[[#This Row],[Coluna9]],Tabela2[[#This Row],[Coluna10]])</f>
        <v>490</v>
      </c>
      <c r="V1888" s="2" t="str">
        <f>Tabela2[[#This Row],[Coluna4]]</f>
        <v>29/01/2026</v>
      </c>
      <c r="W1888" s="2" t="str">
        <f>Tabela2[[#This Row],[Coluna6]]</f>
        <v>02/02/2026</v>
      </c>
    </row>
    <row r="1889" spans="2:23" x14ac:dyDescent="0.2">
      <c r="B1889" t="s">
        <v>748</v>
      </c>
      <c r="C1889" t="s">
        <v>95</v>
      </c>
      <c r="D1889" t="s">
        <v>19</v>
      </c>
      <c r="E1889" s="8" t="s">
        <v>360</v>
      </c>
      <c r="F1889" t="s">
        <v>781</v>
      </c>
      <c r="G1889" s="8" t="s">
        <v>94</v>
      </c>
      <c r="H1889" t="s">
        <v>98</v>
      </c>
      <c r="I1889" t="e">
        <f>VLOOKUP(Tabela2[[#This Row],[Coluna7]],[1]!Tabela1[#All],2,0)</f>
        <v>#REF!</v>
      </c>
      <c r="J1889" t="s">
        <v>812</v>
      </c>
      <c r="K1889">
        <v>180</v>
      </c>
      <c r="N1889" t="s">
        <v>121</v>
      </c>
      <c r="Q1889" s="10" t="str">
        <f>Tabela2[[#This Row],[Coluna5]]</f>
        <v>01/2025</v>
      </c>
      <c r="R1889" s="10" t="str">
        <f>IF(Tabela2[[#This Row],[Coluna9]]&gt;0,"Entrada","Saída")</f>
        <v>Entrada</v>
      </c>
      <c r="S1889" s="10" t="str">
        <f>Tabela2[[#This Row],[Coluna8]]</f>
        <v>5/8</v>
      </c>
      <c r="T1889" s="10" t="e">
        <f>Tabela2[[#This Row],[Coluna72]]</f>
        <v>#REF!</v>
      </c>
      <c r="U1889" s="10">
        <f>SUM(Tabela2[[#This Row],[Coluna9]],Tabela2[[#This Row],[Coluna10]])</f>
        <v>180</v>
      </c>
      <c r="V1889" s="2" t="str">
        <f>Tabela2[[#This Row],[Coluna4]]</f>
        <v>30/01/2026</v>
      </c>
      <c r="W1889" s="2" t="str">
        <f>Tabela2[[#This Row],[Coluna6]]</f>
        <v>29/01/2026</v>
      </c>
    </row>
    <row r="1890" spans="2:23" x14ac:dyDescent="0.2">
      <c r="B1890" t="s">
        <v>27</v>
      </c>
      <c r="C1890" t="s">
        <v>813</v>
      </c>
      <c r="D1890" t="s">
        <v>19</v>
      </c>
      <c r="E1890" s="8" t="s">
        <v>360</v>
      </c>
      <c r="F1890" t="s">
        <v>84</v>
      </c>
      <c r="G1890" s="8" t="s">
        <v>360</v>
      </c>
      <c r="H1890" t="s">
        <v>107</v>
      </c>
      <c r="I1890" t="e">
        <f>VLOOKUP(Tabela2[[#This Row],[Coluna7]],[1]!Tabela1[#All],2,0)</f>
        <v>#REF!</v>
      </c>
      <c r="K1890">
        <v>2500</v>
      </c>
      <c r="M1890" t="s">
        <v>313</v>
      </c>
      <c r="N1890" t="s">
        <v>314</v>
      </c>
      <c r="Q1890" s="10" t="str">
        <f>Tabela2[[#This Row],[Coluna5]]</f>
        <v>01/2026</v>
      </c>
      <c r="R1890" s="10" t="str">
        <f>IF(Tabela2[[#This Row],[Coluna9]]&gt;0,"Entrada","Saída")</f>
        <v>Entrada</v>
      </c>
      <c r="S1890" s="10">
        <f>Tabela2[[#This Row],[Coluna8]]</f>
        <v>0</v>
      </c>
      <c r="T1890" s="10" t="e">
        <f>Tabela2[[#This Row],[Coluna72]]</f>
        <v>#REF!</v>
      </c>
      <c r="U1890" s="10">
        <f>SUM(Tabela2[[#This Row],[Coluna9]],Tabela2[[#This Row],[Coluna10]])</f>
        <v>2500</v>
      </c>
      <c r="V1890" s="2" t="str">
        <f>Tabela2[[#This Row],[Coluna4]]</f>
        <v>30/01/2026</v>
      </c>
      <c r="W1890" s="2" t="str">
        <f>Tabela2[[#This Row],[Coluna6]]</f>
        <v>30/01/2026</v>
      </c>
    </row>
    <row r="1891" spans="2:23" x14ac:dyDescent="0.2">
      <c r="B1891" t="s">
        <v>748</v>
      </c>
      <c r="C1891" t="s">
        <v>95</v>
      </c>
      <c r="D1891" t="s">
        <v>19</v>
      </c>
      <c r="E1891" s="8" t="s">
        <v>360</v>
      </c>
      <c r="F1891" t="s">
        <v>84</v>
      </c>
      <c r="G1891" s="8" t="s">
        <v>360</v>
      </c>
      <c r="H1891" t="s">
        <v>211</v>
      </c>
      <c r="I1891" t="e">
        <f>VLOOKUP(Tabela2[[#This Row],[Coluna7]],[1]!Tabela1[#All],2,0)</f>
        <v>#REF!</v>
      </c>
      <c r="K1891">
        <v>500</v>
      </c>
      <c r="Q1891" s="10" t="str">
        <f>Tabela2[[#This Row],[Coluna5]]</f>
        <v>01/2026</v>
      </c>
      <c r="R1891" s="10" t="str">
        <f>IF(Tabela2[[#This Row],[Coluna9]]&gt;0,"Entrada","Saída")</f>
        <v>Entrada</v>
      </c>
      <c r="S1891" s="10">
        <f>Tabela2[[#This Row],[Coluna8]]</f>
        <v>0</v>
      </c>
      <c r="T1891" s="10" t="e">
        <f>Tabela2[[#This Row],[Coluna72]]</f>
        <v>#REF!</v>
      </c>
      <c r="U1891" s="10">
        <f>SUM(Tabela2[[#This Row],[Coluna9]],Tabela2[[#This Row],[Coluna10]])</f>
        <v>500</v>
      </c>
      <c r="V1891" s="2" t="str">
        <f>Tabela2[[#This Row],[Coluna4]]</f>
        <v>30/01/2026</v>
      </c>
      <c r="W1891" s="2" t="str">
        <f>Tabela2[[#This Row],[Coluna6]]</f>
        <v>30/01/2026</v>
      </c>
    </row>
    <row r="1892" spans="2:23" x14ac:dyDescent="0.2">
      <c r="B1892" t="s">
        <v>18</v>
      </c>
      <c r="C1892" t="s">
        <v>125</v>
      </c>
      <c r="D1892" t="s">
        <v>19</v>
      </c>
      <c r="E1892" s="8" t="s">
        <v>810</v>
      </c>
      <c r="F1892" t="s">
        <v>814</v>
      </c>
      <c r="G1892" s="8" t="s">
        <v>810</v>
      </c>
      <c r="H1892" t="s">
        <v>98</v>
      </c>
      <c r="I1892" t="e">
        <f>VLOOKUP(Tabela2[[#This Row],[Coluna7]],[1]!Tabela1[#All],2,0)</f>
        <v>#REF!</v>
      </c>
      <c r="J1892" t="s">
        <v>779</v>
      </c>
      <c r="K1892">
        <v>300</v>
      </c>
      <c r="M1892" t="s">
        <v>116</v>
      </c>
      <c r="N1892" t="s">
        <v>117</v>
      </c>
      <c r="Q1892" s="10" t="str">
        <f>Tabela2[[#This Row],[Coluna5]]</f>
        <v>02/2025</v>
      </c>
      <c r="R1892" s="10" t="str">
        <f>IF(Tabela2[[#This Row],[Coluna9]]&gt;0,"Entrada","Saída")</f>
        <v>Entrada</v>
      </c>
      <c r="S1892" s="10" t="str">
        <f>Tabela2[[#This Row],[Coluna8]]</f>
        <v>4/5</v>
      </c>
      <c r="T1892" s="10" t="e">
        <f>Tabela2[[#This Row],[Coluna72]]</f>
        <v>#REF!</v>
      </c>
      <c r="U1892" s="10">
        <f>SUM(Tabela2[[#This Row],[Coluna9]],Tabela2[[#This Row],[Coluna10]])</f>
        <v>300</v>
      </c>
      <c r="V1892" s="2" t="str">
        <f>Tabela2[[#This Row],[Coluna4]]</f>
        <v>02/02/2026</v>
      </c>
      <c r="W1892" s="2" t="str">
        <f>Tabela2[[#This Row],[Coluna6]]</f>
        <v>02/02/2026</v>
      </c>
    </row>
    <row r="1893" spans="2:23" x14ac:dyDescent="0.2">
      <c r="B1893" t="s">
        <v>27</v>
      </c>
      <c r="C1893" t="s">
        <v>95</v>
      </c>
      <c r="D1893" t="s">
        <v>19</v>
      </c>
      <c r="E1893" s="8" t="s">
        <v>810</v>
      </c>
      <c r="F1893" t="s">
        <v>750</v>
      </c>
      <c r="G1893" s="8" t="s">
        <v>810</v>
      </c>
      <c r="H1893" t="s">
        <v>162</v>
      </c>
      <c r="I1893" t="e">
        <f>VLOOKUP(Tabela2[[#This Row],[Coluna7]],[1]!Tabela1[#All],2,0)</f>
        <v>#REF!</v>
      </c>
      <c r="J1893" t="s">
        <v>163</v>
      </c>
      <c r="K1893">
        <v>9.34</v>
      </c>
      <c r="Q1893" s="10" t="str">
        <f>Tabela2[[#This Row],[Coluna5]]</f>
        <v>02/2026</v>
      </c>
      <c r="R1893" s="10" t="str">
        <f>IF(Tabela2[[#This Row],[Coluna9]]&gt;0,"Entrada","Saída")</f>
        <v>Entrada</v>
      </c>
      <c r="S1893" s="10" t="str">
        <f>Tabela2[[#This Row],[Coluna8]]</f>
        <v>RENTABILIDADE BRADESCO</v>
      </c>
      <c r="T1893" s="10" t="e">
        <f>Tabela2[[#This Row],[Coluna72]]</f>
        <v>#REF!</v>
      </c>
      <c r="U1893" s="10">
        <f>SUM(Tabela2[[#This Row],[Coluna9]],Tabela2[[#This Row],[Coluna10]])</f>
        <v>9.34</v>
      </c>
      <c r="V1893" s="2" t="str">
        <f>Tabela2[[#This Row],[Coluna4]]</f>
        <v>02/02/2026</v>
      </c>
      <c r="W1893" s="2" t="str">
        <f>Tabela2[[#This Row],[Coluna6]]</f>
        <v>02/02/2026</v>
      </c>
    </row>
    <row r="1894" spans="2:23" x14ac:dyDescent="0.2">
      <c r="B1894" t="s">
        <v>748</v>
      </c>
      <c r="C1894" t="s">
        <v>125</v>
      </c>
      <c r="D1894" t="s">
        <v>19</v>
      </c>
      <c r="E1894" s="8" t="s">
        <v>810</v>
      </c>
      <c r="F1894" t="s">
        <v>750</v>
      </c>
      <c r="G1894" s="8" t="s">
        <v>810</v>
      </c>
      <c r="H1894" t="s">
        <v>107</v>
      </c>
      <c r="I1894" t="e">
        <f>VLOOKUP(Tabela2[[#This Row],[Coluna7]],[1]!Tabela1[#All],2,0)</f>
        <v>#REF!</v>
      </c>
      <c r="J1894" t="s">
        <v>310</v>
      </c>
      <c r="K1894">
        <v>20145.37</v>
      </c>
      <c r="M1894" t="s">
        <v>815</v>
      </c>
      <c r="N1894" t="s">
        <v>816</v>
      </c>
      <c r="Q1894" s="10" t="str">
        <f>Tabela2[[#This Row],[Coluna5]]</f>
        <v>02/2026</v>
      </c>
      <c r="R1894" s="10" t="str">
        <f>IF(Tabela2[[#This Row],[Coluna9]]&gt;0,"Entrada","Saída")</f>
        <v>Entrada</v>
      </c>
      <c r="S1894" s="10" t="str">
        <f>Tabela2[[#This Row],[Coluna8]]</f>
        <v>DESTACAMENTO</v>
      </c>
      <c r="T1894" s="10" t="e">
        <f>Tabela2[[#This Row],[Coluna72]]</f>
        <v>#REF!</v>
      </c>
      <c r="U1894" s="10">
        <f>SUM(Tabela2[[#This Row],[Coluna9]],Tabela2[[#This Row],[Coluna10]])</f>
        <v>20145.37</v>
      </c>
      <c r="V1894" s="2" t="str">
        <f>Tabela2[[#This Row],[Coluna4]]</f>
        <v>02/02/2026</v>
      </c>
      <c r="W1894" s="2" t="str">
        <f>Tabela2[[#This Row],[Coluna6]]</f>
        <v>02/02/2026</v>
      </c>
    </row>
    <row r="1895" spans="2:23" x14ac:dyDescent="0.2">
      <c r="B1895" t="s">
        <v>18</v>
      </c>
      <c r="C1895" t="s">
        <v>125</v>
      </c>
      <c r="D1895" t="s">
        <v>19</v>
      </c>
      <c r="E1895" s="8" t="s">
        <v>817</v>
      </c>
      <c r="F1895" t="s">
        <v>42</v>
      </c>
      <c r="G1895" s="8" t="s">
        <v>754</v>
      </c>
      <c r="H1895" t="s">
        <v>98</v>
      </c>
      <c r="I1895" t="e">
        <f>VLOOKUP(Tabela2[[#This Row],[Coluna7]],[1]!Tabela1[#All],2,0)</f>
        <v>#REF!</v>
      </c>
      <c r="J1895" t="s">
        <v>779</v>
      </c>
      <c r="K1895">
        <v>420</v>
      </c>
      <c r="N1895" t="s">
        <v>132</v>
      </c>
      <c r="Q1895" s="10" t="str">
        <f>Tabela2[[#This Row],[Coluna5]]</f>
        <v>11/2025</v>
      </c>
      <c r="R1895" s="10" t="str">
        <f>IF(Tabela2[[#This Row],[Coluna9]]&gt;0,"Entrada","Saída")</f>
        <v>Entrada</v>
      </c>
      <c r="S1895" s="10" t="str">
        <f>Tabela2[[#This Row],[Coluna8]]</f>
        <v>4/5</v>
      </c>
      <c r="T1895" s="10" t="e">
        <f>Tabela2[[#This Row],[Coluna72]]</f>
        <v>#REF!</v>
      </c>
      <c r="U1895" s="10">
        <f>SUM(Tabela2[[#This Row],[Coluna9]],Tabela2[[#This Row],[Coluna10]])</f>
        <v>420</v>
      </c>
      <c r="V1895" s="2" t="str">
        <f>Tabela2[[#This Row],[Coluna4]]</f>
        <v>03/02/2026</v>
      </c>
      <c r="W1895" s="2" t="str">
        <f>Tabela2[[#This Row],[Coluna6]]</f>
        <v>04/02/2026</v>
      </c>
    </row>
    <row r="1896" spans="2:23" x14ac:dyDescent="0.2">
      <c r="B1896" t="s">
        <v>27</v>
      </c>
      <c r="C1896" t="s">
        <v>110</v>
      </c>
      <c r="D1896" t="s">
        <v>19</v>
      </c>
      <c r="E1896" s="8" t="s">
        <v>817</v>
      </c>
      <c r="F1896" t="s">
        <v>15</v>
      </c>
      <c r="G1896" s="8" t="s">
        <v>810</v>
      </c>
      <c r="H1896" t="s">
        <v>111</v>
      </c>
      <c r="I1896" t="e">
        <f>VLOOKUP(Tabela2[[#This Row],[Coluna7]],[1]!Tabela1[#All],2,0)</f>
        <v>#REF!</v>
      </c>
      <c r="J1896" t="s">
        <v>818</v>
      </c>
      <c r="K1896">
        <v>500</v>
      </c>
      <c r="N1896" t="s">
        <v>113</v>
      </c>
      <c r="Q1896" s="10" t="str">
        <f>Tabela2[[#This Row],[Coluna5]]</f>
        <v>10/2025</v>
      </c>
      <c r="R1896" s="10" t="str">
        <f>IF(Tabela2[[#This Row],[Coluna9]]&gt;0,"Entrada","Saída")</f>
        <v>Entrada</v>
      </c>
      <c r="S1896" s="10" t="str">
        <f>Tabela2[[#This Row],[Coluna8]]</f>
        <v>5/6</v>
      </c>
      <c r="T1896" s="10" t="e">
        <f>Tabela2[[#This Row],[Coluna72]]</f>
        <v>#REF!</v>
      </c>
      <c r="U1896" s="10">
        <f>SUM(Tabela2[[#This Row],[Coluna9]],Tabela2[[#This Row],[Coluna10]])</f>
        <v>500</v>
      </c>
      <c r="V1896" s="2" t="str">
        <f>Tabela2[[#This Row],[Coluna4]]</f>
        <v>03/02/2026</v>
      </c>
      <c r="W1896" s="2" t="str">
        <f>Tabela2[[#This Row],[Coluna6]]</f>
        <v>02/02/2026</v>
      </c>
    </row>
    <row r="1897" spans="2:23" x14ac:dyDescent="0.2">
      <c r="B1897" t="s">
        <v>27</v>
      </c>
      <c r="C1897" t="s">
        <v>95</v>
      </c>
      <c r="D1897" t="s">
        <v>19</v>
      </c>
      <c r="E1897" s="8" t="s">
        <v>817</v>
      </c>
      <c r="F1897" t="s">
        <v>750</v>
      </c>
      <c r="G1897" s="8" t="s">
        <v>817</v>
      </c>
      <c r="H1897" t="s">
        <v>162</v>
      </c>
      <c r="I1897" t="e">
        <f>VLOOKUP(Tabela2[[#This Row],[Coluna7]],[1]!Tabela1[#All],2,0)</f>
        <v>#REF!</v>
      </c>
      <c r="K1897">
        <v>0.06</v>
      </c>
      <c r="Q1897" s="10" t="str">
        <f>Tabela2[[#This Row],[Coluna5]]</f>
        <v>02/2026</v>
      </c>
      <c r="R1897" s="10" t="str">
        <f>IF(Tabela2[[#This Row],[Coluna9]]&gt;0,"Entrada","Saída")</f>
        <v>Entrada</v>
      </c>
      <c r="S1897" s="10">
        <f>Tabela2[[#This Row],[Coluna8]]</f>
        <v>0</v>
      </c>
      <c r="T1897" s="10" t="e">
        <f>Tabela2[[#This Row],[Coluna72]]</f>
        <v>#REF!</v>
      </c>
      <c r="U1897" s="10">
        <f>SUM(Tabela2[[#This Row],[Coluna9]],Tabela2[[#This Row],[Coluna10]])</f>
        <v>0.06</v>
      </c>
      <c r="V1897" s="2" t="str">
        <f>Tabela2[[#This Row],[Coluna4]]</f>
        <v>03/02/2026</v>
      </c>
      <c r="W1897" s="2" t="str">
        <f>Tabela2[[#This Row],[Coluna6]]</f>
        <v>03/02/2026</v>
      </c>
    </row>
    <row r="1898" spans="2:23" x14ac:dyDescent="0.2">
      <c r="B1898" t="s">
        <v>27</v>
      </c>
      <c r="C1898" t="s">
        <v>200</v>
      </c>
      <c r="D1898" t="s">
        <v>19</v>
      </c>
      <c r="E1898" s="8" t="s">
        <v>754</v>
      </c>
      <c r="F1898" t="s">
        <v>750</v>
      </c>
      <c r="G1898" s="8" t="s">
        <v>754</v>
      </c>
      <c r="H1898" t="s">
        <v>98</v>
      </c>
      <c r="I1898" t="e">
        <f>VLOOKUP(Tabela2[[#This Row],[Coluna7]],[1]!Tabela1[#All],2,0)</f>
        <v>#REF!</v>
      </c>
      <c r="K1898">
        <v>2000</v>
      </c>
      <c r="M1898" t="s">
        <v>819</v>
      </c>
      <c r="N1898" t="s">
        <v>820</v>
      </c>
      <c r="Q1898" s="10" t="str">
        <f>Tabela2[[#This Row],[Coluna5]]</f>
        <v>02/2026</v>
      </c>
      <c r="R1898" s="10" t="str">
        <f>IF(Tabela2[[#This Row],[Coluna9]]&gt;0,"Entrada","Saída")</f>
        <v>Entrada</v>
      </c>
      <c r="S1898" s="10">
        <f>Tabela2[[#This Row],[Coluna8]]</f>
        <v>0</v>
      </c>
      <c r="T1898" s="10" t="e">
        <f>Tabela2[[#This Row],[Coluna72]]</f>
        <v>#REF!</v>
      </c>
      <c r="U1898" s="10">
        <f>SUM(Tabela2[[#This Row],[Coluna9]],Tabela2[[#This Row],[Coluna10]])</f>
        <v>2000</v>
      </c>
      <c r="V1898" s="2" t="str">
        <f>Tabela2[[#This Row],[Coluna4]]</f>
        <v>04/02/2026</v>
      </c>
      <c r="W1898" s="2" t="str">
        <f>Tabela2[[#This Row],[Coluna6]]</f>
        <v>04/02/2026</v>
      </c>
    </row>
    <row r="1899" spans="2:23" x14ac:dyDescent="0.2">
      <c r="B1899" t="s">
        <v>27</v>
      </c>
      <c r="C1899" t="s">
        <v>95</v>
      </c>
      <c r="D1899" t="s">
        <v>19</v>
      </c>
      <c r="E1899" s="8" t="s">
        <v>754</v>
      </c>
      <c r="F1899" t="s">
        <v>750</v>
      </c>
      <c r="G1899" s="8" t="s">
        <v>754</v>
      </c>
      <c r="H1899" t="s">
        <v>162</v>
      </c>
      <c r="I1899" t="e">
        <f>VLOOKUP(Tabela2[[#This Row],[Coluna7]],[1]!Tabela1[#All],2,0)</f>
        <v>#REF!</v>
      </c>
      <c r="K1899">
        <v>0.11</v>
      </c>
      <c r="Q1899" s="10" t="str">
        <f>Tabela2[[#This Row],[Coluna5]]</f>
        <v>02/2026</v>
      </c>
      <c r="R1899" s="10" t="str">
        <f>IF(Tabela2[[#This Row],[Coluna9]]&gt;0,"Entrada","Saída")</f>
        <v>Entrada</v>
      </c>
      <c r="S1899" s="10">
        <f>Tabela2[[#This Row],[Coluna8]]</f>
        <v>0</v>
      </c>
      <c r="T1899" s="10" t="e">
        <f>Tabela2[[#This Row],[Coluna72]]</f>
        <v>#REF!</v>
      </c>
      <c r="U1899" s="10">
        <f>SUM(Tabela2[[#This Row],[Coluna9]],Tabela2[[#This Row],[Coluna10]])</f>
        <v>0.11</v>
      </c>
      <c r="V1899" s="2" t="str">
        <f>Tabela2[[#This Row],[Coluna4]]</f>
        <v>04/02/2026</v>
      </c>
      <c r="W1899" s="2" t="str">
        <f>Tabela2[[#This Row],[Coluna6]]</f>
        <v>04/02/2026</v>
      </c>
    </row>
    <row r="1900" spans="2:23" x14ac:dyDescent="0.2">
      <c r="B1900" t="s">
        <v>215</v>
      </c>
      <c r="C1900" t="s">
        <v>222</v>
      </c>
      <c r="D1900" t="s">
        <v>19</v>
      </c>
      <c r="E1900" s="8" t="s">
        <v>821</v>
      </c>
      <c r="F1900" t="s">
        <v>42</v>
      </c>
      <c r="G1900" s="8" t="s">
        <v>361</v>
      </c>
      <c r="H1900" t="s">
        <v>98</v>
      </c>
      <c r="I1900" t="e">
        <f>VLOOKUP(Tabela2[[#This Row],[Coluna7]],[1]!Tabela1[#All],2,0)</f>
        <v>#REF!</v>
      </c>
      <c r="J1900" t="s">
        <v>822</v>
      </c>
      <c r="K1900">
        <v>200</v>
      </c>
      <c r="M1900" t="s">
        <v>224</v>
      </c>
      <c r="N1900" t="s">
        <v>225</v>
      </c>
      <c r="Q1900" s="10" t="str">
        <f>Tabela2[[#This Row],[Coluna5]]</f>
        <v>11/2025</v>
      </c>
      <c r="R1900" s="10" t="str">
        <f>IF(Tabela2[[#This Row],[Coluna9]]&gt;0,"Entrada","Saída")</f>
        <v>Entrada</v>
      </c>
      <c r="S1900" s="10" t="str">
        <f>Tabela2[[#This Row],[Coluna8]]</f>
        <v>4/15 HONORARIOS INICIAIS</v>
      </c>
      <c r="T1900" s="10" t="e">
        <f>Tabela2[[#This Row],[Coluna72]]</f>
        <v>#REF!</v>
      </c>
      <c r="U1900" s="10">
        <f>SUM(Tabela2[[#This Row],[Coluna9]],Tabela2[[#This Row],[Coluna10]])</f>
        <v>200</v>
      </c>
      <c r="V1900" s="2" t="str">
        <f>Tabela2[[#This Row],[Coluna4]]</f>
        <v>05/02/2026</v>
      </c>
      <c r="W1900" s="2" t="str">
        <f>Tabela2[[#This Row],[Coluna6]]</f>
        <v>06/02/2026</v>
      </c>
    </row>
    <row r="1901" spans="2:23" x14ac:dyDescent="0.2">
      <c r="B1901" t="s">
        <v>18</v>
      </c>
      <c r="C1901" t="s">
        <v>95</v>
      </c>
      <c r="D1901" t="s">
        <v>19</v>
      </c>
      <c r="E1901" s="8" t="s">
        <v>361</v>
      </c>
      <c r="F1901" t="s">
        <v>15</v>
      </c>
      <c r="G1901" s="8" t="s">
        <v>751</v>
      </c>
      <c r="H1901" t="s">
        <v>98</v>
      </c>
      <c r="I1901" t="e">
        <f>VLOOKUP(Tabela2[[#This Row],[Coluna7]],[1]!Tabela1[#All],2,0)</f>
        <v>#REF!</v>
      </c>
      <c r="J1901" t="s">
        <v>823</v>
      </c>
      <c r="K1901">
        <v>300</v>
      </c>
      <c r="N1901" t="s">
        <v>134</v>
      </c>
      <c r="Q1901" s="10" t="str">
        <f>Tabela2[[#This Row],[Coluna5]]</f>
        <v>10/2025</v>
      </c>
      <c r="R1901" s="10" t="str">
        <f>IF(Tabela2[[#This Row],[Coluna9]]&gt;0,"Entrada","Saída")</f>
        <v>Entrada</v>
      </c>
      <c r="S1901" s="10" t="str">
        <f>Tabela2[[#This Row],[Coluna8]]</f>
        <v>5/17</v>
      </c>
      <c r="T1901" s="10" t="e">
        <f>Tabela2[[#This Row],[Coluna72]]</f>
        <v>#REF!</v>
      </c>
      <c r="U1901" s="10">
        <f>SUM(Tabela2[[#This Row],[Coluna9]],Tabela2[[#This Row],[Coluna10]])</f>
        <v>300</v>
      </c>
      <c r="V1901" s="2" t="str">
        <f>Tabela2[[#This Row],[Coluna4]]</f>
        <v>06/02/2026</v>
      </c>
      <c r="W1901" s="2" t="str">
        <f>Tabela2[[#This Row],[Coluna6]]</f>
        <v>09/02/2026</v>
      </c>
    </row>
    <row r="1902" spans="2:23" x14ac:dyDescent="0.2">
      <c r="B1902" t="s">
        <v>58</v>
      </c>
      <c r="C1902" t="s">
        <v>125</v>
      </c>
      <c r="D1902" t="s">
        <v>19</v>
      </c>
      <c r="E1902" s="8" t="s">
        <v>361</v>
      </c>
      <c r="F1902" t="s">
        <v>750</v>
      </c>
      <c r="G1902" s="8" t="s">
        <v>361</v>
      </c>
      <c r="H1902" t="s">
        <v>107</v>
      </c>
      <c r="I1902" t="e">
        <f>VLOOKUP(Tabela2[[#This Row],[Coluna7]],[1]!Tabela1[#All],2,0)</f>
        <v>#REF!</v>
      </c>
      <c r="K1902">
        <v>8350</v>
      </c>
      <c r="M1902" t="s">
        <v>824</v>
      </c>
      <c r="N1902" t="s">
        <v>825</v>
      </c>
      <c r="Q1902" s="10" t="str">
        <f>Tabela2[[#This Row],[Coluna5]]</f>
        <v>02/2026</v>
      </c>
      <c r="R1902" s="10" t="str">
        <f>IF(Tabela2[[#This Row],[Coluna9]]&gt;0,"Entrada","Saída")</f>
        <v>Entrada</v>
      </c>
      <c r="S1902" s="10">
        <f>Tabela2[[#This Row],[Coluna8]]</f>
        <v>0</v>
      </c>
      <c r="T1902" s="10" t="e">
        <f>Tabela2[[#This Row],[Coluna72]]</f>
        <v>#REF!</v>
      </c>
      <c r="U1902" s="10">
        <f>SUM(Tabela2[[#This Row],[Coluna9]],Tabela2[[#This Row],[Coluna10]])</f>
        <v>8350</v>
      </c>
      <c r="V1902" s="2" t="str">
        <f>Tabela2[[#This Row],[Coluna4]]</f>
        <v>06/02/2026</v>
      </c>
      <c r="W1902" s="2" t="str">
        <f>Tabela2[[#This Row],[Coluna6]]</f>
        <v>06/02/2026</v>
      </c>
    </row>
    <row r="1903" spans="2:23" x14ac:dyDescent="0.2">
      <c r="B1903" t="s">
        <v>71</v>
      </c>
      <c r="C1903" t="s">
        <v>200</v>
      </c>
      <c r="D1903" t="s">
        <v>19</v>
      </c>
      <c r="E1903" s="8" t="s">
        <v>361</v>
      </c>
      <c r="F1903" t="s">
        <v>750</v>
      </c>
      <c r="G1903" s="8" t="s">
        <v>361</v>
      </c>
      <c r="H1903" t="s">
        <v>98</v>
      </c>
      <c r="I1903" t="e">
        <f>VLOOKUP(Tabela2[[#This Row],[Coluna7]],[1]!Tabela1[#All],2,0)</f>
        <v>#REF!</v>
      </c>
      <c r="J1903" t="s">
        <v>826</v>
      </c>
      <c r="K1903">
        <v>2250</v>
      </c>
      <c r="N1903" t="s">
        <v>827</v>
      </c>
      <c r="Q1903" s="10" t="str">
        <f>Tabela2[[#This Row],[Coluna5]]</f>
        <v>02/2026</v>
      </c>
      <c r="R1903" s="10" t="str">
        <f>IF(Tabela2[[#This Row],[Coluna9]]&gt;0,"Entrada","Saída")</f>
        <v>Entrada</v>
      </c>
      <c r="S1903" s="10" t="str">
        <f>Tabela2[[#This Row],[Coluna8]]</f>
        <v>1/4 PARCELAMENTO DO SALDO REMANESCENTE DO CONTRATO DE HONORÁRIOS ADVOCATÍCIOS.</v>
      </c>
      <c r="T1903" s="10" t="e">
        <f>Tabela2[[#This Row],[Coluna72]]</f>
        <v>#REF!</v>
      </c>
      <c r="U1903" s="10">
        <f>SUM(Tabela2[[#This Row],[Coluna9]],Tabela2[[#This Row],[Coluna10]])</f>
        <v>2250</v>
      </c>
      <c r="V1903" s="2" t="str">
        <f>Tabela2[[#This Row],[Coluna4]]</f>
        <v>06/02/2026</v>
      </c>
      <c r="W1903" s="2" t="str">
        <f>Tabela2[[#This Row],[Coluna6]]</f>
        <v>06/02/2026</v>
      </c>
    </row>
    <row r="1904" spans="2:23" x14ac:dyDescent="0.2">
      <c r="B1904" t="s">
        <v>71</v>
      </c>
      <c r="C1904" t="s">
        <v>125</v>
      </c>
      <c r="D1904" t="s">
        <v>19</v>
      </c>
      <c r="E1904" s="8" t="s">
        <v>361</v>
      </c>
      <c r="F1904" t="s">
        <v>750</v>
      </c>
      <c r="G1904" s="8" t="s">
        <v>361</v>
      </c>
      <c r="H1904" t="s">
        <v>104</v>
      </c>
      <c r="I1904" t="e">
        <f>VLOOKUP(Tabela2[[#This Row],[Coluna7]],[1]!Tabela1[#All],2,0)</f>
        <v>#REF!</v>
      </c>
      <c r="K1904">
        <v>2312</v>
      </c>
      <c r="M1904" t="s">
        <v>828</v>
      </c>
      <c r="N1904" t="s">
        <v>829</v>
      </c>
      <c r="Q1904" s="10" t="str">
        <f>Tabela2[[#This Row],[Coluna5]]</f>
        <v>02/2026</v>
      </c>
      <c r="R1904" s="10" t="str">
        <f>IF(Tabela2[[#This Row],[Coluna9]]&gt;0,"Entrada","Saída")</f>
        <v>Entrada</v>
      </c>
      <c r="S1904" s="10">
        <f>Tabela2[[#This Row],[Coluna8]]</f>
        <v>0</v>
      </c>
      <c r="T1904" s="10" t="e">
        <f>Tabela2[[#This Row],[Coluna72]]</f>
        <v>#REF!</v>
      </c>
      <c r="U1904" s="10">
        <f>SUM(Tabela2[[#This Row],[Coluna9]],Tabela2[[#This Row],[Coluna10]])</f>
        <v>2312</v>
      </c>
      <c r="V1904" s="2" t="str">
        <f>Tabela2[[#This Row],[Coluna4]]</f>
        <v>06/02/2026</v>
      </c>
      <c r="W1904" s="2" t="str">
        <f>Tabela2[[#This Row],[Coluna6]]</f>
        <v>06/02/2026</v>
      </c>
    </row>
    <row r="1905" spans="2:23" x14ac:dyDescent="0.2">
      <c r="B1905" t="s">
        <v>27</v>
      </c>
      <c r="C1905" t="s">
        <v>95</v>
      </c>
      <c r="D1905" t="s">
        <v>19</v>
      </c>
      <c r="E1905" s="8" t="s">
        <v>361</v>
      </c>
      <c r="F1905" t="s">
        <v>750</v>
      </c>
      <c r="G1905" s="8" t="s">
        <v>361</v>
      </c>
      <c r="H1905" t="s">
        <v>162</v>
      </c>
      <c r="I1905" t="e">
        <f>VLOOKUP(Tabela2[[#This Row],[Coluna7]],[1]!Tabela1[#All],2,0)</f>
        <v>#REF!</v>
      </c>
      <c r="K1905">
        <v>2.2200000000000002</v>
      </c>
      <c r="Q1905" s="10" t="str">
        <f>Tabela2[[#This Row],[Coluna5]]</f>
        <v>02/2026</v>
      </c>
      <c r="R1905" s="10" t="str">
        <f>IF(Tabela2[[#This Row],[Coluna9]]&gt;0,"Entrada","Saída")</f>
        <v>Entrada</v>
      </c>
      <c r="S1905" s="10">
        <f>Tabela2[[#This Row],[Coluna8]]</f>
        <v>0</v>
      </c>
      <c r="T1905" s="10" t="e">
        <f>Tabela2[[#This Row],[Coluna72]]</f>
        <v>#REF!</v>
      </c>
      <c r="U1905" s="10">
        <f>SUM(Tabela2[[#This Row],[Coluna9]],Tabela2[[#This Row],[Coluna10]])</f>
        <v>2.2200000000000002</v>
      </c>
      <c r="V1905" s="2" t="str">
        <f>Tabela2[[#This Row],[Coluna4]]</f>
        <v>06/02/2026</v>
      </c>
      <c r="W1905" s="2" t="str">
        <f>Tabela2[[#This Row],[Coluna6]]</f>
        <v>06/02/2026</v>
      </c>
    </row>
    <row r="1906" spans="2:23" x14ac:dyDescent="0.2">
      <c r="B1906" t="s">
        <v>18</v>
      </c>
      <c r="C1906" t="s">
        <v>95</v>
      </c>
      <c r="D1906" t="s">
        <v>19</v>
      </c>
      <c r="E1906" s="8" t="s">
        <v>830</v>
      </c>
      <c r="F1906" t="s">
        <v>15</v>
      </c>
      <c r="G1906" s="8" t="s">
        <v>751</v>
      </c>
      <c r="H1906" t="s">
        <v>98</v>
      </c>
      <c r="I1906" t="e">
        <f>VLOOKUP(Tabela2[[#This Row],[Coluna7]],[1]!Tabela1[#All],2,0)</f>
        <v>#REF!</v>
      </c>
      <c r="J1906" t="s">
        <v>831</v>
      </c>
      <c r="K1906">
        <v>1000</v>
      </c>
      <c r="M1906" t="s">
        <v>152</v>
      </c>
      <c r="N1906" t="s">
        <v>153</v>
      </c>
      <c r="Q1906" s="10" t="str">
        <f>Tabela2[[#This Row],[Coluna5]]</f>
        <v>10/2025</v>
      </c>
      <c r="R1906" s="10" t="str">
        <f>IF(Tabela2[[#This Row],[Coluna9]]&gt;0,"Entrada","Saída")</f>
        <v>Entrada</v>
      </c>
      <c r="S1906" s="10" t="str">
        <f>Tabela2[[#This Row],[Coluna8]]</f>
        <v>5/5</v>
      </c>
      <c r="T1906" s="10" t="e">
        <f>Tabela2[[#This Row],[Coluna72]]</f>
        <v>#REF!</v>
      </c>
      <c r="U1906" s="10">
        <f>SUM(Tabela2[[#This Row],[Coluna9]],Tabela2[[#This Row],[Coluna10]])</f>
        <v>1000</v>
      </c>
      <c r="V1906" s="2" t="str">
        <f>Tabela2[[#This Row],[Coluna4]]</f>
        <v>07/02/2026</v>
      </c>
      <c r="W1906" s="2" t="str">
        <f>Tabela2[[#This Row],[Coluna6]]</f>
        <v>09/02/2026</v>
      </c>
    </row>
    <row r="1907" spans="2:23" x14ac:dyDescent="0.2">
      <c r="B1907" t="s">
        <v>18</v>
      </c>
      <c r="C1907" t="s">
        <v>95</v>
      </c>
      <c r="D1907" t="s">
        <v>19</v>
      </c>
      <c r="E1907" s="8" t="s">
        <v>830</v>
      </c>
      <c r="F1907" t="s">
        <v>15</v>
      </c>
      <c r="G1907" s="8" t="s">
        <v>361</v>
      </c>
      <c r="H1907" t="s">
        <v>98</v>
      </c>
      <c r="I1907" t="e">
        <f>VLOOKUP(Tabela2[[#This Row],[Coluna7]],[1]!Tabela1[#All],2,0)</f>
        <v>#REF!</v>
      </c>
      <c r="J1907" t="s">
        <v>832</v>
      </c>
      <c r="K1907">
        <v>634</v>
      </c>
      <c r="N1907" t="s">
        <v>154</v>
      </c>
      <c r="Q1907" s="10" t="str">
        <f>Tabela2[[#This Row],[Coluna5]]</f>
        <v>10/2025</v>
      </c>
      <c r="R1907" s="10" t="str">
        <f>IF(Tabela2[[#This Row],[Coluna9]]&gt;0,"Entrada","Saída")</f>
        <v>Entrada</v>
      </c>
      <c r="S1907" s="10" t="str">
        <f>Tabela2[[#This Row],[Coluna8]]</f>
        <v>5/9</v>
      </c>
      <c r="T1907" s="10" t="e">
        <f>Tabela2[[#This Row],[Coluna72]]</f>
        <v>#REF!</v>
      </c>
      <c r="U1907" s="10">
        <f>SUM(Tabela2[[#This Row],[Coluna9]],Tabela2[[#This Row],[Coluna10]])</f>
        <v>634</v>
      </c>
      <c r="V1907" s="2" t="str">
        <f>Tabela2[[#This Row],[Coluna4]]</f>
        <v>07/02/2026</v>
      </c>
      <c r="W1907" s="2" t="str">
        <f>Tabela2[[#This Row],[Coluna6]]</f>
        <v>06/02/2026</v>
      </c>
    </row>
    <row r="1908" spans="2:23" x14ac:dyDescent="0.2">
      <c r="B1908" t="s">
        <v>27</v>
      </c>
      <c r="C1908" t="s">
        <v>200</v>
      </c>
      <c r="D1908" t="s">
        <v>19</v>
      </c>
      <c r="E1908" s="8" t="s">
        <v>830</v>
      </c>
      <c r="F1908" t="s">
        <v>42</v>
      </c>
      <c r="G1908" s="8" t="s">
        <v>361</v>
      </c>
      <c r="H1908" t="s">
        <v>98</v>
      </c>
      <c r="I1908" t="e">
        <f>VLOOKUP(Tabela2[[#This Row],[Coluna7]],[1]!Tabela1[#All],2,0)</f>
        <v>#REF!</v>
      </c>
      <c r="J1908" t="s">
        <v>809</v>
      </c>
      <c r="K1908">
        <v>500</v>
      </c>
      <c r="N1908" t="s">
        <v>202</v>
      </c>
      <c r="Q1908" s="10" t="str">
        <f>Tabela2[[#This Row],[Coluna5]]</f>
        <v>11/2025</v>
      </c>
      <c r="R1908" s="10" t="str">
        <f>IF(Tabela2[[#This Row],[Coluna9]]&gt;0,"Entrada","Saída")</f>
        <v>Entrada</v>
      </c>
      <c r="S1908" s="10" t="str">
        <f>Tabela2[[#This Row],[Coluna8]]</f>
        <v>4/12</v>
      </c>
      <c r="T1908" s="10" t="e">
        <f>Tabela2[[#This Row],[Coluna72]]</f>
        <v>#REF!</v>
      </c>
      <c r="U1908" s="10">
        <f>SUM(Tabela2[[#This Row],[Coluna9]],Tabela2[[#This Row],[Coluna10]])</f>
        <v>500</v>
      </c>
      <c r="V1908" s="2" t="str">
        <f>Tabela2[[#This Row],[Coluna4]]</f>
        <v>07/02/2026</v>
      </c>
      <c r="W1908" s="2" t="str">
        <f>Tabela2[[#This Row],[Coluna6]]</f>
        <v>06/02/2026</v>
      </c>
    </row>
    <row r="1909" spans="2:23" x14ac:dyDescent="0.2">
      <c r="B1909" t="s">
        <v>215</v>
      </c>
      <c r="C1909" t="s">
        <v>200</v>
      </c>
      <c r="D1909" t="s">
        <v>19</v>
      </c>
      <c r="E1909" s="8" t="s">
        <v>751</v>
      </c>
      <c r="F1909" t="s">
        <v>84</v>
      </c>
      <c r="G1909" s="8" t="s">
        <v>361</v>
      </c>
      <c r="H1909" t="s">
        <v>98</v>
      </c>
      <c r="I1909" t="e">
        <f>VLOOKUP(Tabela2[[#This Row],[Coluna7]],[1]!Tabela1[#All],2,0)</f>
        <v>#REF!</v>
      </c>
      <c r="J1909" t="s">
        <v>833</v>
      </c>
      <c r="K1909">
        <v>2250</v>
      </c>
      <c r="N1909" t="s">
        <v>827</v>
      </c>
      <c r="Q1909" s="10" t="str">
        <f>Tabela2[[#This Row],[Coluna5]]</f>
        <v>01/2026</v>
      </c>
      <c r="R1909" s="10" t="str">
        <f>IF(Tabela2[[#This Row],[Coluna9]]&gt;0,"Entrada","Saída")</f>
        <v>Entrada</v>
      </c>
      <c r="S1909" s="10" t="str">
        <f>Tabela2[[#This Row],[Coluna8]]</f>
        <v>2/4 PARCELAMENTO DO SALDO REMANESCENTE DO CONTRATO DE HONORÁRIOS ADVOCATÍCIOS.</v>
      </c>
      <c r="T1909" s="10" t="e">
        <f>Tabela2[[#This Row],[Coluna72]]</f>
        <v>#REF!</v>
      </c>
      <c r="U1909" s="10">
        <f>SUM(Tabela2[[#This Row],[Coluna9]],Tabela2[[#This Row],[Coluna10]])</f>
        <v>2250</v>
      </c>
      <c r="V1909" s="2" t="str">
        <f>Tabela2[[#This Row],[Coluna4]]</f>
        <v>09/02/2026</v>
      </c>
      <c r="W1909" s="2" t="str">
        <f>Tabela2[[#This Row],[Coluna6]]</f>
        <v>06/02/2026</v>
      </c>
    </row>
    <row r="1910" spans="2:23" x14ac:dyDescent="0.2">
      <c r="B1910" t="s">
        <v>27</v>
      </c>
      <c r="C1910" t="s">
        <v>200</v>
      </c>
      <c r="D1910" t="s">
        <v>19</v>
      </c>
      <c r="E1910" s="8" t="s">
        <v>751</v>
      </c>
      <c r="F1910" t="s">
        <v>750</v>
      </c>
      <c r="G1910" s="8" t="s">
        <v>751</v>
      </c>
      <c r="H1910" t="s">
        <v>98</v>
      </c>
      <c r="I1910" t="e">
        <f>VLOOKUP(Tabela2[[#This Row],[Coluna7]],[1]!Tabela1[#All],2,0)</f>
        <v>#REF!</v>
      </c>
      <c r="K1910">
        <v>320</v>
      </c>
      <c r="N1910" t="s">
        <v>166</v>
      </c>
      <c r="Q1910" s="10" t="str">
        <f>Tabela2[[#This Row],[Coluna5]]</f>
        <v>02/2026</v>
      </c>
      <c r="R1910" s="10" t="str">
        <f>IF(Tabela2[[#This Row],[Coluna9]]&gt;0,"Entrada","Saída")</f>
        <v>Entrada</v>
      </c>
      <c r="S1910" s="10">
        <f>Tabela2[[#This Row],[Coluna8]]</f>
        <v>0</v>
      </c>
      <c r="T1910" s="10" t="e">
        <f>Tabela2[[#This Row],[Coluna72]]</f>
        <v>#REF!</v>
      </c>
      <c r="U1910" s="10">
        <f>SUM(Tabela2[[#This Row],[Coluna9]],Tabela2[[#This Row],[Coluna10]])</f>
        <v>320</v>
      </c>
      <c r="V1910" s="2" t="str">
        <f>Tabela2[[#This Row],[Coluna4]]</f>
        <v>09/02/2026</v>
      </c>
      <c r="W1910" s="2" t="str">
        <f>Tabela2[[#This Row],[Coluna6]]</f>
        <v>09/02/2026</v>
      </c>
    </row>
    <row r="1911" spans="2:23" x14ac:dyDescent="0.2">
      <c r="B1911" t="s">
        <v>27</v>
      </c>
      <c r="C1911" t="s">
        <v>95</v>
      </c>
      <c r="D1911" t="s">
        <v>19</v>
      </c>
      <c r="E1911" s="8" t="s">
        <v>751</v>
      </c>
      <c r="F1911" t="s">
        <v>750</v>
      </c>
      <c r="G1911" s="8" t="s">
        <v>751</v>
      </c>
      <c r="H1911" t="s">
        <v>162</v>
      </c>
      <c r="I1911" t="e">
        <f>VLOOKUP(Tabela2[[#This Row],[Coluna7]],[1]!Tabela1[#All],2,0)</f>
        <v>#REF!</v>
      </c>
      <c r="K1911">
        <v>0.21</v>
      </c>
      <c r="Q1911" s="10" t="str">
        <f>Tabela2[[#This Row],[Coluna5]]</f>
        <v>02/2026</v>
      </c>
      <c r="R1911" s="10" t="str">
        <f>IF(Tabela2[[#This Row],[Coluna9]]&gt;0,"Entrada","Saída")</f>
        <v>Entrada</v>
      </c>
      <c r="S1911" s="10">
        <f>Tabela2[[#This Row],[Coluna8]]</f>
        <v>0</v>
      </c>
      <c r="T1911" s="10" t="e">
        <f>Tabela2[[#This Row],[Coluna72]]</f>
        <v>#REF!</v>
      </c>
      <c r="U1911" s="10">
        <f>SUM(Tabela2[[#This Row],[Coluna9]],Tabela2[[#This Row],[Coluna10]])</f>
        <v>0.21</v>
      </c>
      <c r="V1911" s="2" t="str">
        <f>Tabela2[[#This Row],[Coluna4]]</f>
        <v>09/02/2026</v>
      </c>
      <c r="W1911" s="2" t="str">
        <f>Tabela2[[#This Row],[Coluna6]]</f>
        <v>09/02/2026</v>
      </c>
    </row>
    <row r="1912" spans="2:23" x14ac:dyDescent="0.2">
      <c r="B1912" t="s">
        <v>27</v>
      </c>
      <c r="C1912" t="s">
        <v>95</v>
      </c>
      <c r="D1912" t="s">
        <v>19</v>
      </c>
      <c r="E1912" s="8" t="s">
        <v>834</v>
      </c>
      <c r="F1912" t="s">
        <v>15</v>
      </c>
      <c r="G1912" s="8" t="s">
        <v>361</v>
      </c>
      <c r="H1912" t="s">
        <v>98</v>
      </c>
      <c r="I1912" t="e">
        <f>VLOOKUP(Tabela2[[#This Row],[Coluna7]],[1]!Tabela1[#All],2,0)</f>
        <v>#REF!</v>
      </c>
      <c r="J1912" t="s">
        <v>832</v>
      </c>
      <c r="K1912">
        <v>500</v>
      </c>
      <c r="N1912" t="s">
        <v>164</v>
      </c>
      <c r="Q1912" s="10" t="str">
        <f>Tabela2[[#This Row],[Coluna5]]</f>
        <v>10/2025</v>
      </c>
      <c r="R1912" s="10" t="str">
        <f>IF(Tabela2[[#This Row],[Coluna9]]&gt;0,"Entrada","Saída")</f>
        <v>Entrada</v>
      </c>
      <c r="S1912" s="10" t="str">
        <f>Tabela2[[#This Row],[Coluna8]]</f>
        <v>5/9</v>
      </c>
      <c r="T1912" s="10" t="e">
        <f>Tabela2[[#This Row],[Coluna72]]</f>
        <v>#REF!</v>
      </c>
      <c r="U1912" s="10">
        <f>SUM(Tabela2[[#This Row],[Coluna9]],Tabela2[[#This Row],[Coluna10]])</f>
        <v>500</v>
      </c>
      <c r="V1912" s="2" t="str">
        <f>Tabela2[[#This Row],[Coluna4]]</f>
        <v>10/02/2026</v>
      </c>
      <c r="W1912" s="2" t="str">
        <f>Tabela2[[#This Row],[Coluna6]]</f>
        <v>06/02/2026</v>
      </c>
    </row>
    <row r="1913" spans="2:23" x14ac:dyDescent="0.2">
      <c r="B1913" t="s">
        <v>71</v>
      </c>
      <c r="C1913" t="s">
        <v>95</v>
      </c>
      <c r="D1913" t="s">
        <v>19</v>
      </c>
      <c r="E1913" s="8" t="s">
        <v>834</v>
      </c>
      <c r="F1913" t="s">
        <v>750</v>
      </c>
      <c r="G1913" s="8" t="s">
        <v>835</v>
      </c>
      <c r="H1913" t="s">
        <v>156</v>
      </c>
      <c r="I1913" t="e">
        <f>VLOOKUP(Tabela2[[#This Row],[Coluna7]],[1]!Tabela1[#All],2,0)</f>
        <v>#REF!</v>
      </c>
      <c r="J1913" t="s">
        <v>239</v>
      </c>
      <c r="K1913">
        <v>600</v>
      </c>
      <c r="Q1913" s="10" t="str">
        <f>Tabela2[[#This Row],[Coluna5]]</f>
        <v>02/2026</v>
      </c>
      <c r="R1913" s="10" t="str">
        <f>IF(Tabela2[[#This Row],[Coluna9]]&gt;0,"Entrada","Saída")</f>
        <v>Entrada</v>
      </c>
      <c r="S1913" s="10" t="str">
        <f>Tabela2[[#This Row],[Coluna8]]</f>
        <v>FRANCISCO SALES - ALUGUEL</v>
      </c>
      <c r="T1913" s="10" t="e">
        <f>Tabela2[[#This Row],[Coluna72]]</f>
        <v>#REF!</v>
      </c>
      <c r="U1913" s="10">
        <f>SUM(Tabela2[[#This Row],[Coluna9]],Tabela2[[#This Row],[Coluna10]])</f>
        <v>600</v>
      </c>
      <c r="V1913" s="2" t="str">
        <f>Tabela2[[#This Row],[Coluna4]]</f>
        <v>10/02/2026</v>
      </c>
      <c r="W1913" s="2" t="str">
        <f>Tabela2[[#This Row],[Coluna6]]</f>
        <v>11/02/2026</v>
      </c>
    </row>
    <row r="1914" spans="2:23" x14ac:dyDescent="0.2">
      <c r="B1914" t="s">
        <v>27</v>
      </c>
      <c r="C1914" t="s">
        <v>95</v>
      </c>
      <c r="D1914" t="s">
        <v>19</v>
      </c>
      <c r="E1914" s="8" t="s">
        <v>834</v>
      </c>
      <c r="F1914" t="s">
        <v>750</v>
      </c>
      <c r="G1914" s="8" t="s">
        <v>834</v>
      </c>
      <c r="H1914" t="s">
        <v>104</v>
      </c>
      <c r="I1914" t="e">
        <f>VLOOKUP(Tabela2[[#This Row],[Coluna7]],[1]!Tabela1[#All],2,0)</f>
        <v>#REF!</v>
      </c>
      <c r="J1914" t="s">
        <v>836</v>
      </c>
      <c r="K1914">
        <v>93</v>
      </c>
      <c r="N1914" t="s">
        <v>202</v>
      </c>
      <c r="Q1914" s="10" t="str">
        <f>Tabela2[[#This Row],[Coluna5]]</f>
        <v>02/2026</v>
      </c>
      <c r="R1914" s="10" t="str">
        <f>IF(Tabela2[[#This Row],[Coluna9]]&gt;0,"Entrada","Saída")</f>
        <v>Entrada</v>
      </c>
      <c r="S1914" s="10" t="str">
        <f>Tabela2[[#This Row],[Coluna8]]</f>
        <v>VERIFICAR CATEGORIA</v>
      </c>
      <c r="T1914" s="10" t="e">
        <f>Tabela2[[#This Row],[Coluna72]]</f>
        <v>#REF!</v>
      </c>
      <c r="U1914" s="10">
        <f>SUM(Tabela2[[#This Row],[Coluna9]],Tabela2[[#This Row],[Coluna10]])</f>
        <v>93</v>
      </c>
      <c r="V1914" s="2" t="str">
        <f>Tabela2[[#This Row],[Coluna4]]</f>
        <v>10/02/2026</v>
      </c>
      <c r="W1914" s="2" t="str">
        <f>Tabela2[[#This Row],[Coluna6]]</f>
        <v>10/02/2026</v>
      </c>
    </row>
    <row r="1915" spans="2:23" x14ac:dyDescent="0.2">
      <c r="B1915" t="s">
        <v>27</v>
      </c>
      <c r="C1915" t="s">
        <v>95</v>
      </c>
      <c r="D1915" t="s">
        <v>19</v>
      </c>
      <c r="E1915" s="8" t="s">
        <v>834</v>
      </c>
      <c r="F1915" t="s">
        <v>750</v>
      </c>
      <c r="G1915" s="8" t="s">
        <v>834</v>
      </c>
      <c r="H1915" t="s">
        <v>162</v>
      </c>
      <c r="I1915" t="e">
        <f>VLOOKUP(Tabela2[[#This Row],[Coluna7]],[1]!Tabela1[#All],2,0)</f>
        <v>#REF!</v>
      </c>
      <c r="K1915">
        <v>0.94</v>
      </c>
      <c r="Q1915" s="10" t="str">
        <f>Tabela2[[#This Row],[Coluna5]]</f>
        <v>02/2026</v>
      </c>
      <c r="R1915" s="10" t="str">
        <f>IF(Tabela2[[#This Row],[Coluna9]]&gt;0,"Entrada","Saída")</f>
        <v>Entrada</v>
      </c>
      <c r="S1915" s="10">
        <f>Tabela2[[#This Row],[Coluna8]]</f>
        <v>0</v>
      </c>
      <c r="T1915" s="10" t="e">
        <f>Tabela2[[#This Row],[Coluna72]]</f>
        <v>#REF!</v>
      </c>
      <c r="U1915" s="10">
        <f>SUM(Tabela2[[#This Row],[Coluna9]],Tabela2[[#This Row],[Coluna10]])</f>
        <v>0.94</v>
      </c>
      <c r="V1915" s="2" t="str">
        <f>Tabela2[[#This Row],[Coluna4]]</f>
        <v>10/02/2026</v>
      </c>
      <c r="W1915" s="2" t="str">
        <f>Tabela2[[#This Row],[Coluna6]]</f>
        <v>10/02/2026</v>
      </c>
    </row>
    <row r="1916" spans="2:23" x14ac:dyDescent="0.2">
      <c r="B1916" t="s">
        <v>58</v>
      </c>
      <c r="C1916" t="s">
        <v>125</v>
      </c>
      <c r="D1916" t="s">
        <v>19</v>
      </c>
      <c r="E1916" s="8" t="s">
        <v>753</v>
      </c>
      <c r="F1916" t="s">
        <v>750</v>
      </c>
      <c r="G1916" s="8" t="s">
        <v>753</v>
      </c>
      <c r="H1916" t="s">
        <v>107</v>
      </c>
      <c r="I1916" t="e">
        <f>VLOOKUP(Tabela2[[#This Row],[Coluna7]],[1]!Tabela1[#All],2,0)</f>
        <v>#REF!</v>
      </c>
      <c r="K1916">
        <v>17310</v>
      </c>
      <c r="M1916" t="s">
        <v>837</v>
      </c>
      <c r="N1916" t="s">
        <v>838</v>
      </c>
      <c r="Q1916" s="10" t="str">
        <f>Tabela2[[#This Row],[Coluna5]]</f>
        <v>02/2026</v>
      </c>
      <c r="R1916" s="10" t="str">
        <f>IF(Tabela2[[#This Row],[Coluna9]]&gt;0,"Entrada","Saída")</f>
        <v>Entrada</v>
      </c>
      <c r="S1916" s="10">
        <f>Tabela2[[#This Row],[Coluna8]]</f>
        <v>0</v>
      </c>
      <c r="T1916" s="10" t="e">
        <f>Tabela2[[#This Row],[Coluna72]]</f>
        <v>#REF!</v>
      </c>
      <c r="U1916" s="10">
        <f>SUM(Tabela2[[#This Row],[Coluna9]],Tabela2[[#This Row],[Coluna10]])</f>
        <v>17310</v>
      </c>
      <c r="V1916" s="2" t="str">
        <f>Tabela2[[#This Row],[Coluna4]]</f>
        <v>13/02/2026</v>
      </c>
      <c r="W1916" s="2" t="str">
        <f>Tabela2[[#This Row],[Coluna6]]</f>
        <v>13/02/2026</v>
      </c>
    </row>
    <row r="1917" spans="2:23" x14ac:dyDescent="0.2">
      <c r="B1917" t="s">
        <v>58</v>
      </c>
      <c r="C1917" t="s">
        <v>125</v>
      </c>
      <c r="D1917" t="s">
        <v>19</v>
      </c>
      <c r="E1917" s="8" t="s">
        <v>753</v>
      </c>
      <c r="F1917" t="s">
        <v>750</v>
      </c>
      <c r="G1917" s="8" t="s">
        <v>753</v>
      </c>
      <c r="H1917" t="s">
        <v>107</v>
      </c>
      <c r="I1917" t="e">
        <f>VLOOKUP(Tabela2[[#This Row],[Coluna7]],[1]!Tabela1[#All],2,0)</f>
        <v>#REF!</v>
      </c>
      <c r="K1917">
        <v>5000</v>
      </c>
      <c r="M1917" t="s">
        <v>160</v>
      </c>
      <c r="N1917" t="s">
        <v>161</v>
      </c>
      <c r="Q1917" s="10" t="str">
        <f>Tabela2[[#This Row],[Coluna5]]</f>
        <v>02/2026</v>
      </c>
      <c r="R1917" s="10" t="str">
        <f>IF(Tabela2[[#This Row],[Coluna9]]&gt;0,"Entrada","Saída")</f>
        <v>Entrada</v>
      </c>
      <c r="S1917" s="10">
        <f>Tabela2[[#This Row],[Coluna8]]</f>
        <v>0</v>
      </c>
      <c r="T1917" s="10" t="e">
        <f>Tabela2[[#This Row],[Coluna72]]</f>
        <v>#REF!</v>
      </c>
      <c r="U1917" s="10">
        <f>SUM(Tabela2[[#This Row],[Coluna9]],Tabela2[[#This Row],[Coluna10]])</f>
        <v>5000</v>
      </c>
      <c r="V1917" s="2" t="str">
        <f>Tabela2[[#This Row],[Coluna4]]</f>
        <v>13/02/2026</v>
      </c>
      <c r="W1917" s="2" t="str">
        <f>Tabela2[[#This Row],[Coluna6]]</f>
        <v>13/02/2026</v>
      </c>
    </row>
    <row r="1918" spans="2:23" x14ac:dyDescent="0.2">
      <c r="B1918" t="s">
        <v>27</v>
      </c>
      <c r="C1918" t="s">
        <v>125</v>
      </c>
      <c r="D1918" t="s">
        <v>19</v>
      </c>
      <c r="E1918" s="8" t="s">
        <v>753</v>
      </c>
      <c r="F1918" t="s">
        <v>750</v>
      </c>
      <c r="G1918" s="8" t="s">
        <v>839</v>
      </c>
      <c r="H1918" t="s">
        <v>107</v>
      </c>
      <c r="I1918" t="e">
        <f>VLOOKUP(Tabela2[[#This Row],[Coluna7]],[1]!Tabela1[#All],2,0)</f>
        <v>#REF!</v>
      </c>
      <c r="J1918" t="s">
        <v>310</v>
      </c>
      <c r="K1918">
        <v>5126.97</v>
      </c>
      <c r="M1918" t="s">
        <v>123</v>
      </c>
      <c r="N1918" t="s">
        <v>124</v>
      </c>
      <c r="Q1918" s="10" t="str">
        <f>Tabela2[[#This Row],[Coluna5]]</f>
        <v>02/2026</v>
      </c>
      <c r="R1918" s="10" t="str">
        <f>IF(Tabela2[[#This Row],[Coluna9]]&gt;0,"Entrada","Saída")</f>
        <v>Entrada</v>
      </c>
      <c r="S1918" s="10" t="str">
        <f>Tabela2[[#This Row],[Coluna8]]</f>
        <v>DESTACAMENTO</v>
      </c>
      <c r="T1918" s="10" t="e">
        <f>Tabela2[[#This Row],[Coluna72]]</f>
        <v>#REF!</v>
      </c>
      <c r="U1918" s="10">
        <f>SUM(Tabela2[[#This Row],[Coluna9]],Tabela2[[#This Row],[Coluna10]])</f>
        <v>5126.97</v>
      </c>
      <c r="V1918" s="2" t="str">
        <f>Tabela2[[#This Row],[Coluna4]]</f>
        <v>13/02/2026</v>
      </c>
      <c r="W1918" s="2" t="str">
        <f>Tabela2[[#This Row],[Coluna6]]</f>
        <v>12/02/2026</v>
      </c>
    </row>
    <row r="1919" spans="2:23" x14ac:dyDescent="0.2">
      <c r="B1919" t="s">
        <v>27</v>
      </c>
      <c r="C1919" t="s">
        <v>125</v>
      </c>
      <c r="D1919" t="s">
        <v>19</v>
      </c>
      <c r="E1919" s="8" t="s">
        <v>753</v>
      </c>
      <c r="F1919" t="s">
        <v>750</v>
      </c>
      <c r="G1919" s="8" t="s">
        <v>753</v>
      </c>
      <c r="H1919" t="s">
        <v>107</v>
      </c>
      <c r="I1919" t="e">
        <f>VLOOKUP(Tabela2[[#This Row],[Coluna7]],[1]!Tabela1[#All],2,0)</f>
        <v>#REF!</v>
      </c>
      <c r="J1919" t="s">
        <v>310</v>
      </c>
      <c r="K1919">
        <v>26701.37</v>
      </c>
      <c r="M1919" t="s">
        <v>840</v>
      </c>
      <c r="N1919" t="s">
        <v>841</v>
      </c>
      <c r="Q1919" s="10" t="str">
        <f>Tabela2[[#This Row],[Coluna5]]</f>
        <v>02/2026</v>
      </c>
      <c r="R1919" s="10" t="str">
        <f>IF(Tabela2[[#This Row],[Coluna9]]&gt;0,"Entrada","Saída")</f>
        <v>Entrada</v>
      </c>
      <c r="S1919" s="10" t="str">
        <f>Tabela2[[#This Row],[Coluna8]]</f>
        <v>DESTACAMENTO</v>
      </c>
      <c r="T1919" s="10" t="e">
        <f>Tabela2[[#This Row],[Coluna72]]</f>
        <v>#REF!</v>
      </c>
      <c r="U1919" s="10">
        <f>SUM(Tabela2[[#This Row],[Coluna9]],Tabela2[[#This Row],[Coluna10]])</f>
        <v>26701.37</v>
      </c>
      <c r="V1919" s="2" t="str">
        <f>Tabela2[[#This Row],[Coluna4]]</f>
        <v>13/02/2026</v>
      </c>
      <c r="W1919" s="2" t="str">
        <f>Tabela2[[#This Row],[Coluna6]]</f>
        <v>13/02/2026</v>
      </c>
    </row>
    <row r="1920" spans="2:23" x14ac:dyDescent="0.2">
      <c r="B1920" t="s">
        <v>27</v>
      </c>
      <c r="C1920" t="s">
        <v>200</v>
      </c>
      <c r="D1920" t="s">
        <v>19</v>
      </c>
      <c r="E1920" s="8" t="s">
        <v>691</v>
      </c>
      <c r="F1920" t="s">
        <v>64</v>
      </c>
      <c r="G1920" s="8" t="s">
        <v>810</v>
      </c>
      <c r="H1920" t="s">
        <v>98</v>
      </c>
      <c r="I1920" t="e">
        <f>VLOOKUP(Tabela2[[#This Row],[Coluna7]],[1]!Tabela1[#All],2,0)</f>
        <v>#REF!</v>
      </c>
      <c r="J1920" t="s">
        <v>842</v>
      </c>
      <c r="K1920">
        <v>400</v>
      </c>
      <c r="N1920" t="s">
        <v>270</v>
      </c>
      <c r="Q1920" s="10" t="str">
        <f>Tabela2[[#This Row],[Coluna5]]</f>
        <v>12/2025</v>
      </c>
      <c r="R1920" s="10" t="str">
        <f>IF(Tabela2[[#This Row],[Coluna9]]&gt;0,"Entrada","Saída")</f>
        <v>Entrada</v>
      </c>
      <c r="S1920" s="10" t="str">
        <f>Tabela2[[#This Row],[Coluna8]]</f>
        <v>3/10</v>
      </c>
      <c r="T1920" s="10" t="e">
        <f>Tabela2[[#This Row],[Coluna72]]</f>
        <v>#REF!</v>
      </c>
      <c r="U1920" s="10">
        <f>SUM(Tabela2[[#This Row],[Coluna9]],Tabela2[[#This Row],[Coluna10]])</f>
        <v>400</v>
      </c>
      <c r="V1920" s="2" t="str">
        <f>Tabela2[[#This Row],[Coluna4]]</f>
        <v>15/02/2026</v>
      </c>
      <c r="W1920" s="2" t="str">
        <f>Tabela2[[#This Row],[Coluna6]]</f>
        <v>02/02/2026</v>
      </c>
    </row>
    <row r="1921" spans="2:23" x14ac:dyDescent="0.2">
      <c r="B1921" t="s">
        <v>748</v>
      </c>
      <c r="C1921" t="s">
        <v>200</v>
      </c>
      <c r="D1921" t="s">
        <v>19</v>
      </c>
      <c r="E1921" s="8" t="s">
        <v>691</v>
      </c>
      <c r="F1921" t="s">
        <v>64</v>
      </c>
      <c r="G1921" s="8" t="s">
        <v>753</v>
      </c>
      <c r="H1921" t="s">
        <v>98</v>
      </c>
      <c r="I1921" t="e">
        <f>VLOOKUP(Tabela2[[#This Row],[Coluna7]],[1]!Tabela1[#All],2,0)</f>
        <v>#REF!</v>
      </c>
      <c r="J1921" t="s">
        <v>286</v>
      </c>
      <c r="K1921">
        <v>500</v>
      </c>
      <c r="N1921" t="s">
        <v>189</v>
      </c>
      <c r="Q1921" s="10" t="str">
        <f>Tabela2[[#This Row],[Coluna5]]</f>
        <v>12/2025</v>
      </c>
      <c r="R1921" s="10" t="str">
        <f>IF(Tabela2[[#This Row],[Coluna9]]&gt;0,"Entrada","Saída")</f>
        <v>Entrada</v>
      </c>
      <c r="S1921" s="10" t="str">
        <f>Tabela2[[#This Row],[Coluna8]]</f>
        <v>3/8</v>
      </c>
      <c r="T1921" s="10" t="e">
        <f>Tabela2[[#This Row],[Coluna72]]</f>
        <v>#REF!</v>
      </c>
      <c r="U1921" s="10">
        <f>SUM(Tabela2[[#This Row],[Coluna9]],Tabela2[[#This Row],[Coluna10]])</f>
        <v>500</v>
      </c>
      <c r="V1921" s="2" t="str">
        <f>Tabela2[[#This Row],[Coluna4]]</f>
        <v>15/02/2026</v>
      </c>
      <c r="W1921" s="2" t="str">
        <f>Tabela2[[#This Row],[Coluna6]]</f>
        <v>13/02/2026</v>
      </c>
    </row>
    <row r="1922" spans="2:23" x14ac:dyDescent="0.2">
      <c r="B1922" t="s">
        <v>27</v>
      </c>
      <c r="C1922" t="s">
        <v>95</v>
      </c>
      <c r="D1922" t="s">
        <v>19</v>
      </c>
      <c r="E1922" s="8" t="s">
        <v>843</v>
      </c>
      <c r="F1922" t="s">
        <v>42</v>
      </c>
      <c r="G1922" s="8" t="s">
        <v>839</v>
      </c>
      <c r="H1922" t="s">
        <v>98</v>
      </c>
      <c r="I1922" t="e">
        <f>VLOOKUP(Tabela2[[#This Row],[Coluna7]],[1]!Tabela1[#All],2,0)</f>
        <v>#REF!</v>
      </c>
      <c r="J1922" t="s">
        <v>809</v>
      </c>
      <c r="K1922">
        <v>900</v>
      </c>
      <c r="M1922" t="s">
        <v>176</v>
      </c>
      <c r="N1922" t="s">
        <v>177</v>
      </c>
      <c r="Q1922" s="10" t="str">
        <f>Tabela2[[#This Row],[Coluna5]]</f>
        <v>11/2025</v>
      </c>
      <c r="R1922" s="10" t="str">
        <f>IF(Tabela2[[#This Row],[Coluna9]]&gt;0,"Entrada","Saída")</f>
        <v>Entrada</v>
      </c>
      <c r="S1922" s="10" t="str">
        <f>Tabela2[[#This Row],[Coluna8]]</f>
        <v>4/12</v>
      </c>
      <c r="T1922" s="10" t="e">
        <f>Tabela2[[#This Row],[Coluna72]]</f>
        <v>#REF!</v>
      </c>
      <c r="U1922" s="10">
        <f>SUM(Tabela2[[#This Row],[Coluna9]],Tabela2[[#This Row],[Coluna10]])</f>
        <v>900</v>
      </c>
      <c r="V1922" s="2" t="str">
        <f>Tabela2[[#This Row],[Coluna4]]</f>
        <v>16/02/2026</v>
      </c>
      <c r="W1922" s="2" t="str">
        <f>Tabela2[[#This Row],[Coluna6]]</f>
        <v>12/02/2026</v>
      </c>
    </row>
    <row r="1923" spans="2:23" x14ac:dyDescent="0.2">
      <c r="B1923" t="s">
        <v>27</v>
      </c>
      <c r="C1923" t="s">
        <v>245</v>
      </c>
      <c r="D1923" t="s">
        <v>19</v>
      </c>
      <c r="E1923" s="8" t="s">
        <v>843</v>
      </c>
      <c r="F1923" t="s">
        <v>42</v>
      </c>
      <c r="G1923" s="8" t="s">
        <v>755</v>
      </c>
      <c r="H1923" t="s">
        <v>107</v>
      </c>
      <c r="I1923" t="e">
        <f>VLOOKUP(Tabela2[[#This Row],[Coluna7]],[1]!Tabela1[#All],2,0)</f>
        <v>#REF!</v>
      </c>
      <c r="J1923" t="s">
        <v>344</v>
      </c>
      <c r="K1923">
        <v>600</v>
      </c>
      <c r="M1923" t="s">
        <v>187</v>
      </c>
      <c r="N1923" t="s">
        <v>188</v>
      </c>
      <c r="Q1923" s="10" t="str">
        <f>Tabela2[[#This Row],[Coluna5]]</f>
        <v>11/2025</v>
      </c>
      <c r="R1923" s="10" t="str">
        <f>IF(Tabela2[[#This Row],[Coluna9]]&gt;0,"Entrada","Saída")</f>
        <v>Entrada</v>
      </c>
      <c r="S1923" s="10" t="str">
        <f>Tabela2[[#This Row],[Coluna8]]</f>
        <v>4/8</v>
      </c>
      <c r="T1923" s="10" t="e">
        <f>Tabela2[[#This Row],[Coluna72]]</f>
        <v>#REF!</v>
      </c>
      <c r="U1923" s="10">
        <f>SUM(Tabela2[[#This Row],[Coluna9]],Tabela2[[#This Row],[Coluna10]])</f>
        <v>600</v>
      </c>
      <c r="V1923" s="2" t="str">
        <f>Tabela2[[#This Row],[Coluna4]]</f>
        <v>16/02/2026</v>
      </c>
      <c r="W1923" s="2" t="str">
        <f>Tabela2[[#This Row],[Coluna6]]</f>
        <v>18/02/2026</v>
      </c>
    </row>
    <row r="1924" spans="2:23" x14ac:dyDescent="0.2">
      <c r="B1924" t="s">
        <v>27</v>
      </c>
      <c r="C1924" t="s">
        <v>125</v>
      </c>
      <c r="D1924" t="s">
        <v>19</v>
      </c>
      <c r="E1924" s="8" t="s">
        <v>755</v>
      </c>
      <c r="F1924" t="s">
        <v>750</v>
      </c>
      <c r="G1924" s="8" t="s">
        <v>755</v>
      </c>
      <c r="H1924" t="s">
        <v>107</v>
      </c>
      <c r="I1924" t="e">
        <f>VLOOKUP(Tabela2[[#This Row],[Coluna7]],[1]!Tabela1[#All],2,0)</f>
        <v>#REF!</v>
      </c>
      <c r="K1924">
        <v>14681.35</v>
      </c>
      <c r="M1924" t="s">
        <v>149</v>
      </c>
      <c r="N1924" t="s">
        <v>150</v>
      </c>
      <c r="Q1924" s="10" t="str">
        <f>Tabela2[[#This Row],[Coluna5]]</f>
        <v>02/2026</v>
      </c>
      <c r="R1924" s="10" t="str">
        <f>IF(Tabela2[[#This Row],[Coluna9]]&gt;0,"Entrada","Saída")</f>
        <v>Entrada</v>
      </c>
      <c r="S1924" s="10">
        <f>Tabela2[[#This Row],[Coluna8]]</f>
        <v>0</v>
      </c>
      <c r="T1924" s="10" t="e">
        <f>Tabela2[[#This Row],[Coluna72]]</f>
        <v>#REF!</v>
      </c>
      <c r="U1924" s="10">
        <f>SUM(Tabela2[[#This Row],[Coluna9]],Tabela2[[#This Row],[Coluna10]])</f>
        <v>14681.35</v>
      </c>
      <c r="V1924" s="2" t="str">
        <f>Tabela2[[#This Row],[Coluna4]]</f>
        <v>18/02/2026</v>
      </c>
      <c r="W1924" s="2" t="str">
        <f>Tabela2[[#This Row],[Coluna6]]</f>
        <v>18/02/2026</v>
      </c>
    </row>
    <row r="1925" spans="2:23" x14ac:dyDescent="0.2">
      <c r="B1925" t="s">
        <v>27</v>
      </c>
      <c r="C1925" t="s">
        <v>125</v>
      </c>
      <c r="D1925" t="s">
        <v>19</v>
      </c>
      <c r="E1925" s="8" t="s">
        <v>755</v>
      </c>
      <c r="F1925" t="s">
        <v>750</v>
      </c>
      <c r="G1925" s="8" t="s">
        <v>755</v>
      </c>
      <c r="H1925" t="s">
        <v>107</v>
      </c>
      <c r="I1925" t="e">
        <f>VLOOKUP(Tabela2[[#This Row],[Coluna7]],[1]!Tabela1[#All],2,0)</f>
        <v>#REF!</v>
      </c>
      <c r="K1925">
        <v>5015.84</v>
      </c>
      <c r="M1925" t="s">
        <v>844</v>
      </c>
      <c r="N1925" t="s">
        <v>845</v>
      </c>
      <c r="Q1925" s="10" t="str">
        <f>Tabela2[[#This Row],[Coluna5]]</f>
        <v>02/2026</v>
      </c>
      <c r="R1925" s="10" t="str">
        <f>IF(Tabela2[[#This Row],[Coluna9]]&gt;0,"Entrada","Saída")</f>
        <v>Entrada</v>
      </c>
      <c r="S1925" s="10">
        <f>Tabela2[[#This Row],[Coluna8]]</f>
        <v>0</v>
      </c>
      <c r="T1925" s="10" t="e">
        <f>Tabela2[[#This Row],[Coluna72]]</f>
        <v>#REF!</v>
      </c>
      <c r="U1925" s="10">
        <f>SUM(Tabela2[[#This Row],[Coluna9]],Tabela2[[#This Row],[Coluna10]])</f>
        <v>5015.84</v>
      </c>
      <c r="V1925" s="2" t="str">
        <f>Tabela2[[#This Row],[Coluna4]]</f>
        <v>18/02/2026</v>
      </c>
      <c r="W1925" s="2" t="str">
        <f>Tabela2[[#This Row],[Coluna6]]</f>
        <v>18/02/2026</v>
      </c>
    </row>
    <row r="1926" spans="2:23" x14ac:dyDescent="0.2">
      <c r="B1926" t="s">
        <v>27</v>
      </c>
      <c r="C1926" t="s">
        <v>95</v>
      </c>
      <c r="D1926" t="s">
        <v>19</v>
      </c>
      <c r="E1926" s="8" t="s">
        <v>755</v>
      </c>
      <c r="F1926" t="s">
        <v>750</v>
      </c>
      <c r="G1926" s="8" t="s">
        <v>755</v>
      </c>
      <c r="H1926" t="s">
        <v>162</v>
      </c>
      <c r="I1926" t="e">
        <f>VLOOKUP(Tabela2[[#This Row],[Coluna7]],[1]!Tabela1[#All],2,0)</f>
        <v>#REF!</v>
      </c>
      <c r="K1926">
        <v>12.57</v>
      </c>
      <c r="Q1926" s="10" t="str">
        <f>Tabela2[[#This Row],[Coluna5]]</f>
        <v>02/2026</v>
      </c>
      <c r="R1926" s="10" t="str">
        <f>IF(Tabela2[[#This Row],[Coluna9]]&gt;0,"Entrada","Saída")</f>
        <v>Entrada</v>
      </c>
      <c r="S1926" s="10">
        <f>Tabela2[[#This Row],[Coluna8]]</f>
        <v>0</v>
      </c>
      <c r="T1926" s="10" t="e">
        <f>Tabela2[[#This Row],[Coluna72]]</f>
        <v>#REF!</v>
      </c>
      <c r="U1926" s="10">
        <f>SUM(Tabela2[[#This Row],[Coluna9]],Tabela2[[#This Row],[Coluna10]])</f>
        <v>12.57</v>
      </c>
      <c r="V1926" s="2" t="str">
        <f>Tabela2[[#This Row],[Coluna4]]</f>
        <v>18/02/2026</v>
      </c>
      <c r="W1926" s="2" t="str">
        <f>Tabela2[[#This Row],[Coluna6]]</f>
        <v>18/02/2026</v>
      </c>
    </row>
    <row r="1927" spans="2:23" x14ac:dyDescent="0.2">
      <c r="B1927" t="s">
        <v>27</v>
      </c>
      <c r="C1927" t="s">
        <v>95</v>
      </c>
      <c r="D1927" t="s">
        <v>19</v>
      </c>
      <c r="E1927" s="8" t="s">
        <v>846</v>
      </c>
      <c r="F1927" t="s">
        <v>750</v>
      </c>
      <c r="G1927" s="8" t="s">
        <v>846</v>
      </c>
      <c r="H1927" t="s">
        <v>162</v>
      </c>
      <c r="I1927" t="e">
        <f>VLOOKUP(Tabela2[[#This Row],[Coluna7]],[1]!Tabela1[#All],2,0)</f>
        <v>#REF!</v>
      </c>
      <c r="K1927">
        <v>0.84</v>
      </c>
      <c r="Q1927" s="10" t="str">
        <f>Tabela2[[#This Row],[Coluna5]]</f>
        <v>02/2026</v>
      </c>
      <c r="R1927" s="10" t="str">
        <f>IF(Tabela2[[#This Row],[Coluna9]]&gt;0,"Entrada","Saída")</f>
        <v>Entrada</v>
      </c>
      <c r="S1927" s="10">
        <f>Tabela2[[#This Row],[Coluna8]]</f>
        <v>0</v>
      </c>
      <c r="T1927" s="10" t="e">
        <f>Tabela2[[#This Row],[Coluna72]]</f>
        <v>#REF!</v>
      </c>
      <c r="U1927" s="10">
        <f>SUM(Tabela2[[#This Row],[Coluna9]],Tabela2[[#This Row],[Coluna10]])</f>
        <v>0.84</v>
      </c>
      <c r="V1927" s="2" t="str">
        <f>Tabela2[[#This Row],[Coluna4]]</f>
        <v>19/02/2026</v>
      </c>
      <c r="W1927" s="2" t="str">
        <f>Tabela2[[#This Row],[Coluna6]]</f>
        <v>19/02/2026</v>
      </c>
    </row>
    <row r="1928" spans="2:23" x14ac:dyDescent="0.2">
      <c r="B1928" t="s">
        <v>215</v>
      </c>
      <c r="C1928" t="s">
        <v>200</v>
      </c>
      <c r="D1928" t="s">
        <v>19</v>
      </c>
      <c r="E1928" s="8" t="s">
        <v>756</v>
      </c>
      <c r="F1928" t="s">
        <v>84</v>
      </c>
      <c r="G1928" s="8" t="s">
        <v>756</v>
      </c>
      <c r="H1928" t="s">
        <v>111</v>
      </c>
      <c r="I1928" t="e">
        <f>VLOOKUP(Tabela2[[#This Row],[Coluna7]],[1]!Tabela1[#All],2,0)</f>
        <v>#REF!</v>
      </c>
      <c r="J1928" t="s">
        <v>760</v>
      </c>
      <c r="K1928">
        <v>500</v>
      </c>
      <c r="N1928" t="s">
        <v>355</v>
      </c>
      <c r="Q1928" s="10" t="str">
        <f>Tabela2[[#This Row],[Coluna5]]</f>
        <v>01/2026</v>
      </c>
      <c r="R1928" s="10" t="str">
        <f>IF(Tabela2[[#This Row],[Coluna9]]&gt;0,"Entrada","Saída")</f>
        <v>Entrada</v>
      </c>
      <c r="S1928" s="10" t="str">
        <f>Tabela2[[#This Row],[Coluna8]]</f>
        <v>2/10</v>
      </c>
      <c r="T1928" s="10" t="e">
        <f>Tabela2[[#This Row],[Coluna72]]</f>
        <v>#REF!</v>
      </c>
      <c r="U1928" s="10">
        <f>SUM(Tabela2[[#This Row],[Coluna9]],Tabela2[[#This Row],[Coluna10]])</f>
        <v>500</v>
      </c>
      <c r="V1928" s="2" t="str">
        <f>Tabela2[[#This Row],[Coluna4]]</f>
        <v>20/02/2026</v>
      </c>
      <c r="W1928" s="2" t="str">
        <f>Tabela2[[#This Row],[Coluna6]]</f>
        <v>20/02/2026</v>
      </c>
    </row>
    <row r="1929" spans="2:23" x14ac:dyDescent="0.2">
      <c r="B1929" t="s">
        <v>27</v>
      </c>
      <c r="C1929" t="s">
        <v>95</v>
      </c>
      <c r="D1929" t="s">
        <v>19</v>
      </c>
      <c r="E1929" s="8" t="s">
        <v>756</v>
      </c>
      <c r="F1929" t="s">
        <v>750</v>
      </c>
      <c r="G1929" s="8" t="s">
        <v>756</v>
      </c>
      <c r="H1929" t="s">
        <v>162</v>
      </c>
      <c r="I1929" t="e">
        <f>VLOOKUP(Tabela2[[#This Row],[Coluna7]],[1]!Tabela1[#All],2,0)</f>
        <v>#REF!</v>
      </c>
      <c r="K1929">
        <v>6.59</v>
      </c>
      <c r="Q1929" s="10" t="str">
        <f>Tabela2[[#This Row],[Coluna5]]</f>
        <v>02/2026</v>
      </c>
      <c r="R1929" s="10" t="str">
        <f>IF(Tabela2[[#This Row],[Coluna9]]&gt;0,"Entrada","Saída")</f>
        <v>Entrada</v>
      </c>
      <c r="S1929" s="10">
        <f>Tabela2[[#This Row],[Coluna8]]</f>
        <v>0</v>
      </c>
      <c r="T1929" s="10" t="e">
        <f>Tabela2[[#This Row],[Coluna72]]</f>
        <v>#REF!</v>
      </c>
      <c r="U1929" s="10">
        <f>SUM(Tabela2[[#This Row],[Coluna9]],Tabela2[[#This Row],[Coluna10]])</f>
        <v>6.59</v>
      </c>
      <c r="V1929" s="2" t="str">
        <f>Tabela2[[#This Row],[Coluna4]]</f>
        <v>20/02/2026</v>
      </c>
      <c r="W1929" s="2" t="str">
        <f>Tabela2[[#This Row],[Coluna6]]</f>
        <v>20/02/2026</v>
      </c>
    </row>
    <row r="1930" spans="2:23" x14ac:dyDescent="0.2">
      <c r="B1930" t="s">
        <v>18</v>
      </c>
      <c r="C1930" t="s">
        <v>95</v>
      </c>
      <c r="D1930" t="s">
        <v>19</v>
      </c>
      <c r="E1930" s="8" t="s">
        <v>847</v>
      </c>
      <c r="F1930" t="s">
        <v>15</v>
      </c>
      <c r="G1930" s="8" t="s">
        <v>756</v>
      </c>
      <c r="H1930" t="s">
        <v>111</v>
      </c>
      <c r="I1930" t="e">
        <f>VLOOKUP(Tabela2[[#This Row],[Coluna7]],[1]!Tabela1[#All],2,0)</f>
        <v>#REF!</v>
      </c>
      <c r="J1930" t="s">
        <v>831</v>
      </c>
      <c r="K1930">
        <v>2000</v>
      </c>
      <c r="M1930" t="s">
        <v>192</v>
      </c>
      <c r="N1930" t="s">
        <v>193</v>
      </c>
      <c r="Q1930" s="10" t="str">
        <f>Tabela2[[#This Row],[Coluna5]]</f>
        <v>10/2025</v>
      </c>
      <c r="R1930" s="10" t="str">
        <f>IF(Tabela2[[#This Row],[Coluna9]]&gt;0,"Entrada","Saída")</f>
        <v>Entrada</v>
      </c>
      <c r="S1930" s="10" t="str">
        <f>Tabela2[[#This Row],[Coluna8]]</f>
        <v>5/5</v>
      </c>
      <c r="T1930" s="10" t="e">
        <f>Tabela2[[#This Row],[Coluna72]]</f>
        <v>#REF!</v>
      </c>
      <c r="U1930" s="10">
        <f>SUM(Tabela2[[#This Row],[Coluna9]],Tabela2[[#This Row],[Coluna10]])</f>
        <v>2000</v>
      </c>
      <c r="V1930" s="2" t="str">
        <f>Tabela2[[#This Row],[Coluna4]]</f>
        <v>22/02/2026</v>
      </c>
      <c r="W1930" s="2" t="str">
        <f>Tabela2[[#This Row],[Coluna6]]</f>
        <v>20/02/2026</v>
      </c>
    </row>
    <row r="1931" spans="2:23" x14ac:dyDescent="0.2">
      <c r="B1931" t="s">
        <v>27</v>
      </c>
      <c r="C1931" t="s">
        <v>95</v>
      </c>
      <c r="D1931" t="s">
        <v>19</v>
      </c>
      <c r="E1931" s="8" t="s">
        <v>848</v>
      </c>
      <c r="F1931" t="s">
        <v>750</v>
      </c>
      <c r="G1931" s="8" t="s">
        <v>848</v>
      </c>
      <c r="H1931" t="s">
        <v>162</v>
      </c>
      <c r="I1931" t="e">
        <f>VLOOKUP(Tabela2[[#This Row],[Coluna7]],[1]!Tabela1[#All],2,0)</f>
        <v>#REF!</v>
      </c>
      <c r="K1931">
        <v>0.56000000000000005</v>
      </c>
      <c r="Q1931" s="10" t="str">
        <f>Tabela2[[#This Row],[Coluna5]]</f>
        <v>02/2026</v>
      </c>
      <c r="R1931" s="10" t="str">
        <f>IF(Tabela2[[#This Row],[Coluna9]]&gt;0,"Entrada","Saída")</f>
        <v>Entrada</v>
      </c>
      <c r="S1931" s="10">
        <f>Tabela2[[#This Row],[Coluna8]]</f>
        <v>0</v>
      </c>
      <c r="T1931" s="10" t="e">
        <f>Tabela2[[#This Row],[Coluna72]]</f>
        <v>#REF!</v>
      </c>
      <c r="U1931" s="10">
        <f>SUM(Tabela2[[#This Row],[Coluna9]],Tabela2[[#This Row],[Coluna10]])</f>
        <v>0.56000000000000005</v>
      </c>
      <c r="V1931" s="2" t="str">
        <f>Tabela2[[#This Row],[Coluna4]]</f>
        <v>23/02/2026</v>
      </c>
      <c r="W1931" s="2" t="str">
        <f>Tabela2[[#This Row],[Coluna6]]</f>
        <v>23/02/2026</v>
      </c>
    </row>
    <row r="1932" spans="2:23" x14ac:dyDescent="0.2">
      <c r="B1932" t="s">
        <v>27</v>
      </c>
      <c r="C1932" t="s">
        <v>200</v>
      </c>
      <c r="D1932" t="s">
        <v>19</v>
      </c>
      <c r="E1932" s="8" t="s">
        <v>757</v>
      </c>
      <c r="F1932" t="s">
        <v>750</v>
      </c>
      <c r="G1932" s="8" t="s">
        <v>757</v>
      </c>
      <c r="H1932" t="s">
        <v>104</v>
      </c>
      <c r="I1932" t="e">
        <f>VLOOKUP(Tabela2[[#This Row],[Coluna7]],[1]!Tabela1[#All],2,0)</f>
        <v>#REF!</v>
      </c>
      <c r="K1932">
        <v>12000</v>
      </c>
      <c r="N1932" t="s">
        <v>849</v>
      </c>
      <c r="Q1932" s="10" t="str">
        <f>Tabela2[[#This Row],[Coluna5]]</f>
        <v>02/2026</v>
      </c>
      <c r="R1932" s="10" t="str">
        <f>IF(Tabela2[[#This Row],[Coluna9]]&gt;0,"Entrada","Saída")</f>
        <v>Entrada</v>
      </c>
      <c r="S1932" s="10">
        <f>Tabela2[[#This Row],[Coluna8]]</f>
        <v>0</v>
      </c>
      <c r="T1932" s="10" t="e">
        <f>Tabela2[[#This Row],[Coluna72]]</f>
        <v>#REF!</v>
      </c>
      <c r="U1932" s="10">
        <f>SUM(Tabela2[[#This Row],[Coluna9]],Tabela2[[#This Row],[Coluna10]])</f>
        <v>12000</v>
      </c>
      <c r="V1932" s="2" t="str">
        <f>Tabela2[[#This Row],[Coluna4]]</f>
        <v>24/02/2026</v>
      </c>
      <c r="W1932" s="2" t="str">
        <f>Tabela2[[#This Row],[Coluna6]]</f>
        <v>24/02/2026</v>
      </c>
    </row>
    <row r="1933" spans="2:23" x14ac:dyDescent="0.2">
      <c r="B1933" t="s">
        <v>27</v>
      </c>
      <c r="C1933" t="s">
        <v>95</v>
      </c>
      <c r="D1933" t="s">
        <v>19</v>
      </c>
      <c r="E1933" s="8" t="s">
        <v>757</v>
      </c>
      <c r="F1933" t="s">
        <v>750</v>
      </c>
      <c r="G1933" s="8" t="s">
        <v>757</v>
      </c>
      <c r="H1933" t="s">
        <v>162</v>
      </c>
      <c r="I1933" t="e">
        <f>VLOOKUP(Tabela2[[#This Row],[Coluna7]],[1]!Tabela1[#All],2,0)</f>
        <v>#REF!</v>
      </c>
      <c r="K1933">
        <v>1.19</v>
      </c>
      <c r="Q1933" s="10" t="str">
        <f>Tabela2[[#This Row],[Coluna5]]</f>
        <v>02/2026</v>
      </c>
      <c r="R1933" s="10" t="str">
        <f>IF(Tabela2[[#This Row],[Coluna9]]&gt;0,"Entrada","Saída")</f>
        <v>Entrada</v>
      </c>
      <c r="S1933" s="10">
        <f>Tabela2[[#This Row],[Coluna8]]</f>
        <v>0</v>
      </c>
      <c r="T1933" s="10" t="e">
        <f>Tabela2[[#This Row],[Coluna72]]</f>
        <v>#REF!</v>
      </c>
      <c r="U1933" s="10">
        <f>SUM(Tabela2[[#This Row],[Coluna9]],Tabela2[[#This Row],[Coluna10]])</f>
        <v>1.19</v>
      </c>
      <c r="V1933" s="2" t="str">
        <f>Tabela2[[#This Row],[Coluna4]]</f>
        <v>24/02/2026</v>
      </c>
      <c r="W1933" s="2" t="str">
        <f>Tabela2[[#This Row],[Coluna6]]</f>
        <v>24/02/2026</v>
      </c>
    </row>
    <row r="1934" spans="2:23" x14ac:dyDescent="0.2">
      <c r="B1934" t="s">
        <v>18</v>
      </c>
      <c r="C1934" t="s">
        <v>95</v>
      </c>
      <c r="D1934" t="s">
        <v>19</v>
      </c>
      <c r="E1934" s="8" t="s">
        <v>850</v>
      </c>
      <c r="F1934" t="s">
        <v>15</v>
      </c>
      <c r="G1934" s="8" t="s">
        <v>821</v>
      </c>
      <c r="H1934" t="s">
        <v>98</v>
      </c>
      <c r="I1934" t="e">
        <f>VLOOKUP(Tabela2[[#This Row],[Coluna7]],[1]!Tabela1[#All],2,0)</f>
        <v>#REF!</v>
      </c>
      <c r="J1934" t="s">
        <v>851</v>
      </c>
      <c r="K1934">
        <v>530</v>
      </c>
      <c r="N1934" t="s">
        <v>199</v>
      </c>
      <c r="Q1934" s="10" t="str">
        <f>Tabela2[[#This Row],[Coluna5]]</f>
        <v>10/2025</v>
      </c>
      <c r="R1934" s="10" t="str">
        <f>IF(Tabela2[[#This Row],[Coluna9]]&gt;0,"Entrada","Saída")</f>
        <v>Entrada</v>
      </c>
      <c r="S1934" s="10" t="str">
        <f>Tabela2[[#This Row],[Coluna8]]</f>
        <v>5/18</v>
      </c>
      <c r="T1934" s="10" t="e">
        <f>Tabela2[[#This Row],[Coluna72]]</f>
        <v>#REF!</v>
      </c>
      <c r="U1934" s="10">
        <f>SUM(Tabela2[[#This Row],[Coluna9]],Tabela2[[#This Row],[Coluna10]])</f>
        <v>530</v>
      </c>
      <c r="V1934" s="2" t="str">
        <f>Tabela2[[#This Row],[Coluna4]]</f>
        <v>25/02/2026</v>
      </c>
      <c r="W1934" s="2" t="str">
        <f>Tabela2[[#This Row],[Coluna6]]</f>
        <v>05/02/2026</v>
      </c>
    </row>
    <row r="1935" spans="2:23" x14ac:dyDescent="0.2">
      <c r="B1935" t="s">
        <v>27</v>
      </c>
      <c r="C1935" t="s">
        <v>95</v>
      </c>
      <c r="D1935" t="s">
        <v>19</v>
      </c>
      <c r="E1935" s="8" t="s">
        <v>850</v>
      </c>
      <c r="F1935" t="s">
        <v>750</v>
      </c>
      <c r="G1935" s="8" t="s">
        <v>850</v>
      </c>
      <c r="H1935" t="s">
        <v>162</v>
      </c>
      <c r="I1935" t="e">
        <f>VLOOKUP(Tabela2[[#This Row],[Coluna7]],[1]!Tabela1[#All],2,0)</f>
        <v>#REF!</v>
      </c>
      <c r="K1935">
        <v>4.01</v>
      </c>
      <c r="Q1935" s="10" t="str">
        <f>Tabela2[[#This Row],[Coluna5]]</f>
        <v>02/2026</v>
      </c>
      <c r="R1935" s="10" t="str">
        <f>IF(Tabela2[[#This Row],[Coluna9]]&gt;0,"Entrada","Saída")</f>
        <v>Entrada</v>
      </c>
      <c r="S1935" s="10">
        <f>Tabela2[[#This Row],[Coluna8]]</f>
        <v>0</v>
      </c>
      <c r="T1935" s="10" t="e">
        <f>Tabela2[[#This Row],[Coluna72]]</f>
        <v>#REF!</v>
      </c>
      <c r="U1935" s="10">
        <f>SUM(Tabela2[[#This Row],[Coluna9]],Tabela2[[#This Row],[Coluna10]])</f>
        <v>4.01</v>
      </c>
      <c r="V1935" s="2" t="str">
        <f>Tabela2[[#This Row],[Coluna4]]</f>
        <v>25/02/2026</v>
      </c>
      <c r="W1935" s="2" t="str">
        <f>Tabela2[[#This Row],[Coluna6]]</f>
        <v>25/02/2026</v>
      </c>
    </row>
    <row r="1936" spans="2:23" x14ac:dyDescent="0.2">
      <c r="B1936" t="s">
        <v>748</v>
      </c>
      <c r="C1936" t="s">
        <v>95</v>
      </c>
      <c r="D1936" t="s">
        <v>19</v>
      </c>
      <c r="E1936" s="8" t="s">
        <v>850</v>
      </c>
      <c r="F1936" t="s">
        <v>750</v>
      </c>
      <c r="G1936" s="8" t="s">
        <v>850</v>
      </c>
      <c r="H1936" t="s">
        <v>156</v>
      </c>
      <c r="I1936" t="e">
        <f>VLOOKUP(Tabela2[[#This Row],[Coluna7]],[1]!Tabela1[#All],2,0)</f>
        <v>#REF!</v>
      </c>
      <c r="J1936" t="s">
        <v>852</v>
      </c>
      <c r="K1936">
        <v>38</v>
      </c>
      <c r="Q1936" s="10" t="str">
        <f>Tabela2[[#This Row],[Coluna5]]</f>
        <v>02/2026</v>
      </c>
      <c r="R1936" s="10" t="str">
        <f>IF(Tabela2[[#This Row],[Coluna9]]&gt;0,"Entrada","Saída")</f>
        <v>Entrada</v>
      </c>
      <c r="S1936" s="10" t="str">
        <f>Tabela2[[#This Row],[Coluna8]]</f>
        <v>DEVOLUÇÃO DE PIX</v>
      </c>
      <c r="T1936" s="10" t="e">
        <f>Tabela2[[#This Row],[Coluna72]]</f>
        <v>#REF!</v>
      </c>
      <c r="U1936" s="10">
        <f>SUM(Tabela2[[#This Row],[Coluna9]],Tabela2[[#This Row],[Coluna10]])</f>
        <v>38</v>
      </c>
      <c r="V1936" s="2" t="str">
        <f>Tabela2[[#This Row],[Coluna4]]</f>
        <v>25/02/2026</v>
      </c>
      <c r="W1936" s="2" t="str">
        <f>Tabela2[[#This Row],[Coluna6]]</f>
        <v>25/02/2026</v>
      </c>
    </row>
    <row r="1937" spans="2:23" x14ac:dyDescent="0.2">
      <c r="B1937" t="s">
        <v>58</v>
      </c>
      <c r="C1937" t="s">
        <v>200</v>
      </c>
      <c r="D1937" t="s">
        <v>19</v>
      </c>
      <c r="E1937" s="8" t="s">
        <v>758</v>
      </c>
      <c r="F1937" t="s">
        <v>750</v>
      </c>
      <c r="G1937" s="8" t="s">
        <v>758</v>
      </c>
      <c r="H1937" t="s">
        <v>107</v>
      </c>
      <c r="I1937" t="e">
        <f>VLOOKUP(Tabela2[[#This Row],[Coluna7]],[1]!Tabela1[#All],2,0)</f>
        <v>#REF!</v>
      </c>
      <c r="J1937" t="s">
        <v>853</v>
      </c>
      <c r="K1937">
        <v>16600</v>
      </c>
      <c r="M1937" t="s">
        <v>840</v>
      </c>
      <c r="N1937" t="s">
        <v>841</v>
      </c>
      <c r="Q1937" s="10" t="str">
        <f>Tabela2[[#This Row],[Coluna5]]</f>
        <v>02/2026</v>
      </c>
      <c r="R1937" s="10" t="str">
        <f>IF(Tabela2[[#This Row],[Coluna9]]&gt;0,"Entrada","Saída")</f>
        <v>Entrada</v>
      </c>
      <c r="S1937" s="10" t="str">
        <f>Tabela2[[#This Row],[Coluna8]]</f>
        <v>COMPLEMENTAÇÃO DO CONTRATO (VALOR REFERENTE AOS MONTANTES AOS QUAIS O CLIENTE ABRIU MÃO).</v>
      </c>
      <c r="T1937" s="10" t="e">
        <f>Tabela2[[#This Row],[Coluna72]]</f>
        <v>#REF!</v>
      </c>
      <c r="U1937" s="10">
        <f>SUM(Tabela2[[#This Row],[Coluna9]],Tabela2[[#This Row],[Coluna10]])</f>
        <v>16600</v>
      </c>
      <c r="V1937" s="2" t="str">
        <f>Tabela2[[#This Row],[Coluna4]]</f>
        <v>26/02/2026</v>
      </c>
      <c r="W1937" s="2" t="str">
        <f>Tabela2[[#This Row],[Coluna6]]</f>
        <v>26/02/2026</v>
      </c>
    </row>
    <row r="1938" spans="2:23" x14ac:dyDescent="0.2">
      <c r="B1938" t="s">
        <v>27</v>
      </c>
      <c r="C1938" t="s">
        <v>95</v>
      </c>
      <c r="D1938" t="s">
        <v>19</v>
      </c>
      <c r="E1938" s="8" t="s">
        <v>758</v>
      </c>
      <c r="F1938" t="s">
        <v>750</v>
      </c>
      <c r="G1938" s="8" t="s">
        <v>758</v>
      </c>
      <c r="H1938" t="s">
        <v>107</v>
      </c>
      <c r="I1938" t="e">
        <f>VLOOKUP(Tabela2[[#This Row],[Coluna7]],[1]!Tabela1[#All],2,0)</f>
        <v>#REF!</v>
      </c>
      <c r="K1938">
        <v>800</v>
      </c>
      <c r="N1938" t="s">
        <v>854</v>
      </c>
      <c r="Q1938" s="10" t="str">
        <f>Tabela2[[#This Row],[Coluna5]]</f>
        <v>02/2026</v>
      </c>
      <c r="R1938" s="10" t="str">
        <f>IF(Tabela2[[#This Row],[Coluna9]]&gt;0,"Entrada","Saída")</f>
        <v>Entrada</v>
      </c>
      <c r="S1938" s="10">
        <f>Tabela2[[#This Row],[Coluna8]]</f>
        <v>0</v>
      </c>
      <c r="T1938" s="10" t="e">
        <f>Tabela2[[#This Row],[Coluna72]]</f>
        <v>#REF!</v>
      </c>
      <c r="U1938" s="10">
        <f>SUM(Tabela2[[#This Row],[Coluna9]],Tabela2[[#This Row],[Coluna10]])</f>
        <v>800</v>
      </c>
      <c r="V1938" s="2" t="str">
        <f>Tabela2[[#This Row],[Coluna4]]</f>
        <v>26/02/2026</v>
      </c>
      <c r="W1938" s="2" t="str">
        <f>Tabela2[[#This Row],[Coluna6]]</f>
        <v>26/02/2026</v>
      </c>
    </row>
    <row r="1939" spans="2:23" x14ac:dyDescent="0.2">
      <c r="B1939" t="s">
        <v>27</v>
      </c>
      <c r="C1939" t="s">
        <v>95</v>
      </c>
      <c r="D1939" t="s">
        <v>19</v>
      </c>
      <c r="E1939" s="8" t="s">
        <v>758</v>
      </c>
      <c r="F1939" t="s">
        <v>750</v>
      </c>
      <c r="G1939" s="8" t="s">
        <v>758</v>
      </c>
      <c r="H1939" t="s">
        <v>162</v>
      </c>
      <c r="I1939" t="e">
        <f>VLOOKUP(Tabela2[[#This Row],[Coluna7]],[1]!Tabela1[#All],2,0)</f>
        <v>#REF!</v>
      </c>
      <c r="K1939">
        <v>0.02</v>
      </c>
      <c r="Q1939" s="10" t="str">
        <f>Tabela2[[#This Row],[Coluna5]]</f>
        <v>02/2026</v>
      </c>
      <c r="R1939" s="10" t="str">
        <f>IF(Tabela2[[#This Row],[Coluna9]]&gt;0,"Entrada","Saída")</f>
        <v>Entrada</v>
      </c>
      <c r="S1939" s="10">
        <f>Tabela2[[#This Row],[Coluna8]]</f>
        <v>0</v>
      </c>
      <c r="T1939" s="10" t="e">
        <f>Tabela2[[#This Row],[Coluna72]]</f>
        <v>#REF!</v>
      </c>
      <c r="U1939" s="10">
        <f>SUM(Tabela2[[#This Row],[Coluna9]],Tabela2[[#This Row],[Coluna10]])</f>
        <v>0.02</v>
      </c>
      <c r="V1939" s="2" t="str">
        <f>Tabela2[[#This Row],[Coluna4]]</f>
        <v>26/02/2026</v>
      </c>
      <c r="W1939" s="2" t="str">
        <f>Tabela2[[#This Row],[Coluna6]]</f>
        <v>26/02/2026</v>
      </c>
    </row>
    <row r="1940" spans="2:23" x14ac:dyDescent="0.2">
      <c r="B1940" t="s">
        <v>27</v>
      </c>
      <c r="C1940" t="s">
        <v>125</v>
      </c>
      <c r="D1940" t="s">
        <v>19</v>
      </c>
      <c r="E1940" s="8" t="s">
        <v>855</v>
      </c>
      <c r="F1940" t="s">
        <v>750</v>
      </c>
      <c r="G1940" s="8" t="s">
        <v>855</v>
      </c>
      <c r="H1940" t="s">
        <v>98</v>
      </c>
      <c r="I1940" t="e">
        <f>VLOOKUP(Tabela2[[#This Row],[Coluna7]],[1]!Tabela1[#All],2,0)</f>
        <v>#REF!</v>
      </c>
      <c r="J1940" t="s">
        <v>206</v>
      </c>
      <c r="K1940">
        <v>460</v>
      </c>
      <c r="N1940" t="s">
        <v>799</v>
      </c>
      <c r="Q1940" s="10" t="str">
        <f>Tabela2[[#This Row],[Coluna5]]</f>
        <v>02/2026</v>
      </c>
      <c r="R1940" s="10" t="str">
        <f>IF(Tabela2[[#This Row],[Coluna9]]&gt;0,"Entrada","Saída")</f>
        <v>Entrada</v>
      </c>
      <c r="S1940" s="10" t="str">
        <f>Tabela2[[#This Row],[Coluna8]]</f>
        <v>1/12</v>
      </c>
      <c r="T1940" s="10" t="e">
        <f>Tabela2[[#This Row],[Coluna72]]</f>
        <v>#REF!</v>
      </c>
      <c r="U1940" s="10">
        <f>SUM(Tabela2[[#This Row],[Coluna9]],Tabela2[[#This Row],[Coluna10]])</f>
        <v>460</v>
      </c>
      <c r="V1940" s="2" t="str">
        <f>Tabela2[[#This Row],[Coluna4]]</f>
        <v>27/02/2026</v>
      </c>
      <c r="W1940" s="2" t="str">
        <f>Tabela2[[#This Row],[Coluna6]]</f>
        <v>27/02/2026</v>
      </c>
    </row>
    <row r="1941" spans="2:23" x14ac:dyDescent="0.2">
      <c r="B1941" t="s">
        <v>18</v>
      </c>
      <c r="C1941" t="s">
        <v>95</v>
      </c>
      <c r="D1941" t="s">
        <v>19</v>
      </c>
      <c r="E1941" s="8" t="s">
        <v>856</v>
      </c>
      <c r="F1941" t="s">
        <v>15</v>
      </c>
      <c r="G1941" s="8" t="s">
        <v>848</v>
      </c>
      <c r="H1941" t="s">
        <v>98</v>
      </c>
      <c r="I1941" t="e">
        <f>VLOOKUP(Tabela2[[#This Row],[Coluna7]],[1]!Tabela1[#All],2,0)</f>
        <v>#REF!</v>
      </c>
      <c r="J1941" t="s">
        <v>857</v>
      </c>
      <c r="K1941">
        <v>319</v>
      </c>
      <c r="N1941" t="s">
        <v>207</v>
      </c>
      <c r="Q1941" s="10" t="str">
        <f>Tabela2[[#This Row],[Coluna5]]</f>
        <v>10/2025</v>
      </c>
      <c r="R1941" s="10" t="str">
        <f>IF(Tabela2[[#This Row],[Coluna9]]&gt;0,"Entrada","Saída")</f>
        <v>Entrada</v>
      </c>
      <c r="S1941" s="10" t="str">
        <f>Tabela2[[#This Row],[Coluna8]]</f>
        <v>5/12</v>
      </c>
      <c r="T1941" s="10" t="e">
        <f>Tabela2[[#This Row],[Coluna72]]</f>
        <v>#REF!</v>
      </c>
      <c r="U1941" s="10">
        <f>SUM(Tabela2[[#This Row],[Coluna9]],Tabela2[[#This Row],[Coluna10]])</f>
        <v>319</v>
      </c>
      <c r="V1941" s="2" t="str">
        <f>Tabela2[[#This Row],[Coluna4]]</f>
        <v>28/02/2026</v>
      </c>
      <c r="W1941" s="2" t="str">
        <f>Tabela2[[#This Row],[Coluna6]]</f>
        <v>23/02/2026</v>
      </c>
    </row>
    <row r="1942" spans="2:23" x14ac:dyDescent="0.2">
      <c r="B1942" t="s">
        <v>27</v>
      </c>
      <c r="C1942" t="s">
        <v>125</v>
      </c>
      <c r="D1942" t="s">
        <v>19</v>
      </c>
      <c r="E1942" s="8" t="s">
        <v>856</v>
      </c>
      <c r="F1942" t="s">
        <v>814</v>
      </c>
      <c r="G1942" s="8" t="s">
        <v>361</v>
      </c>
      <c r="H1942" t="s">
        <v>98</v>
      </c>
      <c r="I1942" t="e">
        <f>VLOOKUP(Tabela2[[#This Row],[Coluna7]],[1]!Tabela1[#All],2,0)</f>
        <v>#REF!</v>
      </c>
      <c r="J1942" t="s">
        <v>858</v>
      </c>
      <c r="K1942">
        <v>500</v>
      </c>
      <c r="M1942" t="s">
        <v>226</v>
      </c>
      <c r="N1942" t="s">
        <v>227</v>
      </c>
      <c r="Q1942" s="10" t="str">
        <f>Tabela2[[#This Row],[Coluna5]]</f>
        <v>02/2025</v>
      </c>
      <c r="R1942" s="10" t="str">
        <f>IF(Tabela2[[#This Row],[Coluna9]]&gt;0,"Entrada","Saída")</f>
        <v>Entrada</v>
      </c>
      <c r="S1942" s="10" t="str">
        <f>Tabela2[[#This Row],[Coluna8]]</f>
        <v>4/10</v>
      </c>
      <c r="T1942" s="10" t="e">
        <f>Tabela2[[#This Row],[Coluna72]]</f>
        <v>#REF!</v>
      </c>
      <c r="U1942" s="10">
        <f>SUM(Tabela2[[#This Row],[Coluna9]],Tabela2[[#This Row],[Coluna10]])</f>
        <v>500</v>
      </c>
      <c r="V1942" s="2" t="str">
        <f>Tabela2[[#This Row],[Coluna4]]</f>
        <v>28/02/2026</v>
      </c>
      <c r="W1942" s="2" t="str">
        <f>Tabela2[[#This Row],[Coluna6]]</f>
        <v>06/02/2026</v>
      </c>
    </row>
    <row r="1943" spans="2:23" x14ac:dyDescent="0.2">
      <c r="B1943" t="s">
        <v>748</v>
      </c>
      <c r="C1943" t="s">
        <v>95</v>
      </c>
      <c r="D1943" t="s">
        <v>19</v>
      </c>
      <c r="E1943" s="8" t="s">
        <v>859</v>
      </c>
      <c r="F1943" t="s">
        <v>15</v>
      </c>
      <c r="G1943" s="8" t="s">
        <v>758</v>
      </c>
      <c r="H1943" t="s">
        <v>98</v>
      </c>
      <c r="I1943" t="e">
        <f>VLOOKUP(Tabela2[[#This Row],[Coluna7]],[1]!Tabela1[#All],2,0)</f>
        <v>#REF!</v>
      </c>
      <c r="J1943" t="s">
        <v>860</v>
      </c>
      <c r="K1943">
        <v>180</v>
      </c>
      <c r="N1943" t="s">
        <v>121</v>
      </c>
      <c r="Q1943" s="10" t="str">
        <f>Tabela2[[#This Row],[Coluna5]]</f>
        <v>10/2025</v>
      </c>
      <c r="R1943" s="10" t="str">
        <f>IF(Tabela2[[#This Row],[Coluna9]]&gt;0,"Entrada","Saída")</f>
        <v>Entrada</v>
      </c>
      <c r="S1943" s="10" t="str">
        <f>Tabela2[[#This Row],[Coluna8]]</f>
        <v>6/8</v>
      </c>
      <c r="T1943" s="10" t="e">
        <f>Tabela2[[#This Row],[Coluna72]]</f>
        <v>#REF!</v>
      </c>
      <c r="U1943" s="10">
        <f>SUM(Tabela2[[#This Row],[Coluna9]],Tabela2[[#This Row],[Coluna10]])</f>
        <v>180</v>
      </c>
      <c r="V1943" s="2" t="str">
        <f>Tabela2[[#This Row],[Coluna4]]</f>
        <v>03/03/2026</v>
      </c>
      <c r="W1943" s="2" t="str">
        <f>Tabela2[[#This Row],[Coluna6]]</f>
        <v>26/02/2026</v>
      </c>
    </row>
    <row r="1944" spans="2:23" x14ac:dyDescent="0.2">
      <c r="B1944" t="s">
        <v>27</v>
      </c>
      <c r="C1944" t="s">
        <v>125</v>
      </c>
      <c r="D1944" t="s">
        <v>19</v>
      </c>
      <c r="E1944" s="8" t="s">
        <v>861</v>
      </c>
      <c r="F1944" t="s">
        <v>862</v>
      </c>
      <c r="G1944" s="8" t="s">
        <v>855</v>
      </c>
      <c r="H1944" t="s">
        <v>98</v>
      </c>
      <c r="I1944" t="e">
        <f>VLOOKUP(Tabela2[[#This Row],[Coluna7]],[1]!Tabela1[#All],2,0)</f>
        <v>#REF!</v>
      </c>
      <c r="J1944" t="s">
        <v>276</v>
      </c>
      <c r="K1944">
        <v>460</v>
      </c>
      <c r="N1944" t="s">
        <v>799</v>
      </c>
      <c r="Q1944" s="10" t="str">
        <f>Tabela2[[#This Row],[Coluna5]]</f>
        <v>03/2026</v>
      </c>
      <c r="R1944" s="10" t="str">
        <f>IF(Tabela2[[#This Row],[Coluna9]]&gt;0,"Entrada","Saída")</f>
        <v>Entrada</v>
      </c>
      <c r="S1944" s="10" t="str">
        <f>Tabela2[[#This Row],[Coluna8]]</f>
        <v>2/12</v>
      </c>
      <c r="T1944" s="10" t="e">
        <f>Tabela2[[#This Row],[Coluna72]]</f>
        <v>#REF!</v>
      </c>
      <c r="U1944" s="10">
        <f>SUM(Tabela2[[#This Row],[Coluna9]],Tabela2[[#This Row],[Coluna10]])</f>
        <v>460</v>
      </c>
      <c r="V1944" s="2" t="str">
        <f>Tabela2[[#This Row],[Coluna4]]</f>
        <v>27/03/2026</v>
      </c>
      <c r="W1944" s="2" t="str">
        <f>Tabela2[[#This Row],[Coluna6]]</f>
        <v>27/02/2026</v>
      </c>
    </row>
    <row r="1945" spans="2:23" x14ac:dyDescent="0.2">
      <c r="B1945" t="s">
        <v>748</v>
      </c>
      <c r="C1945" t="s">
        <v>95</v>
      </c>
      <c r="D1945" t="s">
        <v>13</v>
      </c>
      <c r="E1945" s="8" t="s">
        <v>334</v>
      </c>
      <c r="F1945" t="s">
        <v>64</v>
      </c>
      <c r="G1945" s="8" t="s">
        <v>301</v>
      </c>
      <c r="H1945" t="s">
        <v>379</v>
      </c>
      <c r="I1945" t="e">
        <f>VLOOKUP(Tabela2[[#This Row],[Coluna7]],[1]!Tabela1[#All],2,0)</f>
        <v>#REF!</v>
      </c>
      <c r="J1945" t="s">
        <v>863</v>
      </c>
      <c r="L1945">
        <v>759</v>
      </c>
      <c r="N1945" t="s">
        <v>409</v>
      </c>
      <c r="Q1945" s="10" t="str">
        <f>Tabela2[[#This Row],[Coluna5]]</f>
        <v>12/2025</v>
      </c>
      <c r="R1945" s="10" t="str">
        <f>IF(Tabela2[[#This Row],[Coluna9]]&gt;0,"Entrada","Saída")</f>
        <v>Saída</v>
      </c>
      <c r="S1945" s="10" t="str">
        <f>Tabela2[[#This Row],[Coluna8]]</f>
        <v>MEIO EXPEDIENTE</v>
      </c>
      <c r="T1945" s="10" t="e">
        <f>Tabela2[[#This Row],[Coluna72]]</f>
        <v>#REF!</v>
      </c>
      <c r="U1945" s="10">
        <f>SUM(Tabela2[[#This Row],[Coluna9]],Tabela2[[#This Row],[Coluna10]])</f>
        <v>759</v>
      </c>
      <c r="V1945" s="2" t="str">
        <f>Tabela2[[#This Row],[Coluna4]]</f>
        <v>30/12/2025</v>
      </c>
      <c r="W1945" s="2" t="str">
        <f>Tabela2[[#This Row],[Coluna6]]</f>
        <v>05/01/2026</v>
      </c>
    </row>
    <row r="1946" spans="2:23" x14ac:dyDescent="0.2">
      <c r="B1946" t="s">
        <v>748</v>
      </c>
      <c r="C1946" t="s">
        <v>95</v>
      </c>
      <c r="D1946" t="s">
        <v>13</v>
      </c>
      <c r="E1946" s="8" t="s">
        <v>334</v>
      </c>
      <c r="F1946" t="s">
        <v>84</v>
      </c>
      <c r="G1946" s="8" t="s">
        <v>301</v>
      </c>
      <c r="H1946" t="s">
        <v>864</v>
      </c>
      <c r="I1946" t="e">
        <f>VLOOKUP(Tabela2[[#This Row],[Coluna7]],[1]!Tabela1[#All],2,0)</f>
        <v>#REF!</v>
      </c>
      <c r="J1946" t="s">
        <v>865</v>
      </c>
      <c r="L1946">
        <v>115</v>
      </c>
      <c r="N1946" t="s">
        <v>409</v>
      </c>
      <c r="Q1946" s="10" t="str">
        <f>Tabela2[[#This Row],[Coluna5]]</f>
        <v>01/2026</v>
      </c>
      <c r="R1946" s="10" t="str">
        <f>IF(Tabela2[[#This Row],[Coluna9]]&gt;0,"Entrada","Saída")</f>
        <v>Saída</v>
      </c>
      <c r="S1946" s="10" t="str">
        <f>Tabela2[[#This Row],[Coluna8]]</f>
        <v>CALCULAR</v>
      </c>
      <c r="T1946" s="10" t="e">
        <f>Tabela2[[#This Row],[Coluna72]]</f>
        <v>#REF!</v>
      </c>
      <c r="U1946" s="10">
        <f>SUM(Tabela2[[#This Row],[Coluna9]],Tabela2[[#This Row],[Coluna10]])</f>
        <v>115</v>
      </c>
      <c r="V1946" s="2" t="str">
        <f>Tabela2[[#This Row],[Coluna4]]</f>
        <v>30/12/2025</v>
      </c>
      <c r="W1946" s="2" t="str">
        <f>Tabela2[[#This Row],[Coluna6]]</f>
        <v>05/01/2026</v>
      </c>
    </row>
    <row r="1947" spans="2:23" x14ac:dyDescent="0.2">
      <c r="B1947" t="s">
        <v>748</v>
      </c>
      <c r="C1947" t="s">
        <v>95</v>
      </c>
      <c r="D1947" t="s">
        <v>13</v>
      </c>
      <c r="E1947" s="8" t="s">
        <v>334</v>
      </c>
      <c r="F1947" t="s">
        <v>84</v>
      </c>
      <c r="G1947" s="8" t="s">
        <v>301</v>
      </c>
      <c r="H1947" t="s">
        <v>379</v>
      </c>
      <c r="I1947" t="e">
        <f>VLOOKUP(Tabela2[[#This Row],[Coluna7]],[1]!Tabela1[#All],2,0)</f>
        <v>#REF!</v>
      </c>
      <c r="L1947">
        <v>1585</v>
      </c>
      <c r="N1947" t="s">
        <v>395</v>
      </c>
      <c r="Q1947" s="10" t="str">
        <f>Tabela2[[#This Row],[Coluna5]]</f>
        <v>01/2026</v>
      </c>
      <c r="R1947" s="10" t="str">
        <f>IF(Tabela2[[#This Row],[Coluna9]]&gt;0,"Entrada","Saída")</f>
        <v>Saída</v>
      </c>
      <c r="S1947" s="10">
        <f>Tabela2[[#This Row],[Coluna8]]</f>
        <v>0</v>
      </c>
      <c r="T1947" s="10" t="e">
        <f>Tabela2[[#This Row],[Coluna72]]</f>
        <v>#REF!</v>
      </c>
      <c r="U1947" s="10">
        <f>SUM(Tabela2[[#This Row],[Coluna9]],Tabela2[[#This Row],[Coluna10]])</f>
        <v>1585</v>
      </c>
      <c r="V1947" s="2" t="str">
        <f>Tabela2[[#This Row],[Coluna4]]</f>
        <v>30/12/2025</v>
      </c>
      <c r="W1947" s="2" t="str">
        <f>Tabela2[[#This Row],[Coluna6]]</f>
        <v>05/01/2026</v>
      </c>
    </row>
    <row r="1948" spans="2:23" x14ac:dyDescent="0.2">
      <c r="B1948" t="s">
        <v>748</v>
      </c>
      <c r="C1948" t="s">
        <v>95</v>
      </c>
      <c r="D1948" t="s">
        <v>13</v>
      </c>
      <c r="E1948" s="8" t="s">
        <v>334</v>
      </c>
      <c r="F1948" t="s">
        <v>84</v>
      </c>
      <c r="G1948" s="8" t="s">
        <v>301</v>
      </c>
      <c r="H1948" t="s">
        <v>864</v>
      </c>
      <c r="I1948" t="e">
        <f>VLOOKUP(Tabela2[[#This Row],[Coluna7]],[1]!Tabela1[#All],2,0)</f>
        <v>#REF!</v>
      </c>
      <c r="L1948">
        <v>230</v>
      </c>
      <c r="N1948" t="s">
        <v>395</v>
      </c>
      <c r="Q1948" s="10" t="str">
        <f>Tabela2[[#This Row],[Coluna5]]</f>
        <v>01/2026</v>
      </c>
      <c r="R1948" s="10" t="str">
        <f>IF(Tabela2[[#This Row],[Coluna9]]&gt;0,"Entrada","Saída")</f>
        <v>Saída</v>
      </c>
      <c r="S1948" s="10">
        <f>Tabela2[[#This Row],[Coluna8]]</f>
        <v>0</v>
      </c>
      <c r="T1948" s="10" t="e">
        <f>Tabela2[[#This Row],[Coluna72]]</f>
        <v>#REF!</v>
      </c>
      <c r="U1948" s="10">
        <f>SUM(Tabela2[[#This Row],[Coluna9]],Tabela2[[#This Row],[Coluna10]])</f>
        <v>230</v>
      </c>
      <c r="V1948" s="2" t="str">
        <f>Tabela2[[#This Row],[Coluna4]]</f>
        <v>30/12/2025</v>
      </c>
      <c r="W1948" s="2" t="str">
        <f>Tabela2[[#This Row],[Coluna6]]</f>
        <v>05/01/2026</v>
      </c>
    </row>
    <row r="1949" spans="2:23" x14ac:dyDescent="0.2">
      <c r="B1949" t="s">
        <v>748</v>
      </c>
      <c r="C1949" t="s">
        <v>95</v>
      </c>
      <c r="D1949" t="s">
        <v>13</v>
      </c>
      <c r="E1949" s="8" t="s">
        <v>334</v>
      </c>
      <c r="F1949" t="s">
        <v>84</v>
      </c>
      <c r="G1949" s="8" t="s">
        <v>301</v>
      </c>
      <c r="H1949" t="s">
        <v>379</v>
      </c>
      <c r="I1949" t="e">
        <f>VLOOKUP(Tabela2[[#This Row],[Coluna7]],[1]!Tabela1[#All],2,0)</f>
        <v>#REF!</v>
      </c>
      <c r="L1949">
        <v>418</v>
      </c>
      <c r="N1949" t="s">
        <v>381</v>
      </c>
      <c r="Q1949" s="10" t="str">
        <f>Tabela2[[#This Row],[Coluna5]]</f>
        <v>01/2026</v>
      </c>
      <c r="R1949" s="10" t="str">
        <f>IF(Tabela2[[#This Row],[Coluna9]]&gt;0,"Entrada","Saída")</f>
        <v>Saída</v>
      </c>
      <c r="S1949" s="10">
        <f>Tabela2[[#This Row],[Coluna8]]</f>
        <v>0</v>
      </c>
      <c r="T1949" s="10" t="e">
        <f>Tabela2[[#This Row],[Coluna72]]</f>
        <v>#REF!</v>
      </c>
      <c r="U1949" s="10">
        <f>SUM(Tabela2[[#This Row],[Coluna9]],Tabela2[[#This Row],[Coluna10]])</f>
        <v>418</v>
      </c>
      <c r="V1949" s="2" t="str">
        <f>Tabela2[[#This Row],[Coluna4]]</f>
        <v>30/12/2025</v>
      </c>
      <c r="W1949" s="2" t="str">
        <f>Tabela2[[#This Row],[Coluna6]]</f>
        <v>05/01/2026</v>
      </c>
    </row>
    <row r="1950" spans="2:23" x14ac:dyDescent="0.2">
      <c r="B1950" t="s">
        <v>748</v>
      </c>
      <c r="C1950" t="s">
        <v>95</v>
      </c>
      <c r="D1950" t="s">
        <v>13</v>
      </c>
      <c r="E1950" s="8" t="s">
        <v>334</v>
      </c>
      <c r="F1950" t="s">
        <v>84</v>
      </c>
      <c r="G1950" s="8" t="s">
        <v>301</v>
      </c>
      <c r="H1950" t="s">
        <v>379</v>
      </c>
      <c r="I1950" t="e">
        <f>VLOOKUP(Tabela2[[#This Row],[Coluna7]],[1]!Tabela1[#All],2,0)</f>
        <v>#REF!</v>
      </c>
      <c r="L1950">
        <v>1848</v>
      </c>
      <c r="N1950" t="s">
        <v>410</v>
      </c>
      <c r="Q1950" s="10" t="str">
        <f>Tabela2[[#This Row],[Coluna5]]</f>
        <v>01/2026</v>
      </c>
      <c r="R1950" s="10" t="str">
        <f>IF(Tabela2[[#This Row],[Coluna9]]&gt;0,"Entrada","Saída")</f>
        <v>Saída</v>
      </c>
      <c r="S1950" s="10">
        <f>Tabela2[[#This Row],[Coluna8]]</f>
        <v>0</v>
      </c>
      <c r="T1950" s="10" t="e">
        <f>Tabela2[[#This Row],[Coluna72]]</f>
        <v>#REF!</v>
      </c>
      <c r="U1950" s="10">
        <f>SUM(Tabela2[[#This Row],[Coluna9]],Tabela2[[#This Row],[Coluna10]])</f>
        <v>1848</v>
      </c>
      <c r="V1950" s="2" t="str">
        <f>Tabela2[[#This Row],[Coluna4]]</f>
        <v>30/12/2025</v>
      </c>
      <c r="W1950" s="2" t="str">
        <f>Tabela2[[#This Row],[Coluna6]]</f>
        <v>05/01/2026</v>
      </c>
    </row>
    <row r="1951" spans="2:23" x14ac:dyDescent="0.2">
      <c r="B1951" t="s">
        <v>748</v>
      </c>
      <c r="C1951" t="s">
        <v>95</v>
      </c>
      <c r="D1951" t="s">
        <v>13</v>
      </c>
      <c r="E1951" s="8" t="s">
        <v>334</v>
      </c>
      <c r="F1951" t="s">
        <v>84</v>
      </c>
      <c r="G1951" s="8" t="s">
        <v>301</v>
      </c>
      <c r="H1951" t="s">
        <v>866</v>
      </c>
      <c r="I1951" t="e">
        <f>VLOOKUP(Tabela2[[#This Row],[Coluna7]],[1]!Tabela1[#All],2,0)</f>
        <v>#REF!</v>
      </c>
      <c r="L1951">
        <v>3200</v>
      </c>
      <c r="N1951" t="s">
        <v>867</v>
      </c>
      <c r="Q1951" s="10" t="str">
        <f>Tabela2[[#This Row],[Coluna5]]</f>
        <v>01/2026</v>
      </c>
      <c r="R1951" s="10" t="str">
        <f>IF(Tabela2[[#This Row],[Coluna9]]&gt;0,"Entrada","Saída")</f>
        <v>Saída</v>
      </c>
      <c r="S1951" s="10">
        <f>Tabela2[[#This Row],[Coluna8]]</f>
        <v>0</v>
      </c>
      <c r="T1951" s="10" t="e">
        <f>Tabela2[[#This Row],[Coluna72]]</f>
        <v>#REF!</v>
      </c>
      <c r="U1951" s="10">
        <f>SUM(Tabela2[[#This Row],[Coluna9]],Tabela2[[#This Row],[Coluna10]])</f>
        <v>3200</v>
      </c>
      <c r="V1951" s="2" t="str">
        <f>Tabela2[[#This Row],[Coluna4]]</f>
        <v>30/12/2025</v>
      </c>
      <c r="W1951" s="2" t="str">
        <f>Tabela2[[#This Row],[Coluna6]]</f>
        <v>05/01/2026</v>
      </c>
    </row>
    <row r="1952" spans="2:23" x14ac:dyDescent="0.2">
      <c r="B1952" t="s">
        <v>18</v>
      </c>
      <c r="C1952" t="s">
        <v>95</v>
      </c>
      <c r="D1952" t="s">
        <v>13</v>
      </c>
      <c r="E1952" s="8" t="s">
        <v>334</v>
      </c>
      <c r="F1952" t="s">
        <v>64</v>
      </c>
      <c r="G1952" s="8" t="s">
        <v>301</v>
      </c>
      <c r="H1952" t="s">
        <v>866</v>
      </c>
      <c r="I1952" t="e">
        <f>VLOOKUP(Tabela2[[#This Row],[Coluna7]],[1]!Tabela1[#All],2,0)</f>
        <v>#REF!</v>
      </c>
      <c r="L1952">
        <v>5720</v>
      </c>
      <c r="N1952" t="s">
        <v>400</v>
      </c>
      <c r="Q1952" s="10" t="str">
        <f>Tabela2[[#This Row],[Coluna5]]</f>
        <v>12/2025</v>
      </c>
      <c r="R1952" s="10" t="str">
        <f>IF(Tabela2[[#This Row],[Coluna9]]&gt;0,"Entrada","Saída")</f>
        <v>Saída</v>
      </c>
      <c r="S1952" s="10">
        <f>Tabela2[[#This Row],[Coluna8]]</f>
        <v>0</v>
      </c>
      <c r="T1952" s="10" t="e">
        <f>Tabela2[[#This Row],[Coluna72]]</f>
        <v>#REF!</v>
      </c>
      <c r="U1952" s="10">
        <f>SUM(Tabela2[[#This Row],[Coluna9]],Tabela2[[#This Row],[Coluna10]])</f>
        <v>5720</v>
      </c>
      <c r="V1952" s="2" t="str">
        <f>Tabela2[[#This Row],[Coluna4]]</f>
        <v>30/12/2025</v>
      </c>
      <c r="W1952" s="2" t="str">
        <f>Tabela2[[#This Row],[Coluna6]]</f>
        <v>05/01/2026</v>
      </c>
    </row>
    <row r="1953" spans="2:23" x14ac:dyDescent="0.2">
      <c r="B1953" t="s">
        <v>18</v>
      </c>
      <c r="C1953" t="s">
        <v>95</v>
      </c>
      <c r="D1953" t="s">
        <v>13</v>
      </c>
      <c r="E1953" s="8" t="s">
        <v>334</v>
      </c>
      <c r="F1953" t="s">
        <v>64</v>
      </c>
      <c r="G1953" s="8" t="s">
        <v>301</v>
      </c>
      <c r="H1953" t="s">
        <v>868</v>
      </c>
      <c r="I1953" t="e">
        <f>VLOOKUP(Tabela2[[#This Row],[Coluna7]],[1]!Tabela1[#All],2,0)</f>
        <v>#REF!</v>
      </c>
      <c r="L1953">
        <v>2310</v>
      </c>
      <c r="N1953" t="s">
        <v>382</v>
      </c>
      <c r="Q1953" s="10" t="str">
        <f>Tabela2[[#This Row],[Coluna5]]</f>
        <v>12/2025</v>
      </c>
      <c r="R1953" s="10" t="str">
        <f>IF(Tabela2[[#This Row],[Coluna9]]&gt;0,"Entrada","Saída")</f>
        <v>Saída</v>
      </c>
      <c r="S1953" s="10">
        <f>Tabela2[[#This Row],[Coluna8]]</f>
        <v>0</v>
      </c>
      <c r="T1953" s="10" t="e">
        <f>Tabela2[[#This Row],[Coluna72]]</f>
        <v>#REF!</v>
      </c>
      <c r="U1953" s="10">
        <f>SUM(Tabela2[[#This Row],[Coluna9]],Tabela2[[#This Row],[Coluna10]])</f>
        <v>2310</v>
      </c>
      <c r="V1953" s="2" t="str">
        <f>Tabela2[[#This Row],[Coluna4]]</f>
        <v>30/12/2025</v>
      </c>
      <c r="W1953" s="2" t="str">
        <f>Tabela2[[#This Row],[Coluna6]]</f>
        <v>05/01/2026</v>
      </c>
    </row>
    <row r="1954" spans="2:23" x14ac:dyDescent="0.2">
      <c r="B1954" t="s">
        <v>18</v>
      </c>
      <c r="C1954" t="s">
        <v>95</v>
      </c>
      <c r="D1954" t="s">
        <v>13</v>
      </c>
      <c r="E1954" s="8" t="s">
        <v>334</v>
      </c>
      <c r="F1954" t="s">
        <v>64</v>
      </c>
      <c r="G1954" s="8" t="s">
        <v>301</v>
      </c>
      <c r="H1954" t="s">
        <v>868</v>
      </c>
      <c r="I1954" t="e">
        <f>VLOOKUP(Tabela2[[#This Row],[Coluna7]],[1]!Tabela1[#All],2,0)</f>
        <v>#REF!</v>
      </c>
      <c r="L1954">
        <v>2100</v>
      </c>
      <c r="N1954" t="s">
        <v>420</v>
      </c>
      <c r="Q1954" s="10" t="str">
        <f>Tabela2[[#This Row],[Coluna5]]</f>
        <v>12/2025</v>
      </c>
      <c r="R1954" s="10" t="str">
        <f>IF(Tabela2[[#This Row],[Coluna9]]&gt;0,"Entrada","Saída")</f>
        <v>Saída</v>
      </c>
      <c r="S1954" s="10">
        <f>Tabela2[[#This Row],[Coluna8]]</f>
        <v>0</v>
      </c>
      <c r="T1954" s="10" t="e">
        <f>Tabela2[[#This Row],[Coluna72]]</f>
        <v>#REF!</v>
      </c>
      <c r="U1954" s="10">
        <f>SUM(Tabela2[[#This Row],[Coluna9]],Tabela2[[#This Row],[Coluna10]])</f>
        <v>2100</v>
      </c>
      <c r="V1954" s="2" t="str">
        <f>Tabela2[[#This Row],[Coluna4]]</f>
        <v>30/12/2025</v>
      </c>
      <c r="W1954" s="2" t="str">
        <f>Tabela2[[#This Row],[Coluna6]]</f>
        <v>05/01/2026</v>
      </c>
    </row>
    <row r="1955" spans="2:23" x14ac:dyDescent="0.2">
      <c r="B1955" t="s">
        <v>18</v>
      </c>
      <c r="C1955" t="s">
        <v>95</v>
      </c>
      <c r="D1955" t="s">
        <v>13</v>
      </c>
      <c r="E1955" s="8" t="s">
        <v>334</v>
      </c>
      <c r="F1955" t="s">
        <v>64</v>
      </c>
      <c r="G1955" s="8" t="s">
        <v>301</v>
      </c>
      <c r="H1955" t="s">
        <v>379</v>
      </c>
      <c r="I1955" t="e">
        <f>VLOOKUP(Tabela2[[#This Row],[Coluna7]],[1]!Tabela1[#All],2,0)</f>
        <v>#REF!</v>
      </c>
      <c r="L1955">
        <v>1313</v>
      </c>
      <c r="N1955" t="s">
        <v>406</v>
      </c>
      <c r="Q1955" s="10" t="str">
        <f>Tabela2[[#This Row],[Coluna5]]</f>
        <v>12/2025</v>
      </c>
      <c r="R1955" s="10" t="str">
        <f>IF(Tabela2[[#This Row],[Coluna9]]&gt;0,"Entrada","Saída")</f>
        <v>Saída</v>
      </c>
      <c r="S1955" s="10">
        <f>Tabela2[[#This Row],[Coluna8]]</f>
        <v>0</v>
      </c>
      <c r="T1955" s="10" t="e">
        <f>Tabela2[[#This Row],[Coluna72]]</f>
        <v>#REF!</v>
      </c>
      <c r="U1955" s="10">
        <f>SUM(Tabela2[[#This Row],[Coluna9]],Tabela2[[#This Row],[Coluna10]])</f>
        <v>1313</v>
      </c>
      <c r="V1955" s="2" t="str">
        <f>Tabela2[[#This Row],[Coluna4]]</f>
        <v>30/12/2025</v>
      </c>
      <c r="W1955" s="2" t="str">
        <f>Tabela2[[#This Row],[Coluna6]]</f>
        <v>05/01/2026</v>
      </c>
    </row>
    <row r="1956" spans="2:23" x14ac:dyDescent="0.2">
      <c r="B1956" t="s">
        <v>18</v>
      </c>
      <c r="C1956" t="s">
        <v>95</v>
      </c>
      <c r="D1956" t="s">
        <v>13</v>
      </c>
      <c r="E1956" s="8" t="s">
        <v>334</v>
      </c>
      <c r="F1956" t="s">
        <v>84</v>
      </c>
      <c r="G1956" s="8" t="s">
        <v>301</v>
      </c>
      <c r="H1956" t="s">
        <v>864</v>
      </c>
      <c r="I1956" t="e">
        <f>VLOOKUP(Tabela2[[#This Row],[Coluna7]],[1]!Tabela1[#All],2,0)</f>
        <v>#REF!</v>
      </c>
      <c r="L1956">
        <v>230</v>
      </c>
      <c r="N1956" t="s">
        <v>406</v>
      </c>
      <c r="Q1956" s="10" t="str">
        <f>Tabela2[[#This Row],[Coluna5]]</f>
        <v>01/2026</v>
      </c>
      <c r="R1956" s="10" t="str">
        <f>IF(Tabela2[[#This Row],[Coluna9]]&gt;0,"Entrada","Saída")</f>
        <v>Saída</v>
      </c>
      <c r="S1956" s="10">
        <f>Tabela2[[#This Row],[Coluna8]]</f>
        <v>0</v>
      </c>
      <c r="T1956" s="10" t="e">
        <f>Tabela2[[#This Row],[Coluna72]]</f>
        <v>#REF!</v>
      </c>
      <c r="U1956" s="10">
        <f>SUM(Tabela2[[#This Row],[Coluna9]],Tabela2[[#This Row],[Coluna10]])</f>
        <v>230</v>
      </c>
      <c r="V1956" s="2" t="str">
        <f>Tabela2[[#This Row],[Coluna4]]</f>
        <v>30/12/2025</v>
      </c>
      <c r="W1956" s="2" t="str">
        <f>Tabela2[[#This Row],[Coluna6]]</f>
        <v>05/01/2026</v>
      </c>
    </row>
    <row r="1957" spans="2:23" x14ac:dyDescent="0.2">
      <c r="B1957" t="s">
        <v>18</v>
      </c>
      <c r="C1957" t="s">
        <v>95</v>
      </c>
      <c r="D1957" t="s">
        <v>13</v>
      </c>
      <c r="E1957" s="8" t="s">
        <v>421</v>
      </c>
      <c r="F1957" t="s">
        <v>64</v>
      </c>
      <c r="G1957" s="8" t="s">
        <v>301</v>
      </c>
      <c r="H1957" t="s">
        <v>868</v>
      </c>
      <c r="I1957" t="e">
        <f>VLOOKUP(Tabela2[[#This Row],[Coluna7]],[1]!Tabela1[#All],2,0)</f>
        <v>#REF!</v>
      </c>
      <c r="L1957">
        <v>2500</v>
      </c>
      <c r="N1957" t="s">
        <v>396</v>
      </c>
      <c r="Q1957" s="10" t="str">
        <f>Tabela2[[#This Row],[Coluna5]]</f>
        <v>12/2025</v>
      </c>
      <c r="R1957" s="10" t="str">
        <f>IF(Tabela2[[#This Row],[Coluna9]]&gt;0,"Entrada","Saída")</f>
        <v>Saída</v>
      </c>
      <c r="S1957" s="10">
        <f>Tabela2[[#This Row],[Coluna8]]</f>
        <v>0</v>
      </c>
      <c r="T1957" s="10" t="e">
        <f>Tabela2[[#This Row],[Coluna72]]</f>
        <v>#REF!</v>
      </c>
      <c r="U1957" s="10">
        <f>SUM(Tabela2[[#This Row],[Coluna9]],Tabela2[[#This Row],[Coluna10]])</f>
        <v>2500</v>
      </c>
      <c r="V1957" s="2" t="str">
        <f>Tabela2[[#This Row],[Coluna4]]</f>
        <v>31/12/2025</v>
      </c>
      <c r="W1957" s="2" t="str">
        <f>Tabela2[[#This Row],[Coluna6]]</f>
        <v>05/01/2026</v>
      </c>
    </row>
    <row r="1958" spans="2:23" x14ac:dyDescent="0.2">
      <c r="B1958" t="s">
        <v>58</v>
      </c>
      <c r="C1958" t="s">
        <v>95</v>
      </c>
      <c r="D1958" t="s">
        <v>13</v>
      </c>
      <c r="E1958" s="8" t="s">
        <v>301</v>
      </c>
      <c r="F1958" t="s">
        <v>64</v>
      </c>
      <c r="G1958" s="8" t="s">
        <v>301</v>
      </c>
      <c r="H1958" t="s">
        <v>379</v>
      </c>
      <c r="I1958" t="e">
        <f>VLOOKUP(Tabela2[[#This Row],[Coluna7]],[1]!Tabela1[#All],2,0)</f>
        <v>#REF!</v>
      </c>
      <c r="L1958">
        <v>900</v>
      </c>
      <c r="N1958" t="s">
        <v>408</v>
      </c>
      <c r="Q1958" s="10" t="str">
        <f>Tabela2[[#This Row],[Coluna5]]</f>
        <v>12/2025</v>
      </c>
      <c r="R1958" s="10" t="str">
        <f>IF(Tabela2[[#This Row],[Coluna9]]&gt;0,"Entrada","Saída")</f>
        <v>Saída</v>
      </c>
      <c r="S1958" s="10">
        <f>Tabela2[[#This Row],[Coluna8]]</f>
        <v>0</v>
      </c>
      <c r="T1958" s="10" t="e">
        <f>Tabela2[[#This Row],[Coluna72]]</f>
        <v>#REF!</v>
      </c>
      <c r="U1958" s="10">
        <f>SUM(Tabela2[[#This Row],[Coluna9]],Tabela2[[#This Row],[Coluna10]])</f>
        <v>900</v>
      </c>
      <c r="V1958" s="2" t="str">
        <f>Tabela2[[#This Row],[Coluna4]]</f>
        <v>05/01/2026</v>
      </c>
      <c r="W1958" s="2" t="str">
        <f>Tabela2[[#This Row],[Coluna6]]</f>
        <v>05/01/2026</v>
      </c>
    </row>
    <row r="1959" spans="2:23" x14ac:dyDescent="0.2">
      <c r="B1959" t="s">
        <v>18</v>
      </c>
      <c r="C1959" t="s">
        <v>95</v>
      </c>
      <c r="D1959" t="s">
        <v>13</v>
      </c>
      <c r="E1959" s="8" t="s">
        <v>87</v>
      </c>
      <c r="F1959" t="s">
        <v>84</v>
      </c>
      <c r="G1959" s="8" t="s">
        <v>87</v>
      </c>
      <c r="H1959" t="s">
        <v>869</v>
      </c>
      <c r="I1959" t="e">
        <f>VLOOKUP(Tabela2[[#This Row],[Coluna7]],[1]!Tabela1[#All],2,0)</f>
        <v>#REF!</v>
      </c>
      <c r="J1959" t="s">
        <v>870</v>
      </c>
      <c r="L1959">
        <v>180</v>
      </c>
      <c r="N1959" t="s">
        <v>409</v>
      </c>
      <c r="Q1959" s="10" t="str">
        <f>Tabela2[[#This Row],[Coluna5]]</f>
        <v>01/2026</v>
      </c>
      <c r="R1959" s="10" t="str">
        <f>IF(Tabela2[[#This Row],[Coluna9]]&gt;0,"Entrada","Saída")</f>
        <v>Saída</v>
      </c>
      <c r="S1959" s="10" t="str">
        <f>Tabela2[[#This Row],[Coluna8]]</f>
        <v>DEZEMBRO</v>
      </c>
      <c r="T1959" s="10" t="e">
        <f>Tabela2[[#This Row],[Coluna72]]</f>
        <v>#REF!</v>
      </c>
      <c r="U1959" s="10">
        <f>SUM(Tabela2[[#This Row],[Coluna9]],Tabela2[[#This Row],[Coluna10]])</f>
        <v>180</v>
      </c>
      <c r="V1959" s="2" t="str">
        <f>Tabela2[[#This Row],[Coluna4]]</f>
        <v>07/01/2026</v>
      </c>
      <c r="W1959" s="2" t="str">
        <f>Tabela2[[#This Row],[Coluna6]]</f>
        <v>07/01/2026</v>
      </c>
    </row>
    <row r="1960" spans="2:23" x14ac:dyDescent="0.2">
      <c r="B1960" t="s">
        <v>27</v>
      </c>
      <c r="C1960" t="s">
        <v>95</v>
      </c>
      <c r="D1960" t="s">
        <v>13</v>
      </c>
      <c r="E1960" s="8" t="s">
        <v>88</v>
      </c>
      <c r="F1960" t="s">
        <v>84</v>
      </c>
      <c r="G1960" s="8" t="s">
        <v>88</v>
      </c>
      <c r="H1960" t="s">
        <v>864</v>
      </c>
      <c r="I1960" t="e">
        <f>VLOOKUP(Tabela2[[#This Row],[Coluna7]],[1]!Tabela1[#All],2,0)</f>
        <v>#REF!</v>
      </c>
      <c r="J1960" t="s">
        <v>871</v>
      </c>
      <c r="L1960">
        <v>318</v>
      </c>
      <c r="N1960" t="s">
        <v>410</v>
      </c>
      <c r="Q1960" s="10" t="str">
        <f>Tabela2[[#This Row],[Coluna5]]</f>
        <v>01/2026</v>
      </c>
      <c r="R1960" s="10" t="str">
        <f>IF(Tabela2[[#This Row],[Coluna9]]&gt;0,"Entrada","Saída")</f>
        <v>Saída</v>
      </c>
      <c r="S1960" s="10" t="str">
        <f>Tabela2[[#This Row],[Coluna8]]</f>
        <v>VT + 2 DIAS FÉRIAS</v>
      </c>
      <c r="T1960" s="10" t="e">
        <f>Tabela2[[#This Row],[Coluna72]]</f>
        <v>#REF!</v>
      </c>
      <c r="U1960" s="10">
        <f>SUM(Tabela2[[#This Row],[Coluna9]],Tabela2[[#This Row],[Coluna10]])</f>
        <v>318</v>
      </c>
      <c r="V1960" s="2" t="str">
        <f>Tabela2[[#This Row],[Coluna4]]</f>
        <v>14/01/2026</v>
      </c>
      <c r="W1960" s="2" t="str">
        <f>Tabela2[[#This Row],[Coluna6]]</f>
        <v>14/01/2026</v>
      </c>
    </row>
    <row r="1961" spans="2:23" x14ac:dyDescent="0.2">
      <c r="B1961" t="s">
        <v>18</v>
      </c>
      <c r="C1961" t="s">
        <v>95</v>
      </c>
      <c r="D1961" t="s">
        <v>13</v>
      </c>
      <c r="E1961" s="8" t="s">
        <v>360</v>
      </c>
      <c r="F1961" t="s">
        <v>84</v>
      </c>
      <c r="G1961" s="8" t="s">
        <v>810</v>
      </c>
      <c r="H1961" t="s">
        <v>379</v>
      </c>
      <c r="I1961" t="e">
        <f>VLOOKUP(Tabela2[[#This Row],[Coluna7]],[1]!Tabela1[#All],2,0)</f>
        <v>#REF!</v>
      </c>
      <c r="L1961">
        <v>765</v>
      </c>
      <c r="N1961" t="s">
        <v>381</v>
      </c>
      <c r="Q1961" s="10" t="str">
        <f>Tabela2[[#This Row],[Coluna5]]</f>
        <v>01/2026</v>
      </c>
      <c r="R1961" s="10" t="str">
        <f>IF(Tabela2[[#This Row],[Coluna9]]&gt;0,"Entrada","Saída")</f>
        <v>Saída</v>
      </c>
      <c r="S1961" s="10">
        <f>Tabela2[[#This Row],[Coluna8]]</f>
        <v>0</v>
      </c>
      <c r="T1961" s="10" t="e">
        <f>Tabela2[[#This Row],[Coluna72]]</f>
        <v>#REF!</v>
      </c>
      <c r="U1961" s="10">
        <f>SUM(Tabela2[[#This Row],[Coluna9]],Tabela2[[#This Row],[Coluna10]])</f>
        <v>765</v>
      </c>
      <c r="V1961" s="2" t="str">
        <f>Tabela2[[#This Row],[Coluna4]]</f>
        <v>30/01/2026</v>
      </c>
      <c r="W1961" s="2" t="str">
        <f>Tabela2[[#This Row],[Coluna6]]</f>
        <v>02/02/2026</v>
      </c>
    </row>
    <row r="1962" spans="2:23" x14ac:dyDescent="0.2">
      <c r="B1962" t="s">
        <v>18</v>
      </c>
      <c r="C1962" t="s">
        <v>95</v>
      </c>
      <c r="D1962" t="s">
        <v>13</v>
      </c>
      <c r="E1962" s="8" t="s">
        <v>534</v>
      </c>
      <c r="F1962" t="s">
        <v>84</v>
      </c>
      <c r="G1962" s="8" t="s">
        <v>810</v>
      </c>
      <c r="H1962" t="s">
        <v>379</v>
      </c>
      <c r="I1962" t="e">
        <f>VLOOKUP(Tabela2[[#This Row],[Coluna7]],[1]!Tabela1[#All],2,0)</f>
        <v>#REF!</v>
      </c>
      <c r="J1962" t="s">
        <v>863</v>
      </c>
      <c r="L1962">
        <v>786</v>
      </c>
      <c r="N1962" t="s">
        <v>409</v>
      </c>
      <c r="Q1962" s="10" t="str">
        <f>Tabela2[[#This Row],[Coluna5]]</f>
        <v>01/2026</v>
      </c>
      <c r="R1962" s="10" t="str">
        <f>IF(Tabela2[[#This Row],[Coluna9]]&gt;0,"Entrada","Saída")</f>
        <v>Saída</v>
      </c>
      <c r="S1962" s="10" t="str">
        <f>Tabela2[[#This Row],[Coluna8]]</f>
        <v>MEIO EXPEDIENTE</v>
      </c>
      <c r="T1962" s="10" t="e">
        <f>Tabela2[[#This Row],[Coluna72]]</f>
        <v>#REF!</v>
      </c>
      <c r="U1962" s="10">
        <f>SUM(Tabela2[[#This Row],[Coluna9]],Tabela2[[#This Row],[Coluna10]])</f>
        <v>786</v>
      </c>
      <c r="V1962" s="2" t="str">
        <f>Tabela2[[#This Row],[Coluna4]]</f>
        <v>31/01/2026</v>
      </c>
      <c r="W1962" s="2" t="str">
        <f>Tabela2[[#This Row],[Coluna6]]</f>
        <v>02/02/2026</v>
      </c>
    </row>
    <row r="1963" spans="2:23" x14ac:dyDescent="0.2">
      <c r="B1963" t="s">
        <v>18</v>
      </c>
      <c r="C1963" t="s">
        <v>95</v>
      </c>
      <c r="D1963" t="s">
        <v>13</v>
      </c>
      <c r="E1963" s="8" t="s">
        <v>534</v>
      </c>
      <c r="F1963" t="s">
        <v>84</v>
      </c>
      <c r="G1963" s="8" t="s">
        <v>810</v>
      </c>
      <c r="H1963" t="s">
        <v>864</v>
      </c>
      <c r="I1963" t="e">
        <f>VLOOKUP(Tabela2[[#This Row],[Coluna7]],[1]!Tabela1[#All],2,0)</f>
        <v>#REF!</v>
      </c>
      <c r="J1963" t="s">
        <v>872</v>
      </c>
      <c r="L1963">
        <v>119.9</v>
      </c>
      <c r="N1963" t="s">
        <v>409</v>
      </c>
      <c r="Q1963" s="10" t="str">
        <f>Tabela2[[#This Row],[Coluna5]]</f>
        <v>01/2026</v>
      </c>
      <c r="R1963" s="10" t="str">
        <f>IF(Tabela2[[#This Row],[Coluna9]]&gt;0,"Entrada","Saída")</f>
        <v>Saída</v>
      </c>
      <c r="S1963" s="10" t="str">
        <f>Tabela2[[#This Row],[Coluna8]]</f>
        <v>JANEIRO</v>
      </c>
      <c r="T1963" s="10" t="e">
        <f>Tabela2[[#This Row],[Coluna72]]</f>
        <v>#REF!</v>
      </c>
      <c r="U1963" s="10">
        <f>SUM(Tabela2[[#This Row],[Coluna9]],Tabela2[[#This Row],[Coluna10]])</f>
        <v>119.9</v>
      </c>
      <c r="V1963" s="2" t="str">
        <f>Tabela2[[#This Row],[Coluna4]]</f>
        <v>31/01/2026</v>
      </c>
      <c r="W1963" s="2" t="str">
        <f>Tabela2[[#This Row],[Coluna6]]</f>
        <v>02/02/2026</v>
      </c>
    </row>
    <row r="1964" spans="2:23" x14ac:dyDescent="0.2">
      <c r="B1964" t="s">
        <v>18</v>
      </c>
      <c r="C1964" t="s">
        <v>95</v>
      </c>
      <c r="D1964" t="s">
        <v>13</v>
      </c>
      <c r="E1964" s="8" t="s">
        <v>534</v>
      </c>
      <c r="F1964" t="s">
        <v>84</v>
      </c>
      <c r="G1964" s="8" t="s">
        <v>810</v>
      </c>
      <c r="H1964" t="s">
        <v>379</v>
      </c>
      <c r="I1964" t="e">
        <f>VLOOKUP(Tabela2[[#This Row],[Coluna7]],[1]!Tabela1[#All],2,0)</f>
        <v>#REF!</v>
      </c>
      <c r="L1964">
        <v>1672</v>
      </c>
      <c r="N1964" t="s">
        <v>395</v>
      </c>
      <c r="Q1964" s="10" t="str">
        <f>Tabela2[[#This Row],[Coluna5]]</f>
        <v>01/2026</v>
      </c>
      <c r="R1964" s="10" t="str">
        <f>IF(Tabela2[[#This Row],[Coluna9]]&gt;0,"Entrada","Saída")</f>
        <v>Saída</v>
      </c>
      <c r="S1964" s="10">
        <f>Tabela2[[#This Row],[Coluna8]]</f>
        <v>0</v>
      </c>
      <c r="T1964" s="10" t="e">
        <f>Tabela2[[#This Row],[Coluna72]]</f>
        <v>#REF!</v>
      </c>
      <c r="U1964" s="10">
        <f>SUM(Tabela2[[#This Row],[Coluna9]],Tabela2[[#This Row],[Coluna10]])</f>
        <v>1672</v>
      </c>
      <c r="V1964" s="2" t="str">
        <f>Tabela2[[#This Row],[Coluna4]]</f>
        <v>31/01/2026</v>
      </c>
      <c r="W1964" s="2" t="str">
        <f>Tabela2[[#This Row],[Coluna6]]</f>
        <v>02/02/2026</v>
      </c>
    </row>
    <row r="1965" spans="2:23" x14ac:dyDescent="0.2">
      <c r="B1965" t="s">
        <v>18</v>
      </c>
      <c r="C1965" t="s">
        <v>95</v>
      </c>
      <c r="D1965" t="s">
        <v>13</v>
      </c>
      <c r="E1965" s="8" t="s">
        <v>534</v>
      </c>
      <c r="F1965" t="s">
        <v>84</v>
      </c>
      <c r="G1965" s="8" t="s">
        <v>810</v>
      </c>
      <c r="H1965" t="s">
        <v>864</v>
      </c>
      <c r="I1965" t="e">
        <f>VLOOKUP(Tabela2[[#This Row],[Coluna7]],[1]!Tabela1[#All],2,0)</f>
        <v>#REF!</v>
      </c>
      <c r="L1965">
        <v>239.8</v>
      </c>
      <c r="N1965" t="s">
        <v>395</v>
      </c>
      <c r="Q1965" s="10" t="str">
        <f>Tabela2[[#This Row],[Coluna5]]</f>
        <v>01/2026</v>
      </c>
      <c r="R1965" s="10" t="str">
        <f>IF(Tabela2[[#This Row],[Coluna9]]&gt;0,"Entrada","Saída")</f>
        <v>Saída</v>
      </c>
      <c r="S1965" s="10">
        <f>Tabela2[[#This Row],[Coluna8]]</f>
        <v>0</v>
      </c>
      <c r="T1965" s="10" t="e">
        <f>Tabela2[[#This Row],[Coluna72]]</f>
        <v>#REF!</v>
      </c>
      <c r="U1965" s="10">
        <f>SUM(Tabela2[[#This Row],[Coluna9]],Tabela2[[#This Row],[Coluna10]])</f>
        <v>239.8</v>
      </c>
      <c r="V1965" s="2" t="str">
        <f>Tabela2[[#This Row],[Coluna4]]</f>
        <v>31/01/2026</v>
      </c>
      <c r="W1965" s="2" t="str">
        <f>Tabela2[[#This Row],[Coluna6]]</f>
        <v>02/02/2026</v>
      </c>
    </row>
    <row r="1966" spans="2:23" x14ac:dyDescent="0.2">
      <c r="B1966" t="s">
        <v>18</v>
      </c>
      <c r="C1966" t="s">
        <v>95</v>
      </c>
      <c r="D1966" t="s">
        <v>13</v>
      </c>
      <c r="E1966" s="8" t="s">
        <v>534</v>
      </c>
      <c r="F1966" t="s">
        <v>84</v>
      </c>
      <c r="G1966" s="8" t="s">
        <v>810</v>
      </c>
      <c r="H1966" t="s">
        <v>379</v>
      </c>
      <c r="I1966" t="e">
        <f>VLOOKUP(Tabela2[[#This Row],[Coluna7]],[1]!Tabela1[#All],2,0)</f>
        <v>#REF!</v>
      </c>
      <c r="L1966">
        <v>1672</v>
      </c>
      <c r="N1966" t="s">
        <v>410</v>
      </c>
      <c r="Q1966" s="10" t="str">
        <f>Tabela2[[#This Row],[Coluna5]]</f>
        <v>01/2026</v>
      </c>
      <c r="R1966" s="10" t="str">
        <f>IF(Tabela2[[#This Row],[Coluna9]]&gt;0,"Entrada","Saída")</f>
        <v>Saída</v>
      </c>
      <c r="S1966" s="10">
        <f>Tabela2[[#This Row],[Coluna8]]</f>
        <v>0</v>
      </c>
      <c r="T1966" s="10" t="e">
        <f>Tabela2[[#This Row],[Coluna72]]</f>
        <v>#REF!</v>
      </c>
      <c r="U1966" s="10">
        <f>SUM(Tabela2[[#This Row],[Coluna9]],Tabela2[[#This Row],[Coluna10]])</f>
        <v>1672</v>
      </c>
      <c r="V1966" s="2" t="str">
        <f>Tabela2[[#This Row],[Coluna4]]</f>
        <v>31/01/2026</v>
      </c>
      <c r="W1966" s="2" t="str">
        <f>Tabela2[[#This Row],[Coluna6]]</f>
        <v>02/02/2026</v>
      </c>
    </row>
    <row r="1967" spans="2:23" x14ac:dyDescent="0.2">
      <c r="B1967" t="s">
        <v>27</v>
      </c>
      <c r="C1967" t="s">
        <v>95</v>
      </c>
      <c r="D1967" t="s">
        <v>13</v>
      </c>
      <c r="E1967" s="8" t="s">
        <v>534</v>
      </c>
      <c r="F1967" t="s">
        <v>84</v>
      </c>
      <c r="G1967" s="8" t="s">
        <v>810</v>
      </c>
      <c r="H1967" t="s">
        <v>866</v>
      </c>
      <c r="I1967" t="e">
        <f>VLOOKUP(Tabela2[[#This Row],[Coluna7]],[1]!Tabela1[#All],2,0)</f>
        <v>#REF!</v>
      </c>
      <c r="L1967">
        <v>3200</v>
      </c>
      <c r="N1967" t="s">
        <v>867</v>
      </c>
      <c r="Q1967" s="10" t="str">
        <f>Tabela2[[#This Row],[Coluna5]]</f>
        <v>01/2026</v>
      </c>
      <c r="R1967" s="10" t="str">
        <f>IF(Tabela2[[#This Row],[Coluna9]]&gt;0,"Entrada","Saída")</f>
        <v>Saída</v>
      </c>
      <c r="S1967" s="10">
        <f>Tabela2[[#This Row],[Coluna8]]</f>
        <v>0</v>
      </c>
      <c r="T1967" s="10" t="e">
        <f>Tabela2[[#This Row],[Coluna72]]</f>
        <v>#REF!</v>
      </c>
      <c r="U1967" s="10">
        <f>SUM(Tabela2[[#This Row],[Coluna9]],Tabela2[[#This Row],[Coluna10]])</f>
        <v>3200</v>
      </c>
      <c r="V1967" s="2" t="str">
        <f>Tabela2[[#This Row],[Coluna4]]</f>
        <v>31/01/2026</v>
      </c>
      <c r="W1967" s="2" t="str">
        <f>Tabela2[[#This Row],[Coluna6]]</f>
        <v>02/02/2026</v>
      </c>
    </row>
    <row r="1968" spans="2:23" x14ac:dyDescent="0.2">
      <c r="B1968" t="s">
        <v>18</v>
      </c>
      <c r="C1968" t="s">
        <v>95</v>
      </c>
      <c r="D1968" t="s">
        <v>13</v>
      </c>
      <c r="E1968" s="8" t="s">
        <v>534</v>
      </c>
      <c r="F1968" t="s">
        <v>84</v>
      </c>
      <c r="G1968" s="8" t="s">
        <v>810</v>
      </c>
      <c r="H1968" t="s">
        <v>868</v>
      </c>
      <c r="I1968" t="e">
        <f>VLOOKUP(Tabela2[[#This Row],[Coluna7]],[1]!Tabela1[#All],2,0)</f>
        <v>#REF!</v>
      </c>
      <c r="L1968">
        <v>2500</v>
      </c>
      <c r="N1968" t="s">
        <v>396</v>
      </c>
      <c r="Q1968" s="10" t="str">
        <f>Tabela2[[#This Row],[Coluna5]]</f>
        <v>01/2026</v>
      </c>
      <c r="R1968" s="10" t="str">
        <f>IF(Tabela2[[#This Row],[Coluna9]]&gt;0,"Entrada","Saída")</f>
        <v>Saída</v>
      </c>
      <c r="S1968" s="10">
        <f>Tabela2[[#This Row],[Coluna8]]</f>
        <v>0</v>
      </c>
      <c r="T1968" s="10" t="e">
        <f>Tabela2[[#This Row],[Coluna72]]</f>
        <v>#REF!</v>
      </c>
      <c r="U1968" s="10">
        <f>SUM(Tabela2[[#This Row],[Coluna9]],Tabela2[[#This Row],[Coluna10]])</f>
        <v>2500</v>
      </c>
      <c r="V1968" s="2" t="str">
        <f>Tabela2[[#This Row],[Coluna4]]</f>
        <v>31/01/2026</v>
      </c>
      <c r="W1968" s="2" t="str">
        <f>Tabela2[[#This Row],[Coluna6]]</f>
        <v>02/02/2026</v>
      </c>
    </row>
    <row r="1969" spans="2:23" x14ac:dyDescent="0.2">
      <c r="B1969" t="s">
        <v>18</v>
      </c>
      <c r="C1969" t="s">
        <v>95</v>
      </c>
      <c r="D1969" t="s">
        <v>13</v>
      </c>
      <c r="E1969" s="8" t="s">
        <v>534</v>
      </c>
      <c r="F1969" t="s">
        <v>84</v>
      </c>
      <c r="G1969" s="8" t="s">
        <v>810</v>
      </c>
      <c r="H1969" t="s">
        <v>868</v>
      </c>
      <c r="I1969" t="e">
        <f>VLOOKUP(Tabela2[[#This Row],[Coluna7]],[1]!Tabela1[#All],2,0)</f>
        <v>#REF!</v>
      </c>
      <c r="L1969">
        <v>2310</v>
      </c>
      <c r="N1969" t="s">
        <v>382</v>
      </c>
      <c r="Q1969" s="10" t="str">
        <f>Tabela2[[#This Row],[Coluna5]]</f>
        <v>01/2026</v>
      </c>
      <c r="R1969" s="10" t="str">
        <f>IF(Tabela2[[#This Row],[Coluna9]]&gt;0,"Entrada","Saída")</f>
        <v>Saída</v>
      </c>
      <c r="S1969" s="10">
        <f>Tabela2[[#This Row],[Coluna8]]</f>
        <v>0</v>
      </c>
      <c r="T1969" s="10" t="e">
        <f>Tabela2[[#This Row],[Coluna72]]</f>
        <v>#REF!</v>
      </c>
      <c r="U1969" s="10">
        <f>SUM(Tabela2[[#This Row],[Coluna9]],Tabela2[[#This Row],[Coluna10]])</f>
        <v>2310</v>
      </c>
      <c r="V1969" s="2" t="str">
        <f>Tabela2[[#This Row],[Coluna4]]</f>
        <v>31/01/2026</v>
      </c>
      <c r="W1969" s="2" t="str">
        <f>Tabela2[[#This Row],[Coluna6]]</f>
        <v>02/02/2026</v>
      </c>
    </row>
    <row r="1970" spans="2:23" x14ac:dyDescent="0.2">
      <c r="B1970" t="s">
        <v>18</v>
      </c>
      <c r="C1970" t="s">
        <v>95</v>
      </c>
      <c r="D1970" t="s">
        <v>13</v>
      </c>
      <c r="E1970" s="8" t="s">
        <v>534</v>
      </c>
      <c r="F1970" t="s">
        <v>84</v>
      </c>
      <c r="G1970" s="8" t="s">
        <v>810</v>
      </c>
      <c r="H1970" t="s">
        <v>868</v>
      </c>
      <c r="I1970" t="e">
        <f>VLOOKUP(Tabela2[[#This Row],[Coluna7]],[1]!Tabela1[#All],2,0)</f>
        <v>#REF!</v>
      </c>
      <c r="L1970">
        <v>2100</v>
      </c>
      <c r="N1970" t="s">
        <v>420</v>
      </c>
      <c r="Q1970" s="10" t="str">
        <f>Tabela2[[#This Row],[Coluna5]]</f>
        <v>01/2026</v>
      </c>
      <c r="R1970" s="10" t="str">
        <f>IF(Tabela2[[#This Row],[Coluna9]]&gt;0,"Entrada","Saída")</f>
        <v>Saída</v>
      </c>
      <c r="S1970" s="10">
        <f>Tabela2[[#This Row],[Coluna8]]</f>
        <v>0</v>
      </c>
      <c r="T1970" s="10" t="e">
        <f>Tabela2[[#This Row],[Coluna72]]</f>
        <v>#REF!</v>
      </c>
      <c r="U1970" s="10">
        <f>SUM(Tabela2[[#This Row],[Coluna9]],Tabela2[[#This Row],[Coluna10]])</f>
        <v>2100</v>
      </c>
      <c r="V1970" s="2" t="str">
        <f>Tabela2[[#This Row],[Coluna4]]</f>
        <v>31/01/2026</v>
      </c>
      <c r="W1970" s="2" t="str">
        <f>Tabela2[[#This Row],[Coluna6]]</f>
        <v>02/02/2026</v>
      </c>
    </row>
    <row r="1971" spans="2:23" x14ac:dyDescent="0.2">
      <c r="B1971" t="s">
        <v>18</v>
      </c>
      <c r="C1971" t="s">
        <v>95</v>
      </c>
      <c r="D1971" t="s">
        <v>13</v>
      </c>
      <c r="E1971" s="8" t="s">
        <v>534</v>
      </c>
      <c r="F1971" t="s">
        <v>84</v>
      </c>
      <c r="G1971" s="8" t="s">
        <v>810</v>
      </c>
      <c r="H1971" t="s">
        <v>379</v>
      </c>
      <c r="I1971" t="e">
        <f>VLOOKUP(Tabela2[[#This Row],[Coluna7]],[1]!Tabela1[#All],2,0)</f>
        <v>#REF!</v>
      </c>
      <c r="L1971">
        <v>1402</v>
      </c>
      <c r="N1971" t="s">
        <v>406</v>
      </c>
      <c r="Q1971" s="10" t="str">
        <f>Tabela2[[#This Row],[Coluna5]]</f>
        <v>01/2026</v>
      </c>
      <c r="R1971" s="10" t="str">
        <f>IF(Tabela2[[#This Row],[Coluna9]]&gt;0,"Entrada","Saída")</f>
        <v>Saída</v>
      </c>
      <c r="S1971" s="10">
        <f>Tabela2[[#This Row],[Coluna8]]</f>
        <v>0</v>
      </c>
      <c r="T1971" s="10" t="e">
        <f>Tabela2[[#This Row],[Coluna72]]</f>
        <v>#REF!</v>
      </c>
      <c r="U1971" s="10">
        <f>SUM(Tabela2[[#This Row],[Coluna9]],Tabela2[[#This Row],[Coluna10]])</f>
        <v>1402</v>
      </c>
      <c r="V1971" s="2" t="str">
        <f>Tabela2[[#This Row],[Coluna4]]</f>
        <v>31/01/2026</v>
      </c>
      <c r="W1971" s="2" t="str">
        <f>Tabela2[[#This Row],[Coluna6]]</f>
        <v>02/02/2026</v>
      </c>
    </row>
    <row r="1972" spans="2:23" x14ac:dyDescent="0.2">
      <c r="B1972" t="s">
        <v>27</v>
      </c>
      <c r="C1972" t="s">
        <v>95</v>
      </c>
      <c r="D1972" t="s">
        <v>13</v>
      </c>
      <c r="E1972" s="8" t="s">
        <v>810</v>
      </c>
      <c r="F1972" t="s">
        <v>84</v>
      </c>
      <c r="G1972" s="8" t="s">
        <v>810</v>
      </c>
      <c r="H1972" t="s">
        <v>866</v>
      </c>
      <c r="I1972" t="e">
        <f>VLOOKUP(Tabela2[[#This Row],[Coluna7]],[1]!Tabela1[#All],2,0)</f>
        <v>#REF!</v>
      </c>
      <c r="L1972">
        <v>6000</v>
      </c>
      <c r="N1972" t="s">
        <v>400</v>
      </c>
      <c r="Q1972" s="10" t="str">
        <f>Tabela2[[#This Row],[Coluna5]]</f>
        <v>01/2026</v>
      </c>
      <c r="R1972" s="10" t="str">
        <f>IF(Tabela2[[#This Row],[Coluna9]]&gt;0,"Entrada","Saída")</f>
        <v>Saída</v>
      </c>
      <c r="S1972" s="10">
        <f>Tabela2[[#This Row],[Coluna8]]</f>
        <v>0</v>
      </c>
      <c r="T1972" s="10" t="e">
        <f>Tabela2[[#This Row],[Coluna72]]</f>
        <v>#REF!</v>
      </c>
      <c r="U1972" s="10">
        <f>SUM(Tabela2[[#This Row],[Coluna9]],Tabela2[[#This Row],[Coluna10]])</f>
        <v>6000</v>
      </c>
      <c r="V1972" s="2" t="str">
        <f>Tabela2[[#This Row],[Coluna4]]</f>
        <v>02/02/2026</v>
      </c>
      <c r="W1972" s="2" t="str">
        <f>Tabela2[[#This Row],[Coluna6]]</f>
        <v>02/02/2026</v>
      </c>
    </row>
    <row r="1973" spans="2:23" x14ac:dyDescent="0.2">
      <c r="B1973" t="s">
        <v>18</v>
      </c>
      <c r="C1973" t="s">
        <v>95</v>
      </c>
      <c r="D1973" t="s">
        <v>13</v>
      </c>
      <c r="E1973" s="8" t="s">
        <v>810</v>
      </c>
      <c r="F1973" t="s">
        <v>750</v>
      </c>
      <c r="G1973" s="8" t="s">
        <v>810</v>
      </c>
      <c r="H1973" t="s">
        <v>864</v>
      </c>
      <c r="I1973" t="e">
        <f>VLOOKUP(Tabela2[[#This Row],[Coluna7]],[1]!Tabela1[#All],2,0)</f>
        <v>#REF!</v>
      </c>
      <c r="L1973">
        <v>239.8</v>
      </c>
      <c r="N1973" t="s">
        <v>410</v>
      </c>
      <c r="Q1973" s="10" t="str">
        <f>Tabela2[[#This Row],[Coluna5]]</f>
        <v>02/2026</v>
      </c>
      <c r="R1973" s="10" t="str">
        <f>IF(Tabela2[[#This Row],[Coluna9]]&gt;0,"Entrada","Saída")</f>
        <v>Saída</v>
      </c>
      <c r="S1973" s="10">
        <f>Tabela2[[#This Row],[Coluna8]]</f>
        <v>0</v>
      </c>
      <c r="T1973" s="10" t="e">
        <f>Tabela2[[#This Row],[Coluna72]]</f>
        <v>#REF!</v>
      </c>
      <c r="U1973" s="10">
        <f>SUM(Tabela2[[#This Row],[Coluna9]],Tabela2[[#This Row],[Coluna10]])</f>
        <v>239.8</v>
      </c>
      <c r="V1973" s="2" t="str">
        <f>Tabela2[[#This Row],[Coluna4]]</f>
        <v>02/02/2026</v>
      </c>
      <c r="W1973" s="2" t="str">
        <f>Tabela2[[#This Row],[Coluna6]]</f>
        <v>02/02/2026</v>
      </c>
    </row>
    <row r="1974" spans="2:23" x14ac:dyDescent="0.2">
      <c r="B1974" t="s">
        <v>18</v>
      </c>
      <c r="C1974" t="s">
        <v>95</v>
      </c>
      <c r="D1974" t="s">
        <v>13</v>
      </c>
      <c r="E1974" s="8" t="s">
        <v>810</v>
      </c>
      <c r="F1974" t="s">
        <v>750</v>
      </c>
      <c r="G1974" s="8" t="s">
        <v>810</v>
      </c>
      <c r="H1974" t="s">
        <v>864</v>
      </c>
      <c r="I1974" t="e">
        <f>VLOOKUP(Tabela2[[#This Row],[Coluna7]],[1]!Tabela1[#All],2,0)</f>
        <v>#REF!</v>
      </c>
      <c r="L1974">
        <v>239.8</v>
      </c>
      <c r="N1974" t="s">
        <v>406</v>
      </c>
      <c r="Q1974" s="10" t="str">
        <f>Tabela2[[#This Row],[Coluna5]]</f>
        <v>02/2026</v>
      </c>
      <c r="R1974" s="10" t="str">
        <f>IF(Tabela2[[#This Row],[Coluna9]]&gt;0,"Entrada","Saída")</f>
        <v>Saída</v>
      </c>
      <c r="S1974" s="10">
        <f>Tabela2[[#This Row],[Coluna8]]</f>
        <v>0</v>
      </c>
      <c r="T1974" s="10" t="e">
        <f>Tabela2[[#This Row],[Coluna72]]</f>
        <v>#REF!</v>
      </c>
      <c r="U1974" s="10">
        <f>SUM(Tabela2[[#This Row],[Coluna9]],Tabela2[[#This Row],[Coluna10]])</f>
        <v>239.8</v>
      </c>
      <c r="V1974" s="2" t="str">
        <f>Tabela2[[#This Row],[Coluna4]]</f>
        <v>02/02/2026</v>
      </c>
      <c r="W1974" s="2" t="str">
        <f>Tabela2[[#This Row],[Coluna6]]</f>
        <v>02/02/2026</v>
      </c>
    </row>
    <row r="1975" spans="2:23" x14ac:dyDescent="0.2">
      <c r="B1975" t="s">
        <v>27</v>
      </c>
      <c r="C1975" t="s">
        <v>95</v>
      </c>
      <c r="D1975" t="s">
        <v>13</v>
      </c>
      <c r="E1975" s="8" t="s">
        <v>810</v>
      </c>
      <c r="F1975" t="s">
        <v>750</v>
      </c>
      <c r="G1975" s="8" t="s">
        <v>810</v>
      </c>
      <c r="H1975" t="s">
        <v>379</v>
      </c>
      <c r="I1975" t="e">
        <f>VLOOKUP(Tabela2[[#This Row],[Coluna7]],[1]!Tabela1[#All],2,0)</f>
        <v>#REF!</v>
      </c>
      <c r="L1975">
        <v>800</v>
      </c>
      <c r="N1975" t="s">
        <v>408</v>
      </c>
      <c r="Q1975" s="10" t="str">
        <f>Tabela2[[#This Row],[Coluna5]]</f>
        <v>02/2026</v>
      </c>
      <c r="R1975" s="10" t="str">
        <f>IF(Tabela2[[#This Row],[Coluna9]]&gt;0,"Entrada","Saída")</f>
        <v>Saída</v>
      </c>
      <c r="S1975" s="10">
        <f>Tabela2[[#This Row],[Coluna8]]</f>
        <v>0</v>
      </c>
      <c r="T1975" s="10" t="e">
        <f>Tabela2[[#This Row],[Coluna72]]</f>
        <v>#REF!</v>
      </c>
      <c r="U1975" s="10">
        <f>SUM(Tabela2[[#This Row],[Coluna9]],Tabela2[[#This Row],[Coluna10]])</f>
        <v>800</v>
      </c>
      <c r="V1975" s="2" t="str">
        <f>Tabela2[[#This Row],[Coluna4]]</f>
        <v>02/02/2026</v>
      </c>
      <c r="W1975" s="2" t="str">
        <f>Tabela2[[#This Row],[Coluna6]]</f>
        <v>02/02/2026</v>
      </c>
    </row>
    <row r="1976" spans="2:23" x14ac:dyDescent="0.2">
      <c r="B1976" t="s">
        <v>18</v>
      </c>
      <c r="C1976" t="s">
        <v>95</v>
      </c>
      <c r="D1976" t="s">
        <v>13</v>
      </c>
      <c r="E1976" s="8" t="s">
        <v>817</v>
      </c>
      <c r="F1976" t="s">
        <v>750</v>
      </c>
      <c r="G1976" s="8" t="s">
        <v>817</v>
      </c>
      <c r="H1976" t="s">
        <v>869</v>
      </c>
      <c r="I1976" t="e">
        <f>VLOOKUP(Tabela2[[#This Row],[Coluna7]],[1]!Tabela1[#All],2,0)</f>
        <v>#REF!</v>
      </c>
      <c r="J1976" t="s">
        <v>873</v>
      </c>
      <c r="L1976">
        <v>555</v>
      </c>
      <c r="N1976" t="s">
        <v>381</v>
      </c>
      <c r="Q1976" s="10" t="str">
        <f>Tabela2[[#This Row],[Coluna5]]</f>
        <v>02/2026</v>
      </c>
      <c r="R1976" s="10" t="str">
        <f>IF(Tabela2[[#This Row],[Coluna9]]&gt;0,"Entrada","Saída")</f>
        <v>Saída</v>
      </c>
      <c r="S1976" s="10" t="str">
        <f>Tabela2[[#This Row],[Coluna8]]</f>
        <v>HE COM DESCONTO 210</v>
      </c>
      <c r="T1976" s="10" t="e">
        <f>Tabela2[[#This Row],[Coluna72]]</f>
        <v>#REF!</v>
      </c>
      <c r="U1976" s="10">
        <f>SUM(Tabela2[[#This Row],[Coluna9]],Tabela2[[#This Row],[Coluna10]])</f>
        <v>555</v>
      </c>
      <c r="V1976" s="2" t="str">
        <f>Tabela2[[#This Row],[Coluna4]]</f>
        <v>03/02/2026</v>
      </c>
      <c r="W1976" s="2" t="str">
        <f>Tabela2[[#This Row],[Coluna6]]</f>
        <v>03/02/2026</v>
      </c>
    </row>
    <row r="1977" spans="2:23" x14ac:dyDescent="0.2">
      <c r="B1977" t="s">
        <v>18</v>
      </c>
      <c r="C1977" t="s">
        <v>95</v>
      </c>
      <c r="D1977" t="s">
        <v>13</v>
      </c>
      <c r="E1977" s="8" t="s">
        <v>834</v>
      </c>
      <c r="F1977" t="s">
        <v>750</v>
      </c>
      <c r="G1977" s="8" t="s">
        <v>834</v>
      </c>
      <c r="H1977" t="s">
        <v>869</v>
      </c>
      <c r="I1977" t="e">
        <f>VLOOKUP(Tabela2[[#This Row],[Coluna7]],[1]!Tabela1[#All],2,0)</f>
        <v>#REF!</v>
      </c>
      <c r="J1977" t="s">
        <v>874</v>
      </c>
      <c r="L1977">
        <v>120</v>
      </c>
      <c r="N1977" t="s">
        <v>406</v>
      </c>
      <c r="Q1977" s="10" t="str">
        <f>Tabela2[[#This Row],[Coluna5]]</f>
        <v>02/2026</v>
      </c>
      <c r="R1977" s="10" t="str">
        <f>IF(Tabela2[[#This Row],[Coluna9]]&gt;0,"Entrada","Saída")</f>
        <v>Saída</v>
      </c>
      <c r="S1977" s="10" t="str">
        <f>Tabela2[[#This Row],[Coluna8]]</f>
        <v>24/01 E 31/01</v>
      </c>
      <c r="T1977" s="10" t="e">
        <f>Tabela2[[#This Row],[Coluna72]]</f>
        <v>#REF!</v>
      </c>
      <c r="U1977" s="10">
        <f>SUM(Tabela2[[#This Row],[Coluna9]],Tabela2[[#This Row],[Coluna10]])</f>
        <v>120</v>
      </c>
      <c r="V1977" s="2" t="str">
        <f>Tabela2[[#This Row],[Coluna4]]</f>
        <v>10/02/2026</v>
      </c>
      <c r="W1977" s="2" t="str">
        <f>Tabela2[[#This Row],[Coluna6]]</f>
        <v>10/02/2026</v>
      </c>
    </row>
    <row r="1978" spans="2:23" x14ac:dyDescent="0.2">
      <c r="B1978" t="s">
        <v>748</v>
      </c>
      <c r="C1978" t="s">
        <v>95</v>
      </c>
      <c r="D1978" t="s">
        <v>13</v>
      </c>
      <c r="E1978" s="8" t="s">
        <v>875</v>
      </c>
      <c r="F1978" t="s">
        <v>750</v>
      </c>
      <c r="G1978" s="8" t="s">
        <v>875</v>
      </c>
      <c r="H1978" t="s">
        <v>411</v>
      </c>
      <c r="I1978" t="e">
        <f>VLOOKUP(Tabela2[[#This Row],[Coluna7]],[1]!Tabela1[#All],2,0)</f>
        <v>#REF!</v>
      </c>
      <c r="L1978">
        <v>200</v>
      </c>
      <c r="N1978" t="s">
        <v>381</v>
      </c>
      <c r="Q1978" s="10" t="str">
        <f>Tabela2[[#This Row],[Coluna5]]</f>
        <v>02/2026</v>
      </c>
      <c r="R1978" s="10" t="str">
        <f>IF(Tabela2[[#This Row],[Coluna9]]&gt;0,"Entrada","Saída")</f>
        <v>Saída</v>
      </c>
      <c r="S1978" s="10">
        <f>Tabela2[[#This Row],[Coluna8]]</f>
        <v>0</v>
      </c>
      <c r="T1978" s="10" t="e">
        <f>Tabela2[[#This Row],[Coluna72]]</f>
        <v>#REF!</v>
      </c>
      <c r="U1978" s="10">
        <f>SUM(Tabela2[[#This Row],[Coluna9]],Tabela2[[#This Row],[Coluna10]])</f>
        <v>200</v>
      </c>
      <c r="V1978" s="2" t="str">
        <f>Tabela2[[#This Row],[Coluna4]]</f>
        <v>14/02/2026</v>
      </c>
      <c r="W1978" s="2" t="str">
        <f>Tabela2[[#This Row],[Coluna6]]</f>
        <v>14/02/2026</v>
      </c>
    </row>
    <row r="1979" spans="2:23" x14ac:dyDescent="0.2">
      <c r="B1979" t="s">
        <v>18</v>
      </c>
      <c r="C1979" t="s">
        <v>95</v>
      </c>
      <c r="D1979" t="s">
        <v>13</v>
      </c>
      <c r="E1979" s="8" t="s">
        <v>757</v>
      </c>
      <c r="F1979" t="s">
        <v>750</v>
      </c>
      <c r="G1979" s="8" t="s">
        <v>757</v>
      </c>
      <c r="H1979" t="s">
        <v>404</v>
      </c>
      <c r="I1979" t="e">
        <f>VLOOKUP(Tabela2[[#This Row],[Coluna7]],[1]!Tabela1[#All],2,0)</f>
        <v>#REF!</v>
      </c>
      <c r="L1979">
        <v>6000</v>
      </c>
      <c r="N1979" t="s">
        <v>400</v>
      </c>
      <c r="Q1979" s="10" t="str">
        <f>Tabela2[[#This Row],[Coluna5]]</f>
        <v>02/2026</v>
      </c>
      <c r="R1979" s="10" t="str">
        <f>IF(Tabela2[[#This Row],[Coluna9]]&gt;0,"Entrada","Saída")</f>
        <v>Saída</v>
      </c>
      <c r="S1979" s="10">
        <f>Tabela2[[#This Row],[Coluna8]]</f>
        <v>0</v>
      </c>
      <c r="T1979" s="10" t="e">
        <f>Tabela2[[#This Row],[Coluna72]]</f>
        <v>#REF!</v>
      </c>
      <c r="U1979" s="10">
        <f>SUM(Tabela2[[#This Row],[Coluna9]],Tabela2[[#This Row],[Coluna10]])</f>
        <v>6000</v>
      </c>
      <c r="V1979" s="2" t="str">
        <f>Tabela2[[#This Row],[Coluna4]]</f>
        <v>24/02/2026</v>
      </c>
      <c r="W1979" s="2" t="str">
        <f>Tabela2[[#This Row],[Coluna6]]</f>
        <v>24/02/2026</v>
      </c>
    </row>
    <row r="1980" spans="2:23" x14ac:dyDescent="0.2">
      <c r="B1980" t="s">
        <v>18</v>
      </c>
      <c r="C1980" t="s">
        <v>95</v>
      </c>
      <c r="D1980" t="s">
        <v>13</v>
      </c>
      <c r="E1980" s="8" t="s">
        <v>757</v>
      </c>
      <c r="F1980" t="s">
        <v>750</v>
      </c>
      <c r="G1980" s="8" t="s">
        <v>757</v>
      </c>
      <c r="H1980" t="s">
        <v>404</v>
      </c>
      <c r="I1980" t="e">
        <f>VLOOKUP(Tabela2[[#This Row],[Coluna7]],[1]!Tabela1[#All],2,0)</f>
        <v>#REF!</v>
      </c>
      <c r="L1980">
        <v>3200</v>
      </c>
      <c r="N1980" t="s">
        <v>867</v>
      </c>
      <c r="Q1980" s="10" t="str">
        <f>Tabela2[[#This Row],[Coluna5]]</f>
        <v>02/2026</v>
      </c>
      <c r="R1980" s="10" t="str">
        <f>IF(Tabela2[[#This Row],[Coluna9]]&gt;0,"Entrada","Saída")</f>
        <v>Saída</v>
      </c>
      <c r="S1980" s="10">
        <f>Tabela2[[#This Row],[Coluna8]]</f>
        <v>0</v>
      </c>
      <c r="T1980" s="10" t="e">
        <f>Tabela2[[#This Row],[Coluna72]]</f>
        <v>#REF!</v>
      </c>
      <c r="U1980" s="10">
        <f>SUM(Tabela2[[#This Row],[Coluna9]],Tabela2[[#This Row],[Coluna10]])</f>
        <v>3200</v>
      </c>
      <c r="V1980" s="2" t="str">
        <f>Tabela2[[#This Row],[Coluna4]]</f>
        <v>24/02/2026</v>
      </c>
      <c r="W1980" s="2" t="str">
        <f>Tabela2[[#This Row],[Coluna6]]</f>
        <v>24/02/2026</v>
      </c>
    </row>
    <row r="1981" spans="2:23" x14ac:dyDescent="0.2">
      <c r="B1981" t="s">
        <v>18</v>
      </c>
      <c r="C1981" t="s">
        <v>95</v>
      </c>
      <c r="D1981" t="s">
        <v>13</v>
      </c>
      <c r="E1981" s="8" t="s">
        <v>91</v>
      </c>
      <c r="F1981" t="s">
        <v>84</v>
      </c>
      <c r="G1981" s="8" t="s">
        <v>88</v>
      </c>
      <c r="H1981" t="s">
        <v>423</v>
      </c>
      <c r="I1981" t="e">
        <f>VLOOKUP(Tabela2[[#This Row],[Coluna7]],[1]!Tabela1[#All],2,0)</f>
        <v>#REF!</v>
      </c>
      <c r="L1981">
        <v>638.88</v>
      </c>
      <c r="Q1981" s="10" t="str">
        <f>Tabela2[[#This Row],[Coluna5]]</f>
        <v>01/2026</v>
      </c>
      <c r="R1981" s="10" t="str">
        <f>IF(Tabela2[[#This Row],[Coluna9]]&gt;0,"Entrada","Saída")</f>
        <v>Saída</v>
      </c>
      <c r="S1981" s="10">
        <f>Tabela2[[#This Row],[Coluna8]]</f>
        <v>0</v>
      </c>
      <c r="T1981" s="10" t="e">
        <f>Tabela2[[#This Row],[Coluna72]]</f>
        <v>#REF!</v>
      </c>
      <c r="U1981" s="10">
        <f>SUM(Tabela2[[#This Row],[Coluna9]],Tabela2[[#This Row],[Coluna10]])</f>
        <v>638.88</v>
      </c>
      <c r="V1981" s="2" t="str">
        <f>Tabela2[[#This Row],[Coluna4]]</f>
        <v>20/01/2026</v>
      </c>
      <c r="W1981" s="2" t="str">
        <f>Tabela2[[#This Row],[Coluna6]]</f>
        <v>14/01/2026</v>
      </c>
    </row>
    <row r="1982" spans="2:23" x14ac:dyDescent="0.2">
      <c r="B1982" t="s">
        <v>18</v>
      </c>
      <c r="C1982" t="s">
        <v>95</v>
      </c>
      <c r="D1982" t="s">
        <v>13</v>
      </c>
      <c r="E1982" s="8" t="s">
        <v>810</v>
      </c>
      <c r="F1982" t="s">
        <v>750</v>
      </c>
      <c r="G1982" s="8" t="s">
        <v>810</v>
      </c>
      <c r="H1982" t="s">
        <v>423</v>
      </c>
      <c r="I1982" t="e">
        <f>VLOOKUP(Tabela2[[#This Row],[Coluna7]],[1]!Tabela1[#All],2,0)</f>
        <v>#REF!</v>
      </c>
      <c r="L1982">
        <v>144.83000000000001</v>
      </c>
      <c r="Q1982" s="10" t="str">
        <f>Tabela2[[#This Row],[Coluna5]]</f>
        <v>02/2026</v>
      </c>
      <c r="R1982" s="10" t="str">
        <f>IF(Tabela2[[#This Row],[Coluna9]]&gt;0,"Entrada","Saída")</f>
        <v>Saída</v>
      </c>
      <c r="S1982" s="10">
        <f>Tabela2[[#This Row],[Coluna8]]</f>
        <v>0</v>
      </c>
      <c r="T1982" s="10" t="e">
        <f>Tabela2[[#This Row],[Coluna72]]</f>
        <v>#REF!</v>
      </c>
      <c r="U1982" s="10">
        <f>SUM(Tabela2[[#This Row],[Coluna9]],Tabela2[[#This Row],[Coluna10]])</f>
        <v>144.83000000000001</v>
      </c>
      <c r="V1982" s="2" t="str">
        <f>Tabela2[[#This Row],[Coluna4]]</f>
        <v>02/02/2026</v>
      </c>
      <c r="W1982" s="2" t="str">
        <f>Tabela2[[#This Row],[Coluna6]]</f>
        <v>02/02/2026</v>
      </c>
    </row>
    <row r="1983" spans="2:23" x14ac:dyDescent="0.2">
      <c r="B1983" t="s">
        <v>18</v>
      </c>
      <c r="C1983" t="s">
        <v>95</v>
      </c>
      <c r="D1983" t="s">
        <v>13</v>
      </c>
      <c r="E1983" s="8" t="s">
        <v>756</v>
      </c>
      <c r="F1983" t="s">
        <v>750</v>
      </c>
      <c r="G1983" s="8" t="s">
        <v>846</v>
      </c>
      <c r="H1983" t="s">
        <v>423</v>
      </c>
      <c r="I1983" t="e">
        <f>VLOOKUP(Tabela2[[#This Row],[Coluna7]],[1]!Tabela1[#All],2,0)</f>
        <v>#REF!</v>
      </c>
      <c r="L1983">
        <v>427.31</v>
      </c>
      <c r="Q1983" s="10" t="str">
        <f>Tabela2[[#This Row],[Coluna5]]</f>
        <v>02/2026</v>
      </c>
      <c r="R1983" s="10" t="str">
        <f>IF(Tabela2[[#This Row],[Coluna9]]&gt;0,"Entrada","Saída")</f>
        <v>Saída</v>
      </c>
      <c r="S1983" s="10">
        <f>Tabela2[[#This Row],[Coluna8]]</f>
        <v>0</v>
      </c>
      <c r="T1983" s="10" t="e">
        <f>Tabela2[[#This Row],[Coluna72]]</f>
        <v>#REF!</v>
      </c>
      <c r="U1983" s="10">
        <f>SUM(Tabela2[[#This Row],[Coluna9]],Tabela2[[#This Row],[Coluna10]])</f>
        <v>427.31</v>
      </c>
      <c r="V1983" s="2" t="str">
        <f>Tabela2[[#This Row],[Coluna4]]</f>
        <v>20/02/2026</v>
      </c>
      <c r="W1983" s="2" t="str">
        <f>Tabela2[[#This Row],[Coluna6]]</f>
        <v>19/02/2026</v>
      </c>
    </row>
    <row r="1984" spans="2:23" x14ac:dyDescent="0.2">
      <c r="B1984" t="s">
        <v>27</v>
      </c>
      <c r="C1984" t="s">
        <v>95</v>
      </c>
      <c r="D1984" t="s">
        <v>13</v>
      </c>
      <c r="E1984" s="8" t="s">
        <v>91</v>
      </c>
      <c r="F1984" t="s">
        <v>84</v>
      </c>
      <c r="G1984" s="8" t="s">
        <v>88</v>
      </c>
      <c r="H1984" t="s">
        <v>430</v>
      </c>
      <c r="I1984" t="e">
        <f>VLOOKUP(Tabela2[[#This Row],[Coluna7]],[1]!Tabela1[#All],2,0)</f>
        <v>#REF!</v>
      </c>
      <c r="L1984">
        <v>4817.8599999999997</v>
      </c>
      <c r="Q1984" s="10" t="str">
        <f>Tabela2[[#This Row],[Coluna5]]</f>
        <v>01/2026</v>
      </c>
      <c r="R1984" s="10" t="str">
        <f>IF(Tabela2[[#This Row],[Coluna9]]&gt;0,"Entrada","Saída")</f>
        <v>Saída</v>
      </c>
      <c r="S1984" s="10">
        <f>Tabela2[[#This Row],[Coluna8]]</f>
        <v>0</v>
      </c>
      <c r="T1984" s="10" t="e">
        <f>Tabela2[[#This Row],[Coluna72]]</f>
        <v>#REF!</v>
      </c>
      <c r="U1984" s="10">
        <f>SUM(Tabela2[[#This Row],[Coluna9]],Tabela2[[#This Row],[Coluna10]])</f>
        <v>4817.8599999999997</v>
      </c>
      <c r="V1984" s="2" t="str">
        <f>Tabela2[[#This Row],[Coluna4]]</f>
        <v>20/01/2026</v>
      </c>
      <c r="W1984" s="2" t="str">
        <f>Tabela2[[#This Row],[Coluna6]]</f>
        <v>14/01/2026</v>
      </c>
    </row>
    <row r="1985" spans="2:23" x14ac:dyDescent="0.2">
      <c r="B1985" t="s">
        <v>27</v>
      </c>
      <c r="C1985" t="s">
        <v>95</v>
      </c>
      <c r="D1985" t="s">
        <v>13</v>
      </c>
      <c r="E1985" s="8" t="s">
        <v>91</v>
      </c>
      <c r="F1985" t="s">
        <v>84</v>
      </c>
      <c r="G1985" s="8" t="s">
        <v>91</v>
      </c>
      <c r="H1985" t="s">
        <v>431</v>
      </c>
      <c r="I1985" t="e">
        <f>VLOOKUP(Tabela2[[#This Row],[Coluna7]],[1]!Tabela1[#All],2,0)</f>
        <v>#REF!</v>
      </c>
      <c r="L1985">
        <v>8617.02</v>
      </c>
      <c r="Q1985" s="10" t="str">
        <f>Tabela2[[#This Row],[Coluna5]]</f>
        <v>01/2026</v>
      </c>
      <c r="R1985" s="10" t="str">
        <f>IF(Tabela2[[#This Row],[Coluna9]]&gt;0,"Entrada","Saída")</f>
        <v>Saída</v>
      </c>
      <c r="S1985" s="10">
        <f>Tabela2[[#This Row],[Coluna8]]</f>
        <v>0</v>
      </c>
      <c r="T1985" s="10" t="e">
        <f>Tabela2[[#This Row],[Coluna72]]</f>
        <v>#REF!</v>
      </c>
      <c r="U1985" s="10">
        <f>SUM(Tabela2[[#This Row],[Coluna9]],Tabela2[[#This Row],[Coluna10]])</f>
        <v>8617.02</v>
      </c>
      <c r="V1985" s="2" t="str">
        <f>Tabela2[[#This Row],[Coluna4]]</f>
        <v>20/01/2026</v>
      </c>
      <c r="W1985" s="2" t="str">
        <f>Tabela2[[#This Row],[Coluna6]]</f>
        <v>20/01/2026</v>
      </c>
    </row>
    <row r="1986" spans="2:23" x14ac:dyDescent="0.2">
      <c r="B1986" t="s">
        <v>18</v>
      </c>
      <c r="C1986" t="s">
        <v>95</v>
      </c>
      <c r="D1986" t="s">
        <v>13</v>
      </c>
      <c r="E1986" s="8" t="s">
        <v>810</v>
      </c>
      <c r="F1986" t="s">
        <v>750</v>
      </c>
      <c r="G1986" s="8" t="s">
        <v>810</v>
      </c>
      <c r="H1986" t="s">
        <v>430</v>
      </c>
      <c r="I1986" t="e">
        <f>VLOOKUP(Tabela2[[#This Row],[Coluna7]],[1]!Tabela1[#All],2,0)</f>
        <v>#REF!</v>
      </c>
      <c r="L1986">
        <v>139.35</v>
      </c>
      <c r="Q1986" s="10" t="str">
        <f>Tabela2[[#This Row],[Coluna5]]</f>
        <v>02/2026</v>
      </c>
      <c r="R1986" s="10" t="str">
        <f>IF(Tabela2[[#This Row],[Coluna9]]&gt;0,"Entrada","Saída")</f>
        <v>Saída</v>
      </c>
      <c r="S1986" s="10">
        <f>Tabela2[[#This Row],[Coluna8]]</f>
        <v>0</v>
      </c>
      <c r="T1986" s="10" t="e">
        <f>Tabela2[[#This Row],[Coluna72]]</f>
        <v>#REF!</v>
      </c>
      <c r="U1986" s="10">
        <f>SUM(Tabela2[[#This Row],[Coluna9]],Tabela2[[#This Row],[Coluna10]])</f>
        <v>139.35</v>
      </c>
      <c r="V1986" s="2" t="str">
        <f>Tabela2[[#This Row],[Coluna4]]</f>
        <v>02/02/2026</v>
      </c>
      <c r="W1986" s="2" t="str">
        <f>Tabela2[[#This Row],[Coluna6]]</f>
        <v>02/02/2026</v>
      </c>
    </row>
    <row r="1987" spans="2:23" x14ac:dyDescent="0.2">
      <c r="B1987" t="s">
        <v>27</v>
      </c>
      <c r="C1987" t="s">
        <v>95</v>
      </c>
      <c r="D1987" t="s">
        <v>13</v>
      </c>
      <c r="E1987" s="8" t="s">
        <v>756</v>
      </c>
      <c r="F1987" t="s">
        <v>750</v>
      </c>
      <c r="G1987" s="8" t="s">
        <v>846</v>
      </c>
      <c r="H1987" t="s">
        <v>430</v>
      </c>
      <c r="I1987" t="e">
        <f>VLOOKUP(Tabela2[[#This Row],[Coluna7]],[1]!Tabela1[#All],2,0)</f>
        <v>#REF!</v>
      </c>
      <c r="L1987">
        <v>3075.13</v>
      </c>
      <c r="Q1987" s="10" t="str">
        <f>Tabela2[[#This Row],[Coluna5]]</f>
        <v>02/2026</v>
      </c>
      <c r="R1987" s="10" t="str">
        <f>IF(Tabela2[[#This Row],[Coluna9]]&gt;0,"Entrada","Saída")</f>
        <v>Saída</v>
      </c>
      <c r="S1987" s="10">
        <f>Tabela2[[#This Row],[Coluna8]]</f>
        <v>0</v>
      </c>
      <c r="T1987" s="10" t="e">
        <f>Tabela2[[#This Row],[Coluna72]]</f>
        <v>#REF!</v>
      </c>
      <c r="U1987" s="10">
        <f>SUM(Tabela2[[#This Row],[Coluna9]],Tabela2[[#This Row],[Coluna10]])</f>
        <v>3075.13</v>
      </c>
      <c r="V1987" s="2" t="str">
        <f>Tabela2[[#This Row],[Coluna4]]</f>
        <v>20/02/2026</v>
      </c>
      <c r="W1987" s="2" t="str">
        <f>Tabela2[[#This Row],[Coluna6]]</f>
        <v>19/02/2026</v>
      </c>
    </row>
    <row r="1988" spans="2:23" x14ac:dyDescent="0.2">
      <c r="B1988" t="s">
        <v>27</v>
      </c>
      <c r="C1988" t="s">
        <v>95</v>
      </c>
      <c r="D1988" t="s">
        <v>13</v>
      </c>
      <c r="E1988" s="8" t="s">
        <v>756</v>
      </c>
      <c r="F1988" t="s">
        <v>750</v>
      </c>
      <c r="G1988" s="8" t="s">
        <v>756</v>
      </c>
      <c r="H1988" t="s">
        <v>431</v>
      </c>
      <c r="I1988" t="e">
        <f>VLOOKUP(Tabela2[[#This Row],[Coluna7]],[1]!Tabela1[#All],2,0)</f>
        <v>#REF!</v>
      </c>
      <c r="L1988">
        <v>16571.12</v>
      </c>
      <c r="Q1988" s="10" t="str">
        <f>Tabela2[[#This Row],[Coluna5]]</f>
        <v>02/2026</v>
      </c>
      <c r="R1988" s="10" t="str">
        <f>IF(Tabela2[[#This Row],[Coluna9]]&gt;0,"Entrada","Saída")</f>
        <v>Saída</v>
      </c>
      <c r="S1988" s="10">
        <f>Tabela2[[#This Row],[Coluna8]]</f>
        <v>0</v>
      </c>
      <c r="T1988" s="10" t="e">
        <f>Tabela2[[#This Row],[Coluna72]]</f>
        <v>#REF!</v>
      </c>
      <c r="U1988" s="10">
        <f>SUM(Tabela2[[#This Row],[Coluna9]],Tabela2[[#This Row],[Coluna10]])</f>
        <v>16571.12</v>
      </c>
      <c r="V1988" s="2" t="str">
        <f>Tabela2[[#This Row],[Coluna4]]</f>
        <v>20/02/2026</v>
      </c>
      <c r="W1988" s="2" t="str">
        <f>Tabela2[[#This Row],[Coluna6]]</f>
        <v>20/02/2026</v>
      </c>
    </row>
    <row r="1989" spans="2:23" x14ac:dyDescent="0.2">
      <c r="B1989" t="s">
        <v>748</v>
      </c>
      <c r="C1989" t="s">
        <v>95</v>
      </c>
      <c r="D1989" t="s">
        <v>13</v>
      </c>
      <c r="E1989" s="8" t="s">
        <v>278</v>
      </c>
      <c r="F1989" t="s">
        <v>42</v>
      </c>
      <c r="G1989" s="8" t="s">
        <v>301</v>
      </c>
      <c r="H1989" t="s">
        <v>445</v>
      </c>
      <c r="I1989" t="e">
        <f>VLOOKUP(Tabela2[[#This Row],[Coluna7]],[1]!Tabela1[#All],2,0)</f>
        <v>#REF!</v>
      </c>
      <c r="J1989" t="s">
        <v>489</v>
      </c>
      <c r="L1989">
        <v>99</v>
      </c>
      <c r="Q1989" s="10" t="str">
        <f>Tabela2[[#This Row],[Coluna5]]</f>
        <v>11/2025</v>
      </c>
      <c r="R1989" s="10" t="str">
        <f>IF(Tabela2[[#This Row],[Coluna9]]&gt;0,"Entrada","Saída")</f>
        <v>Saída</v>
      </c>
      <c r="S1989" s="10" t="str">
        <f>Tabela2[[#This Row],[Coluna8]]</f>
        <v>ADAPTA IA ( REEMBOLSAR PATRICIA )</v>
      </c>
      <c r="T1989" s="10" t="e">
        <f>Tabela2[[#This Row],[Coluna72]]</f>
        <v>#REF!</v>
      </c>
      <c r="U1989" s="10">
        <f>SUM(Tabela2[[#This Row],[Coluna9]],Tabela2[[#This Row],[Coluna10]])</f>
        <v>99</v>
      </c>
      <c r="V1989" s="2" t="str">
        <f>Tabela2[[#This Row],[Coluna4]]</f>
        <v>30/11/2025</v>
      </c>
      <c r="W1989" s="2" t="str">
        <f>Tabela2[[#This Row],[Coluna6]]</f>
        <v>05/01/2026</v>
      </c>
    </row>
    <row r="1990" spans="2:23" x14ac:dyDescent="0.2">
      <c r="B1990" t="s">
        <v>748</v>
      </c>
      <c r="C1990" t="s">
        <v>95</v>
      </c>
      <c r="D1990" t="s">
        <v>13</v>
      </c>
      <c r="E1990" s="8" t="s">
        <v>421</v>
      </c>
      <c r="F1990" t="s">
        <v>64</v>
      </c>
      <c r="G1990" s="8" t="s">
        <v>301</v>
      </c>
      <c r="H1990" t="s">
        <v>445</v>
      </c>
      <c r="I1990" t="e">
        <f>VLOOKUP(Tabela2[[#This Row],[Coluna7]],[1]!Tabela1[#All],2,0)</f>
        <v>#REF!</v>
      </c>
      <c r="J1990" t="s">
        <v>489</v>
      </c>
      <c r="L1990">
        <v>99</v>
      </c>
      <c r="Q1990" s="10" t="str">
        <f>Tabela2[[#This Row],[Coluna5]]</f>
        <v>12/2025</v>
      </c>
      <c r="R1990" s="10" t="str">
        <f>IF(Tabela2[[#This Row],[Coluna9]]&gt;0,"Entrada","Saída")</f>
        <v>Saída</v>
      </c>
      <c r="S1990" s="10" t="str">
        <f>Tabela2[[#This Row],[Coluna8]]</f>
        <v>ADAPTA IA ( REEMBOLSAR PATRICIA )</v>
      </c>
      <c r="T1990" s="10" t="e">
        <f>Tabela2[[#This Row],[Coluna72]]</f>
        <v>#REF!</v>
      </c>
      <c r="U1990" s="10">
        <f>SUM(Tabela2[[#This Row],[Coluna9]],Tabela2[[#This Row],[Coluna10]])</f>
        <v>99</v>
      </c>
      <c r="V1990" s="2" t="str">
        <f>Tabela2[[#This Row],[Coluna4]]</f>
        <v>31/12/2025</v>
      </c>
      <c r="W1990" s="2" t="str">
        <f>Tabela2[[#This Row],[Coluna6]]</f>
        <v>05/01/2026</v>
      </c>
    </row>
    <row r="1991" spans="2:23" x14ac:dyDescent="0.2">
      <c r="B1991" t="s">
        <v>18</v>
      </c>
      <c r="C1991" t="s">
        <v>95</v>
      </c>
      <c r="D1991" t="s">
        <v>13</v>
      </c>
      <c r="E1991" s="8" t="s">
        <v>338</v>
      </c>
      <c r="F1991" t="s">
        <v>84</v>
      </c>
      <c r="G1991" s="8" t="s">
        <v>89</v>
      </c>
      <c r="H1991" t="s">
        <v>490</v>
      </c>
      <c r="I1991" t="e">
        <f>VLOOKUP(Tabela2[[#This Row],[Coluna7]],[1]!Tabela1[#All],2,0)</f>
        <v>#REF!</v>
      </c>
      <c r="J1991" t="s">
        <v>491</v>
      </c>
      <c r="L1991">
        <v>45.24</v>
      </c>
      <c r="Q1991" s="10" t="str">
        <f>Tabela2[[#This Row],[Coluna5]]</f>
        <v>01/2026</v>
      </c>
      <c r="R1991" s="10" t="str">
        <f>IF(Tabela2[[#This Row],[Coluna9]]&gt;0,"Entrada","Saída")</f>
        <v>Saída</v>
      </c>
      <c r="S1991" s="10" t="str">
        <f>Tabela2[[#This Row],[Coluna8]]</f>
        <v>CLARO - JURÍDICO</v>
      </c>
      <c r="T1991" s="10" t="e">
        <f>Tabela2[[#This Row],[Coluna72]]</f>
        <v>#REF!</v>
      </c>
      <c r="U1991" s="10">
        <f>SUM(Tabela2[[#This Row],[Coluna9]],Tabela2[[#This Row],[Coluna10]])</f>
        <v>45.24</v>
      </c>
      <c r="V1991" s="2" t="str">
        <f>Tabela2[[#This Row],[Coluna4]]</f>
        <v>01/01/2026</v>
      </c>
      <c r="W1991" s="2" t="str">
        <f>Tabela2[[#This Row],[Coluna6]]</f>
        <v>15/01/2026</v>
      </c>
    </row>
    <row r="1992" spans="2:23" x14ac:dyDescent="0.2">
      <c r="B1992" t="s">
        <v>18</v>
      </c>
      <c r="C1992" t="s">
        <v>95</v>
      </c>
      <c r="D1992" t="s">
        <v>13</v>
      </c>
      <c r="E1992" s="8" t="s">
        <v>301</v>
      </c>
      <c r="F1992" t="s">
        <v>84</v>
      </c>
      <c r="G1992" s="8" t="s">
        <v>301</v>
      </c>
      <c r="H1992" t="s">
        <v>477</v>
      </c>
      <c r="I1992" t="e">
        <f>VLOOKUP(Tabela2[[#This Row],[Coluna7]],[1]!Tabela1[#All],2,0)</f>
        <v>#REF!</v>
      </c>
      <c r="J1992" t="s">
        <v>514</v>
      </c>
      <c r="L1992">
        <v>1600</v>
      </c>
      <c r="Q1992" s="10" t="str">
        <f>Tabela2[[#This Row],[Coluna5]]</f>
        <v>01/2026</v>
      </c>
      <c r="R1992" s="10" t="str">
        <f>IF(Tabela2[[#This Row],[Coluna9]]&gt;0,"Entrada","Saída")</f>
        <v>Saída</v>
      </c>
      <c r="S1992" s="10" t="str">
        <f>Tabela2[[#This Row],[Coluna8]]</f>
        <v>ALISSON TRAJANO - (13º E JANEIRO)</v>
      </c>
      <c r="T1992" s="10" t="e">
        <f>Tabela2[[#This Row],[Coluna72]]</f>
        <v>#REF!</v>
      </c>
      <c r="U1992" s="10">
        <f>SUM(Tabela2[[#This Row],[Coluna9]],Tabela2[[#This Row],[Coluna10]])</f>
        <v>1600</v>
      </c>
      <c r="V1992" s="2" t="str">
        <f>Tabela2[[#This Row],[Coluna4]]</f>
        <v>05/01/2026</v>
      </c>
      <c r="W1992" s="2" t="str">
        <f>Tabela2[[#This Row],[Coluna6]]</f>
        <v>05/01/2026</v>
      </c>
    </row>
    <row r="1993" spans="2:23" x14ac:dyDescent="0.2">
      <c r="B1993" t="s">
        <v>71</v>
      </c>
      <c r="C1993" t="s">
        <v>95</v>
      </c>
      <c r="D1993" t="s">
        <v>13</v>
      </c>
      <c r="E1993" s="8" t="s">
        <v>301</v>
      </c>
      <c r="F1993" t="s">
        <v>84</v>
      </c>
      <c r="G1993" s="8" t="s">
        <v>515</v>
      </c>
      <c r="H1993" t="s">
        <v>504</v>
      </c>
      <c r="I1993" t="e">
        <f>VLOOKUP(Tabela2[[#This Row],[Coluna7]],[1]!Tabela1[#All],2,0)</f>
        <v>#REF!</v>
      </c>
      <c r="L1993">
        <v>3000</v>
      </c>
      <c r="Q1993" s="10" t="str">
        <f>Tabela2[[#This Row],[Coluna5]]</f>
        <v>01/2026</v>
      </c>
      <c r="R1993" s="10" t="str">
        <f>IF(Tabela2[[#This Row],[Coluna9]]&gt;0,"Entrada","Saída")</f>
        <v>Saída</v>
      </c>
      <c r="S1993" s="10">
        <f>Tabela2[[#This Row],[Coluna8]]</f>
        <v>0</v>
      </c>
      <c r="T1993" s="10" t="e">
        <f>Tabela2[[#This Row],[Coluna72]]</f>
        <v>#REF!</v>
      </c>
      <c r="U1993" s="10">
        <f>SUM(Tabela2[[#This Row],[Coluna9]],Tabela2[[#This Row],[Coluna10]])</f>
        <v>3000</v>
      </c>
      <c r="V1993" s="2" t="str">
        <f>Tabela2[[#This Row],[Coluna4]]</f>
        <v>05/01/2026</v>
      </c>
      <c r="W1993" s="2" t="str">
        <f>Tabela2[[#This Row],[Coluna6]]</f>
        <v>17/01/2026</v>
      </c>
    </row>
    <row r="1994" spans="2:23" x14ac:dyDescent="0.2">
      <c r="B1994" t="s">
        <v>748</v>
      </c>
      <c r="C1994" t="s">
        <v>95</v>
      </c>
      <c r="D1994" t="s">
        <v>13</v>
      </c>
      <c r="E1994" s="8" t="s">
        <v>83</v>
      </c>
      <c r="F1994" t="s">
        <v>84</v>
      </c>
      <c r="G1994" s="8" t="s">
        <v>85</v>
      </c>
      <c r="H1994" t="s">
        <v>440</v>
      </c>
      <c r="I1994" t="e">
        <f>VLOOKUP(Tabela2[[#This Row],[Coluna7]],[1]!Tabela1[#All],2,0)</f>
        <v>#REF!</v>
      </c>
      <c r="J1994" t="s">
        <v>441</v>
      </c>
      <c r="L1994">
        <v>163</v>
      </c>
      <c r="Q1994" s="10" t="str">
        <f>Tabela2[[#This Row],[Coluna5]]</f>
        <v>01/2026</v>
      </c>
      <c r="R1994" s="10" t="str">
        <f>IF(Tabela2[[#This Row],[Coluna9]]&gt;0,"Entrada","Saída")</f>
        <v>Saída</v>
      </c>
      <c r="S1994" s="10" t="str">
        <f>Tabela2[[#This Row],[Coluna8]]</f>
        <v>ENERGISA</v>
      </c>
      <c r="T1994" s="10" t="e">
        <f>Tabela2[[#This Row],[Coluna72]]</f>
        <v>#REF!</v>
      </c>
      <c r="U1994" s="10">
        <f>SUM(Tabela2[[#This Row],[Coluna9]],Tabela2[[#This Row],[Coluna10]])</f>
        <v>163</v>
      </c>
      <c r="V1994" s="2" t="str">
        <f>Tabela2[[#This Row],[Coluna4]]</f>
        <v>06/01/2026</v>
      </c>
      <c r="W1994" s="2" t="str">
        <f>Tabela2[[#This Row],[Coluna6]]</f>
        <v>08/01/2026</v>
      </c>
    </row>
    <row r="1995" spans="2:23" x14ac:dyDescent="0.2">
      <c r="B1995" t="s">
        <v>748</v>
      </c>
      <c r="C1995" t="s">
        <v>95</v>
      </c>
      <c r="D1995" t="s">
        <v>13</v>
      </c>
      <c r="E1995" s="8" t="s">
        <v>83</v>
      </c>
      <c r="F1995" t="s">
        <v>84</v>
      </c>
      <c r="G1995" s="8" t="s">
        <v>83</v>
      </c>
      <c r="H1995" t="s">
        <v>443</v>
      </c>
      <c r="I1995" t="e">
        <f>VLOOKUP(Tabela2[[#This Row],[Coluna7]],[1]!Tabela1[#All],2,0)</f>
        <v>#REF!</v>
      </c>
      <c r="J1995" t="s">
        <v>444</v>
      </c>
      <c r="L1995">
        <v>249.66</v>
      </c>
      <c r="Q1995" s="10" t="str">
        <f>Tabela2[[#This Row],[Coluna5]]</f>
        <v>01/2026</v>
      </c>
      <c r="R1995" s="10" t="str">
        <f>IF(Tabela2[[#This Row],[Coluna9]]&gt;0,"Entrada","Saída")</f>
        <v>Saída</v>
      </c>
      <c r="S1995" s="10" t="str">
        <f>Tabela2[[#This Row],[Coluna8]]</f>
        <v>GELADEIRA LEGAL</v>
      </c>
      <c r="T1995" s="10" t="e">
        <f>Tabela2[[#This Row],[Coluna72]]</f>
        <v>#REF!</v>
      </c>
      <c r="U1995" s="10">
        <f>SUM(Tabela2[[#This Row],[Coluna9]],Tabela2[[#This Row],[Coluna10]])</f>
        <v>249.66</v>
      </c>
      <c r="V1995" s="2" t="str">
        <f>Tabela2[[#This Row],[Coluna4]]</f>
        <v>06/01/2026</v>
      </c>
      <c r="W1995" s="2" t="str">
        <f>Tabela2[[#This Row],[Coluna6]]</f>
        <v>06/01/2026</v>
      </c>
    </row>
    <row r="1996" spans="2:23" x14ac:dyDescent="0.2">
      <c r="B1996" t="s">
        <v>748</v>
      </c>
      <c r="C1996" t="s">
        <v>95</v>
      </c>
      <c r="D1996" t="s">
        <v>13</v>
      </c>
      <c r="E1996" s="8" t="s">
        <v>83</v>
      </c>
      <c r="F1996" t="s">
        <v>84</v>
      </c>
      <c r="G1996" s="8" t="s">
        <v>83</v>
      </c>
      <c r="H1996" t="s">
        <v>438</v>
      </c>
      <c r="I1996" t="e">
        <f>VLOOKUP(Tabela2[[#This Row],[Coluna7]],[1]!Tabela1[#All],2,0)</f>
        <v>#REF!</v>
      </c>
      <c r="J1996" t="s">
        <v>516</v>
      </c>
      <c r="L1996">
        <v>450</v>
      </c>
      <c r="Q1996" s="10" t="str">
        <f>Tabela2[[#This Row],[Coluna5]]</f>
        <v>01/2026</v>
      </c>
      <c r="R1996" s="10" t="str">
        <f>IF(Tabela2[[#This Row],[Coluna9]]&gt;0,"Entrada","Saída")</f>
        <v>Saída</v>
      </c>
      <c r="S1996" s="10" t="str">
        <f>Tabela2[[#This Row],[Coluna8]]</f>
        <v>EDEN DA SILVA - PC DE PATRÍCIA</v>
      </c>
      <c r="T1996" s="10" t="e">
        <f>Tabela2[[#This Row],[Coluna72]]</f>
        <v>#REF!</v>
      </c>
      <c r="U1996" s="10">
        <f>SUM(Tabela2[[#This Row],[Coluna9]],Tabela2[[#This Row],[Coluna10]])</f>
        <v>450</v>
      </c>
      <c r="V1996" s="2" t="str">
        <f>Tabela2[[#This Row],[Coluna4]]</f>
        <v>06/01/2026</v>
      </c>
      <c r="W1996" s="2" t="str">
        <f>Tabela2[[#This Row],[Coluna6]]</f>
        <v>06/01/2026</v>
      </c>
    </row>
    <row r="1997" spans="2:23" x14ac:dyDescent="0.2">
      <c r="B1997" t="s">
        <v>18</v>
      </c>
      <c r="C1997" t="s">
        <v>95</v>
      </c>
      <c r="D1997" t="s">
        <v>13</v>
      </c>
      <c r="E1997" s="8" t="s">
        <v>87</v>
      </c>
      <c r="F1997" t="s">
        <v>84</v>
      </c>
      <c r="G1997" s="8" t="s">
        <v>87</v>
      </c>
      <c r="H1997" t="s">
        <v>488</v>
      </c>
      <c r="I1997" t="e">
        <f>VLOOKUP(Tabela2[[#This Row],[Coluna7]],[1]!Tabela1[#All],2,0)</f>
        <v>#REF!</v>
      </c>
      <c r="L1997">
        <v>120</v>
      </c>
      <c r="N1997" t="s">
        <v>517</v>
      </c>
      <c r="Q1997" s="10" t="str">
        <f>Tabela2[[#This Row],[Coluna5]]</f>
        <v>01/2026</v>
      </c>
      <c r="R1997" s="10" t="str">
        <f>IF(Tabela2[[#This Row],[Coluna9]]&gt;0,"Entrada","Saída")</f>
        <v>Saída</v>
      </c>
      <c r="S1997" s="10">
        <f>Tabela2[[#This Row],[Coluna8]]</f>
        <v>0</v>
      </c>
      <c r="T1997" s="10" t="e">
        <f>Tabela2[[#This Row],[Coluna72]]</f>
        <v>#REF!</v>
      </c>
      <c r="U1997" s="10">
        <f>SUM(Tabela2[[#This Row],[Coluna9]],Tabela2[[#This Row],[Coluna10]])</f>
        <v>120</v>
      </c>
      <c r="V1997" s="2" t="str">
        <f>Tabela2[[#This Row],[Coluna4]]</f>
        <v>07/01/2026</v>
      </c>
      <c r="W1997" s="2" t="str">
        <f>Tabela2[[#This Row],[Coluna6]]</f>
        <v>07/01/2026</v>
      </c>
    </row>
    <row r="1998" spans="2:23" x14ac:dyDescent="0.2">
      <c r="B1998" t="s">
        <v>748</v>
      </c>
      <c r="C1998" t="s">
        <v>95</v>
      </c>
      <c r="D1998" t="s">
        <v>13</v>
      </c>
      <c r="E1998" s="8" t="s">
        <v>85</v>
      </c>
      <c r="F1998" t="s">
        <v>84</v>
      </c>
      <c r="G1998" s="8" t="s">
        <v>85</v>
      </c>
      <c r="H1998" t="s">
        <v>488</v>
      </c>
      <c r="I1998" t="e">
        <f>VLOOKUP(Tabela2[[#This Row],[Coluna7]],[1]!Tabela1[#All],2,0)</f>
        <v>#REF!</v>
      </c>
      <c r="L1998">
        <v>120</v>
      </c>
      <c r="N1998" t="s">
        <v>499</v>
      </c>
      <c r="Q1998" s="10" t="str">
        <f>Tabela2[[#This Row],[Coluna5]]</f>
        <v>01/2026</v>
      </c>
      <c r="R1998" s="10" t="str">
        <f>IF(Tabela2[[#This Row],[Coluna9]]&gt;0,"Entrada","Saída")</f>
        <v>Saída</v>
      </c>
      <c r="S1998" s="10">
        <f>Tabela2[[#This Row],[Coluna8]]</f>
        <v>0</v>
      </c>
      <c r="T1998" s="10" t="e">
        <f>Tabela2[[#This Row],[Coluna72]]</f>
        <v>#REF!</v>
      </c>
      <c r="U1998" s="10">
        <f>SUM(Tabela2[[#This Row],[Coluna9]],Tabela2[[#This Row],[Coluna10]])</f>
        <v>120</v>
      </c>
      <c r="V1998" s="2" t="str">
        <f>Tabela2[[#This Row],[Coluna4]]</f>
        <v>08/01/2026</v>
      </c>
      <c r="W1998" s="2" t="str">
        <f>Tabela2[[#This Row],[Coluna6]]</f>
        <v>08/01/2026</v>
      </c>
    </row>
    <row r="1999" spans="2:23" x14ac:dyDescent="0.2">
      <c r="B1999" t="s">
        <v>748</v>
      </c>
      <c r="C1999" t="s">
        <v>95</v>
      </c>
      <c r="D1999" t="s">
        <v>13</v>
      </c>
      <c r="E1999" s="8" t="s">
        <v>85</v>
      </c>
      <c r="F1999" t="s">
        <v>84</v>
      </c>
      <c r="G1999" s="8" t="s">
        <v>346</v>
      </c>
      <c r="H1999" t="s">
        <v>442</v>
      </c>
      <c r="I1999" t="e">
        <f>VLOOKUP(Tabela2[[#This Row],[Coluna7]],[1]!Tabela1[#All],2,0)</f>
        <v>#REF!</v>
      </c>
      <c r="J1999" t="s">
        <v>283</v>
      </c>
      <c r="L1999">
        <v>660.79</v>
      </c>
      <c r="Q1999" s="10" t="str">
        <f>Tabela2[[#This Row],[Coluna5]]</f>
        <v>01/2026</v>
      </c>
      <c r="R1999" s="10" t="str">
        <f>IF(Tabela2[[#This Row],[Coluna9]]&gt;0,"Entrada","Saída")</f>
        <v>Saída</v>
      </c>
      <c r="S1999" s="10" t="str">
        <f>Tabela2[[#This Row],[Coluna8]]</f>
        <v>1/10</v>
      </c>
      <c r="T1999" s="10" t="e">
        <f>Tabela2[[#This Row],[Coluna72]]</f>
        <v>#REF!</v>
      </c>
      <c r="U1999" s="10">
        <f>SUM(Tabela2[[#This Row],[Coluna9]],Tabela2[[#This Row],[Coluna10]])</f>
        <v>660.79</v>
      </c>
      <c r="V1999" s="2" t="str">
        <f>Tabela2[[#This Row],[Coluna4]]</f>
        <v>08/01/2026</v>
      </c>
      <c r="W1999" s="2" t="str">
        <f>Tabela2[[#This Row],[Coluna6]]</f>
        <v>12/01/2026</v>
      </c>
    </row>
    <row r="2000" spans="2:23" x14ac:dyDescent="0.2">
      <c r="B2000" t="s">
        <v>71</v>
      </c>
      <c r="C2000" t="s">
        <v>95</v>
      </c>
      <c r="D2000" t="s">
        <v>13</v>
      </c>
      <c r="E2000" s="8" t="s">
        <v>351</v>
      </c>
      <c r="F2000" t="s">
        <v>84</v>
      </c>
      <c r="G2000" s="8" t="s">
        <v>352</v>
      </c>
      <c r="H2000" t="s">
        <v>445</v>
      </c>
      <c r="I2000" t="e">
        <f>VLOOKUP(Tabela2[[#This Row],[Coluna7]],[1]!Tabela1[#All],2,0)</f>
        <v>#REF!</v>
      </c>
      <c r="J2000" t="s">
        <v>518</v>
      </c>
      <c r="L2000">
        <v>1500</v>
      </c>
      <c r="Q2000" s="10" t="str">
        <f>Tabela2[[#This Row],[Coluna5]]</f>
        <v>01/2026</v>
      </c>
      <c r="R2000" s="10" t="str">
        <f>IF(Tabela2[[#This Row],[Coluna9]]&gt;0,"Entrada","Saída")</f>
        <v>Saída</v>
      </c>
      <c r="S2000" s="10" t="str">
        <f>Tabela2[[#This Row],[Coluna8]]</f>
        <v>7/9 SISTEMA FINANCEIRO</v>
      </c>
      <c r="T2000" s="10" t="e">
        <f>Tabela2[[#This Row],[Coluna72]]</f>
        <v>#REF!</v>
      </c>
      <c r="U2000" s="10">
        <f>SUM(Tabela2[[#This Row],[Coluna9]],Tabela2[[#This Row],[Coluna10]])</f>
        <v>1500</v>
      </c>
      <c r="V2000" s="2" t="str">
        <f>Tabela2[[#This Row],[Coluna4]]</f>
        <v>10/01/2026</v>
      </c>
      <c r="W2000" s="2" t="str">
        <f>Tabela2[[#This Row],[Coluna6]]</f>
        <v>16/01/2026</v>
      </c>
    </row>
    <row r="2001" spans="2:23" x14ac:dyDescent="0.2">
      <c r="B2001" t="s">
        <v>748</v>
      </c>
      <c r="C2001" t="s">
        <v>95</v>
      </c>
      <c r="D2001" t="s">
        <v>13</v>
      </c>
      <c r="E2001" s="8" t="s">
        <v>351</v>
      </c>
      <c r="F2001" t="s">
        <v>84</v>
      </c>
      <c r="G2001" s="8" t="s">
        <v>351</v>
      </c>
      <c r="H2001" t="s">
        <v>443</v>
      </c>
      <c r="I2001" t="e">
        <f>VLOOKUP(Tabela2[[#This Row],[Coluna7]],[1]!Tabela1[#All],2,0)</f>
        <v>#REF!</v>
      </c>
      <c r="J2001" t="s">
        <v>519</v>
      </c>
      <c r="L2001">
        <v>17</v>
      </c>
      <c r="Q2001" s="10" t="str">
        <f>Tabela2[[#This Row],[Coluna5]]</f>
        <v>01/2026</v>
      </c>
      <c r="R2001" s="10" t="str">
        <f>IF(Tabela2[[#This Row],[Coluna9]]&gt;0,"Entrada","Saída")</f>
        <v>Saída</v>
      </c>
      <c r="S2001" s="10" t="str">
        <f>Tabela2[[#This Row],[Coluna8]]</f>
        <v>BOLO</v>
      </c>
      <c r="T2001" s="10" t="e">
        <f>Tabela2[[#This Row],[Coluna72]]</f>
        <v>#REF!</v>
      </c>
      <c r="U2001" s="10">
        <f>SUM(Tabela2[[#This Row],[Coluna9]],Tabela2[[#This Row],[Coluna10]])</f>
        <v>17</v>
      </c>
      <c r="V2001" s="2" t="str">
        <f>Tabela2[[#This Row],[Coluna4]]</f>
        <v>10/01/2026</v>
      </c>
      <c r="W2001" s="2" t="str">
        <f>Tabela2[[#This Row],[Coluna6]]</f>
        <v>10/01/2026</v>
      </c>
    </row>
    <row r="2002" spans="2:23" x14ac:dyDescent="0.2">
      <c r="B2002" t="s">
        <v>71</v>
      </c>
      <c r="C2002" t="s">
        <v>95</v>
      </c>
      <c r="D2002" t="s">
        <v>13</v>
      </c>
      <c r="E2002" s="8" t="s">
        <v>346</v>
      </c>
      <c r="F2002" t="s">
        <v>84</v>
      </c>
      <c r="G2002" s="8" t="s">
        <v>346</v>
      </c>
      <c r="H2002" t="s">
        <v>445</v>
      </c>
      <c r="I2002" t="e">
        <f>VLOOKUP(Tabela2[[#This Row],[Coluna7]],[1]!Tabela1[#All],2,0)</f>
        <v>#REF!</v>
      </c>
      <c r="J2002" t="s">
        <v>447</v>
      </c>
      <c r="L2002">
        <v>385</v>
      </c>
      <c r="Q2002" s="10" t="str">
        <f>Tabela2[[#This Row],[Coluna5]]</f>
        <v>01/2026</v>
      </c>
      <c r="R2002" s="10" t="str">
        <f>IF(Tabela2[[#This Row],[Coluna9]]&gt;0,"Entrada","Saída")</f>
        <v>Saída</v>
      </c>
      <c r="S2002" s="10" t="str">
        <f>Tabela2[[#This Row],[Coluna8]]</f>
        <v>LEGALMAIL</v>
      </c>
      <c r="T2002" s="10" t="e">
        <f>Tabela2[[#This Row],[Coluna72]]</f>
        <v>#REF!</v>
      </c>
      <c r="U2002" s="10">
        <f>SUM(Tabela2[[#This Row],[Coluna9]],Tabela2[[#This Row],[Coluna10]])</f>
        <v>385</v>
      </c>
      <c r="V2002" s="2" t="str">
        <f>Tabela2[[#This Row],[Coluna4]]</f>
        <v>12/01/2026</v>
      </c>
      <c r="W2002" s="2" t="str">
        <f>Tabela2[[#This Row],[Coluna6]]</f>
        <v>12/01/2026</v>
      </c>
    </row>
    <row r="2003" spans="2:23" x14ac:dyDescent="0.2">
      <c r="B2003" t="s">
        <v>748</v>
      </c>
      <c r="C2003" t="s">
        <v>95</v>
      </c>
      <c r="D2003" t="s">
        <v>13</v>
      </c>
      <c r="E2003" s="8" t="s">
        <v>346</v>
      </c>
      <c r="F2003" t="s">
        <v>84</v>
      </c>
      <c r="G2003" s="8" t="s">
        <v>346</v>
      </c>
      <c r="H2003" t="s">
        <v>451</v>
      </c>
      <c r="I2003" t="e">
        <f>VLOOKUP(Tabela2[[#This Row],[Coluna7]],[1]!Tabela1[#All],2,0)</f>
        <v>#REF!</v>
      </c>
      <c r="J2003" t="s">
        <v>452</v>
      </c>
      <c r="L2003">
        <v>154.76</v>
      </c>
      <c r="Q2003" s="10" t="str">
        <f>Tabela2[[#This Row],[Coluna5]]</f>
        <v>01/2026</v>
      </c>
      <c r="R2003" s="10" t="str">
        <f>IF(Tabela2[[#This Row],[Coluna9]]&gt;0,"Entrada","Saída")</f>
        <v>Saída</v>
      </c>
      <c r="S2003" s="10" t="str">
        <f>Tabela2[[#This Row],[Coluna8]]</f>
        <v>CLARO</v>
      </c>
      <c r="T2003" s="10" t="e">
        <f>Tabela2[[#This Row],[Coluna72]]</f>
        <v>#REF!</v>
      </c>
      <c r="U2003" s="10">
        <f>SUM(Tabela2[[#This Row],[Coluna9]],Tabela2[[#This Row],[Coluna10]])</f>
        <v>154.76</v>
      </c>
      <c r="V2003" s="2" t="str">
        <f>Tabela2[[#This Row],[Coluna4]]</f>
        <v>12/01/2026</v>
      </c>
      <c r="W2003" s="2" t="str">
        <f>Tabela2[[#This Row],[Coluna6]]</f>
        <v>12/01/2026</v>
      </c>
    </row>
    <row r="2004" spans="2:23" x14ac:dyDescent="0.2">
      <c r="B2004" t="s">
        <v>748</v>
      </c>
      <c r="C2004" t="s">
        <v>95</v>
      </c>
      <c r="D2004" t="s">
        <v>13</v>
      </c>
      <c r="E2004" s="8" t="s">
        <v>346</v>
      </c>
      <c r="F2004" t="s">
        <v>84</v>
      </c>
      <c r="G2004" s="8" t="s">
        <v>346</v>
      </c>
      <c r="H2004" t="s">
        <v>488</v>
      </c>
      <c r="I2004" t="e">
        <f>VLOOKUP(Tabela2[[#This Row],[Coluna7]],[1]!Tabela1[#All],2,0)</f>
        <v>#REF!</v>
      </c>
      <c r="J2004" t="s">
        <v>520</v>
      </c>
      <c r="L2004">
        <v>30</v>
      </c>
      <c r="N2004" t="s">
        <v>517</v>
      </c>
      <c r="Q2004" s="10" t="str">
        <f>Tabela2[[#This Row],[Coluna5]]</f>
        <v>01/2026</v>
      </c>
      <c r="R2004" s="10" t="str">
        <f>IF(Tabela2[[#This Row],[Coluna9]]&gt;0,"Entrada","Saída")</f>
        <v>Saída</v>
      </c>
      <c r="S2004" s="10" t="str">
        <f>Tabela2[[#This Row],[Coluna8]]</f>
        <v>ATENDIMENTO</v>
      </c>
      <c r="T2004" s="10" t="e">
        <f>Tabela2[[#This Row],[Coluna72]]</f>
        <v>#REF!</v>
      </c>
      <c r="U2004" s="10">
        <f>SUM(Tabela2[[#This Row],[Coluna9]],Tabela2[[#This Row],[Coluna10]])</f>
        <v>30</v>
      </c>
      <c r="V2004" s="2" t="str">
        <f>Tabela2[[#This Row],[Coluna4]]</f>
        <v>12/01/2026</v>
      </c>
      <c r="W2004" s="2" t="str">
        <f>Tabela2[[#This Row],[Coluna6]]</f>
        <v>12/01/2026</v>
      </c>
    </row>
    <row r="2005" spans="2:23" x14ac:dyDescent="0.2">
      <c r="B2005" t="s">
        <v>748</v>
      </c>
      <c r="C2005" t="s">
        <v>95</v>
      </c>
      <c r="D2005" t="s">
        <v>13</v>
      </c>
      <c r="E2005" s="8" t="s">
        <v>346</v>
      </c>
      <c r="F2005" t="s">
        <v>84</v>
      </c>
      <c r="G2005" s="8" t="s">
        <v>346</v>
      </c>
      <c r="H2005" t="s">
        <v>469</v>
      </c>
      <c r="I2005" t="e">
        <f>VLOOKUP(Tabela2[[#This Row],[Coluna7]],[1]!Tabela1[#All],2,0)</f>
        <v>#REF!</v>
      </c>
      <c r="J2005" t="s">
        <v>521</v>
      </c>
      <c r="L2005">
        <v>58</v>
      </c>
      <c r="Q2005" s="10" t="str">
        <f>Tabela2[[#This Row],[Coluna5]]</f>
        <v>01/2026</v>
      </c>
      <c r="R2005" s="10" t="str">
        <f>IF(Tabela2[[#This Row],[Coluna9]]&gt;0,"Entrada","Saída")</f>
        <v>Saída</v>
      </c>
      <c r="S2005" s="10" t="str">
        <f>Tabela2[[#This Row],[Coluna8]]</f>
        <v>RESMAS (VICTOR LUIS)</v>
      </c>
      <c r="T2005" s="10" t="e">
        <f>Tabela2[[#This Row],[Coluna72]]</f>
        <v>#REF!</v>
      </c>
      <c r="U2005" s="10">
        <f>SUM(Tabela2[[#This Row],[Coluna9]],Tabela2[[#This Row],[Coluna10]])</f>
        <v>58</v>
      </c>
      <c r="V2005" s="2" t="str">
        <f>Tabela2[[#This Row],[Coluna4]]</f>
        <v>12/01/2026</v>
      </c>
      <c r="W2005" s="2" t="str">
        <f>Tabela2[[#This Row],[Coluna6]]</f>
        <v>12/01/2026</v>
      </c>
    </row>
    <row r="2006" spans="2:23" x14ac:dyDescent="0.2">
      <c r="B2006" t="s">
        <v>71</v>
      </c>
      <c r="C2006" t="s">
        <v>95</v>
      </c>
      <c r="D2006" t="s">
        <v>13</v>
      </c>
      <c r="E2006" s="8" t="s">
        <v>346</v>
      </c>
      <c r="F2006" t="s">
        <v>84</v>
      </c>
      <c r="G2006" s="8" t="s">
        <v>346</v>
      </c>
      <c r="H2006" t="s">
        <v>488</v>
      </c>
      <c r="I2006" t="e">
        <f>VLOOKUP(Tabela2[[#This Row],[Coluna7]],[1]!Tabela1[#All],2,0)</f>
        <v>#REF!</v>
      </c>
      <c r="J2006" t="s">
        <v>522</v>
      </c>
      <c r="L2006">
        <v>150</v>
      </c>
      <c r="N2006" t="s">
        <v>523</v>
      </c>
      <c r="Q2006" s="10" t="str">
        <f>Tabela2[[#This Row],[Coluna5]]</f>
        <v>01/2026</v>
      </c>
      <c r="R2006" s="10" t="str">
        <f>IF(Tabela2[[#This Row],[Coluna9]]&gt;0,"Entrada","Saída")</f>
        <v>Saída</v>
      </c>
      <c r="S2006" s="10" t="str">
        <f>Tabela2[[#This Row],[Coluna8]]</f>
        <v>SEMANAL DE GASOLINA</v>
      </c>
      <c r="T2006" s="10" t="e">
        <f>Tabela2[[#This Row],[Coluna72]]</f>
        <v>#REF!</v>
      </c>
      <c r="U2006" s="10">
        <f>SUM(Tabela2[[#This Row],[Coluna9]],Tabela2[[#This Row],[Coluna10]])</f>
        <v>150</v>
      </c>
      <c r="V2006" s="2" t="str">
        <f>Tabela2[[#This Row],[Coluna4]]</f>
        <v>12/01/2026</v>
      </c>
      <c r="W2006" s="2" t="str">
        <f>Tabela2[[#This Row],[Coluna6]]</f>
        <v>12/01/2026</v>
      </c>
    </row>
    <row r="2007" spans="2:23" x14ac:dyDescent="0.2">
      <c r="B2007" t="s">
        <v>27</v>
      </c>
      <c r="C2007" t="s">
        <v>95</v>
      </c>
      <c r="D2007" t="s">
        <v>13</v>
      </c>
      <c r="E2007" s="8" t="s">
        <v>86</v>
      </c>
      <c r="F2007" t="s">
        <v>84</v>
      </c>
      <c r="G2007" s="8" t="s">
        <v>86</v>
      </c>
      <c r="H2007" t="s">
        <v>442</v>
      </c>
      <c r="I2007" t="e">
        <f>VLOOKUP(Tabela2[[#This Row],[Coluna7]],[1]!Tabela1[#All],2,0)</f>
        <v>#REF!</v>
      </c>
      <c r="J2007" t="s">
        <v>453</v>
      </c>
      <c r="L2007">
        <v>1032.21</v>
      </c>
      <c r="Q2007" s="10" t="str">
        <f>Tabela2[[#This Row],[Coluna5]]</f>
        <v>01/2026</v>
      </c>
      <c r="R2007" s="10" t="str">
        <f>IF(Tabela2[[#This Row],[Coluna9]]&gt;0,"Entrada","Saída")</f>
        <v>Saída</v>
      </c>
      <c r="S2007" s="10" t="str">
        <f>Tabela2[[#This Row],[Coluna8]]</f>
        <v>CAPITAL DE GIRO</v>
      </c>
      <c r="T2007" s="10" t="e">
        <f>Tabela2[[#This Row],[Coluna72]]</f>
        <v>#REF!</v>
      </c>
      <c r="U2007" s="10">
        <f>SUM(Tabela2[[#This Row],[Coluna9]],Tabela2[[#This Row],[Coluna10]])</f>
        <v>1032.21</v>
      </c>
      <c r="V2007" s="2" t="str">
        <f>Tabela2[[#This Row],[Coluna4]]</f>
        <v>13/01/2026</v>
      </c>
      <c r="W2007" s="2" t="str">
        <f>Tabela2[[#This Row],[Coluna6]]</f>
        <v>13/01/2026</v>
      </c>
    </row>
    <row r="2008" spans="2:23" x14ac:dyDescent="0.2">
      <c r="B2008" t="s">
        <v>27</v>
      </c>
      <c r="C2008" t="s">
        <v>95</v>
      </c>
      <c r="D2008" t="s">
        <v>13</v>
      </c>
      <c r="E2008" s="8" t="s">
        <v>88</v>
      </c>
      <c r="F2008" t="s">
        <v>84</v>
      </c>
      <c r="G2008" s="8" t="s">
        <v>88</v>
      </c>
      <c r="H2008" t="s">
        <v>445</v>
      </c>
      <c r="I2008" t="e">
        <f>VLOOKUP(Tabela2[[#This Row],[Coluna7]],[1]!Tabela1[#All],2,0)</f>
        <v>#REF!</v>
      </c>
      <c r="J2008" t="s">
        <v>456</v>
      </c>
      <c r="L2008">
        <v>397</v>
      </c>
      <c r="Q2008" s="10" t="str">
        <f>Tabela2[[#This Row],[Coluna5]]</f>
        <v>01/2026</v>
      </c>
      <c r="R2008" s="10" t="str">
        <f>IF(Tabela2[[#This Row],[Coluna9]]&gt;0,"Entrada","Saída")</f>
        <v>Saída</v>
      </c>
      <c r="S2008" s="10" t="str">
        <f>Tabela2[[#This Row],[Coluna8]]</f>
        <v>ZAP</v>
      </c>
      <c r="T2008" s="10" t="e">
        <f>Tabela2[[#This Row],[Coluna72]]</f>
        <v>#REF!</v>
      </c>
      <c r="U2008" s="10">
        <f>SUM(Tabela2[[#This Row],[Coluna9]],Tabela2[[#This Row],[Coluna10]])</f>
        <v>397</v>
      </c>
      <c r="V2008" s="2" t="str">
        <f>Tabela2[[#This Row],[Coluna4]]</f>
        <v>14/01/2026</v>
      </c>
      <c r="W2008" s="2" t="str">
        <f>Tabela2[[#This Row],[Coluna6]]</f>
        <v>14/01/2026</v>
      </c>
    </row>
    <row r="2009" spans="2:23" x14ac:dyDescent="0.2">
      <c r="B2009" t="s">
        <v>71</v>
      </c>
      <c r="C2009" t="s">
        <v>95</v>
      </c>
      <c r="D2009" t="s">
        <v>13</v>
      </c>
      <c r="E2009" s="8" t="s">
        <v>88</v>
      </c>
      <c r="F2009" t="s">
        <v>84</v>
      </c>
      <c r="G2009" s="8" t="s">
        <v>88</v>
      </c>
      <c r="H2009" t="s">
        <v>438</v>
      </c>
      <c r="I2009" t="e">
        <f>VLOOKUP(Tabela2[[#This Row],[Coluna7]],[1]!Tabela1[#All],2,0)</f>
        <v>#REF!</v>
      </c>
      <c r="J2009" t="s">
        <v>524</v>
      </c>
      <c r="L2009">
        <v>1000</v>
      </c>
      <c r="Q2009" s="10" t="str">
        <f>Tabela2[[#This Row],[Coluna5]]</f>
        <v>01/2026</v>
      </c>
      <c r="R2009" s="10" t="str">
        <f>IF(Tabela2[[#This Row],[Coluna9]]&gt;0,"Entrada","Saída")</f>
        <v>Saída</v>
      </c>
      <c r="S2009" s="10" t="str">
        <f>Tabela2[[#This Row],[Coluna8]]</f>
        <v>INSTALAÇÃO E MANUTENÇÃO</v>
      </c>
      <c r="T2009" s="10" t="e">
        <f>Tabela2[[#This Row],[Coluna72]]</f>
        <v>#REF!</v>
      </c>
      <c r="U2009" s="10">
        <f>SUM(Tabela2[[#This Row],[Coluna9]],Tabela2[[#This Row],[Coluna10]])</f>
        <v>1000</v>
      </c>
      <c r="V2009" s="2" t="str">
        <f>Tabela2[[#This Row],[Coluna4]]</f>
        <v>14/01/2026</v>
      </c>
      <c r="W2009" s="2" t="str">
        <f>Tabela2[[#This Row],[Coluna6]]</f>
        <v>14/01/2026</v>
      </c>
    </row>
    <row r="2010" spans="2:23" x14ac:dyDescent="0.2">
      <c r="B2010" t="s">
        <v>18</v>
      </c>
      <c r="C2010" t="s">
        <v>95</v>
      </c>
      <c r="D2010" t="s">
        <v>13</v>
      </c>
      <c r="E2010" s="8" t="s">
        <v>88</v>
      </c>
      <c r="F2010" t="s">
        <v>84</v>
      </c>
      <c r="G2010" s="8" t="s">
        <v>88</v>
      </c>
      <c r="H2010" t="s">
        <v>438</v>
      </c>
      <c r="I2010" t="e">
        <f>VLOOKUP(Tabela2[[#This Row],[Coluna7]],[1]!Tabela1[#All],2,0)</f>
        <v>#REF!</v>
      </c>
      <c r="J2010" t="s">
        <v>525</v>
      </c>
      <c r="L2010">
        <v>90</v>
      </c>
      <c r="Q2010" s="10" t="str">
        <f>Tabela2[[#This Row],[Coluna5]]</f>
        <v>01/2026</v>
      </c>
      <c r="R2010" s="10" t="str">
        <f>IF(Tabela2[[#This Row],[Coluna9]]&gt;0,"Entrada","Saída")</f>
        <v>Saída</v>
      </c>
      <c r="S2010" s="10" t="str">
        <f>Tabela2[[#This Row],[Coluna8]]</f>
        <v>EDEN - FORMATAÇÃO DE PC</v>
      </c>
      <c r="T2010" s="10" t="e">
        <f>Tabela2[[#This Row],[Coluna72]]</f>
        <v>#REF!</v>
      </c>
      <c r="U2010" s="10">
        <f>SUM(Tabela2[[#This Row],[Coluna9]],Tabela2[[#This Row],[Coluna10]])</f>
        <v>90</v>
      </c>
      <c r="V2010" s="2" t="str">
        <f>Tabela2[[#This Row],[Coluna4]]</f>
        <v>14/01/2026</v>
      </c>
      <c r="W2010" s="2" t="str">
        <f>Tabela2[[#This Row],[Coluna6]]</f>
        <v>14/01/2026</v>
      </c>
    </row>
    <row r="2011" spans="2:23" x14ac:dyDescent="0.2">
      <c r="B2011" t="s">
        <v>27</v>
      </c>
      <c r="C2011" t="s">
        <v>95</v>
      </c>
      <c r="D2011" t="s">
        <v>13</v>
      </c>
      <c r="E2011" s="8" t="s">
        <v>352</v>
      </c>
      <c r="F2011" t="s">
        <v>84</v>
      </c>
      <c r="G2011" s="8" t="s">
        <v>352</v>
      </c>
      <c r="H2011" t="s">
        <v>488</v>
      </c>
      <c r="I2011" t="e">
        <f>VLOOKUP(Tabela2[[#This Row],[Coluna7]],[1]!Tabela1[#All],2,0)</f>
        <v>#REF!</v>
      </c>
      <c r="L2011">
        <v>200</v>
      </c>
      <c r="N2011" t="s">
        <v>499</v>
      </c>
      <c r="Q2011" s="10" t="str">
        <f>Tabela2[[#This Row],[Coluna5]]</f>
        <v>01/2026</v>
      </c>
      <c r="R2011" s="10" t="str">
        <f>IF(Tabela2[[#This Row],[Coluna9]]&gt;0,"Entrada","Saída")</f>
        <v>Saída</v>
      </c>
      <c r="S2011" s="10">
        <f>Tabela2[[#This Row],[Coluna8]]</f>
        <v>0</v>
      </c>
      <c r="T2011" s="10" t="e">
        <f>Tabela2[[#This Row],[Coluna72]]</f>
        <v>#REF!</v>
      </c>
      <c r="U2011" s="10">
        <f>SUM(Tabela2[[#This Row],[Coluna9]],Tabela2[[#This Row],[Coluna10]])</f>
        <v>200</v>
      </c>
      <c r="V2011" s="2" t="str">
        <f>Tabela2[[#This Row],[Coluna4]]</f>
        <v>16/01/2026</v>
      </c>
      <c r="W2011" s="2" t="str">
        <f>Tabela2[[#This Row],[Coluna6]]</f>
        <v>16/01/2026</v>
      </c>
    </row>
    <row r="2012" spans="2:23" x14ac:dyDescent="0.2">
      <c r="B2012" t="s">
        <v>18</v>
      </c>
      <c r="C2012" t="s">
        <v>95</v>
      </c>
      <c r="D2012" t="s">
        <v>13</v>
      </c>
      <c r="E2012" s="8" t="s">
        <v>352</v>
      </c>
      <c r="F2012" t="s">
        <v>84</v>
      </c>
      <c r="G2012" s="8" t="s">
        <v>352</v>
      </c>
      <c r="H2012" t="s">
        <v>449</v>
      </c>
      <c r="I2012" t="e">
        <f>VLOOKUP(Tabela2[[#This Row],[Coluna7]],[1]!Tabela1[#All],2,0)</f>
        <v>#REF!</v>
      </c>
      <c r="J2012" t="s">
        <v>484</v>
      </c>
      <c r="L2012">
        <v>2384</v>
      </c>
      <c r="Q2012" s="10" t="str">
        <f>Tabela2[[#This Row],[Coluna5]]</f>
        <v>01/2026</v>
      </c>
      <c r="R2012" s="10" t="str">
        <f>IF(Tabela2[[#This Row],[Coluna9]]&gt;0,"Entrada","Saída")</f>
        <v>Saída</v>
      </c>
      <c r="S2012" s="10" t="str">
        <f>Tabela2[[#This Row],[Coluna8]]</f>
        <v>BERRY</v>
      </c>
      <c r="T2012" s="10" t="e">
        <f>Tabela2[[#This Row],[Coluna72]]</f>
        <v>#REF!</v>
      </c>
      <c r="U2012" s="10">
        <f>SUM(Tabela2[[#This Row],[Coluna9]],Tabela2[[#This Row],[Coluna10]])</f>
        <v>2384</v>
      </c>
      <c r="V2012" s="2" t="str">
        <f>Tabela2[[#This Row],[Coluna4]]</f>
        <v>16/01/2026</v>
      </c>
      <c r="W2012" s="2" t="str">
        <f>Tabela2[[#This Row],[Coluna6]]</f>
        <v>16/01/2026</v>
      </c>
    </row>
    <row r="2013" spans="2:23" x14ac:dyDescent="0.2">
      <c r="B2013" t="s">
        <v>27</v>
      </c>
      <c r="C2013" t="s">
        <v>95</v>
      </c>
      <c r="D2013" t="s">
        <v>13</v>
      </c>
      <c r="E2013" s="8" t="s">
        <v>356</v>
      </c>
      <c r="F2013" t="s">
        <v>84</v>
      </c>
      <c r="G2013" s="8" t="s">
        <v>90</v>
      </c>
      <c r="H2013" t="s">
        <v>445</v>
      </c>
      <c r="I2013" t="e">
        <f>VLOOKUP(Tabela2[[#This Row],[Coluna7]],[1]!Tabela1[#All],2,0)</f>
        <v>#REF!</v>
      </c>
      <c r="J2013" t="s">
        <v>461</v>
      </c>
      <c r="L2013">
        <v>730</v>
      </c>
      <c r="Q2013" s="10" t="str">
        <f>Tabela2[[#This Row],[Coluna5]]</f>
        <v>01/2026</v>
      </c>
      <c r="R2013" s="10" t="str">
        <f>IF(Tabela2[[#This Row],[Coluna9]]&gt;0,"Entrada","Saída")</f>
        <v>Saída</v>
      </c>
      <c r="S2013" s="10" t="str">
        <f>Tabela2[[#This Row],[Coluna8]]</f>
        <v>E-AUDITORIA</v>
      </c>
      <c r="T2013" s="10" t="e">
        <f>Tabela2[[#This Row],[Coluna72]]</f>
        <v>#REF!</v>
      </c>
      <c r="U2013" s="10">
        <f>SUM(Tabela2[[#This Row],[Coluna9]],Tabela2[[#This Row],[Coluna10]])</f>
        <v>730</v>
      </c>
      <c r="V2013" s="2" t="str">
        <f>Tabela2[[#This Row],[Coluna4]]</f>
        <v>21/01/2026</v>
      </c>
      <c r="W2013" s="2" t="str">
        <f>Tabela2[[#This Row],[Coluna6]]</f>
        <v>19/01/2026</v>
      </c>
    </row>
    <row r="2014" spans="2:23" x14ac:dyDescent="0.2">
      <c r="B2014" t="s">
        <v>18</v>
      </c>
      <c r="C2014" t="s">
        <v>95</v>
      </c>
      <c r="D2014" t="s">
        <v>13</v>
      </c>
      <c r="E2014" s="8" t="s">
        <v>356</v>
      </c>
      <c r="F2014" t="s">
        <v>84</v>
      </c>
      <c r="G2014" s="8" t="s">
        <v>356</v>
      </c>
      <c r="H2014" t="s">
        <v>443</v>
      </c>
      <c r="I2014" t="e">
        <f>VLOOKUP(Tabela2[[#This Row],[Coluna7]],[1]!Tabela1[#All],2,0)</f>
        <v>#REF!</v>
      </c>
      <c r="J2014" t="s">
        <v>527</v>
      </c>
      <c r="L2014">
        <v>22</v>
      </c>
      <c r="Q2014" s="10" t="str">
        <f>Tabela2[[#This Row],[Coluna5]]</f>
        <v>01/2026</v>
      </c>
      <c r="R2014" s="10" t="str">
        <f>IF(Tabela2[[#This Row],[Coluna9]]&gt;0,"Entrada","Saída")</f>
        <v>Saída</v>
      </c>
      <c r="S2014" s="10" t="str">
        <f>Tabela2[[#This Row],[Coluna8]]</f>
        <v>THIAGO</v>
      </c>
      <c r="T2014" s="10" t="e">
        <f>Tabela2[[#This Row],[Coluna72]]</f>
        <v>#REF!</v>
      </c>
      <c r="U2014" s="10">
        <f>SUM(Tabela2[[#This Row],[Coluna9]],Tabela2[[#This Row],[Coluna10]])</f>
        <v>22</v>
      </c>
      <c r="V2014" s="2" t="str">
        <f>Tabela2[[#This Row],[Coluna4]]</f>
        <v>21/01/2026</v>
      </c>
      <c r="W2014" s="2" t="str">
        <f>Tabela2[[#This Row],[Coluna6]]</f>
        <v>21/01/2026</v>
      </c>
    </row>
    <row r="2015" spans="2:23" x14ac:dyDescent="0.2">
      <c r="B2015" t="s">
        <v>748</v>
      </c>
      <c r="C2015" t="s">
        <v>95</v>
      </c>
      <c r="D2015" t="s">
        <v>13</v>
      </c>
      <c r="E2015" s="8" t="s">
        <v>356</v>
      </c>
      <c r="F2015" t="s">
        <v>84</v>
      </c>
      <c r="G2015" s="8" t="s">
        <v>356</v>
      </c>
      <c r="H2015" t="s">
        <v>528</v>
      </c>
      <c r="I2015" t="e">
        <f>VLOOKUP(Tabela2[[#This Row],[Coluna7]],[1]!Tabela1[#All],2,0)</f>
        <v>#REF!</v>
      </c>
      <c r="J2015" t="s">
        <v>529</v>
      </c>
      <c r="L2015">
        <v>319.57</v>
      </c>
      <c r="Q2015" s="10" t="str">
        <f>Tabela2[[#This Row],[Coluna5]]</f>
        <v>01/2026</v>
      </c>
      <c r="R2015" s="10" t="str">
        <f>IF(Tabela2[[#This Row],[Coluna9]]&gt;0,"Entrada","Saída")</f>
        <v>Saída</v>
      </c>
      <c r="S2015" s="10" t="str">
        <f>Tabela2[[#This Row],[Coluna8]]</f>
        <v>HOSTGATOR</v>
      </c>
      <c r="T2015" s="10" t="e">
        <f>Tabela2[[#This Row],[Coluna72]]</f>
        <v>#REF!</v>
      </c>
      <c r="U2015" s="10">
        <f>SUM(Tabela2[[#This Row],[Coluna9]],Tabela2[[#This Row],[Coluna10]])</f>
        <v>319.57</v>
      </c>
      <c r="V2015" s="2" t="str">
        <f>Tabela2[[#This Row],[Coluna4]]</f>
        <v>21/01/2026</v>
      </c>
      <c r="W2015" s="2" t="str">
        <f>Tabela2[[#This Row],[Coluna6]]</f>
        <v>21/01/2026</v>
      </c>
    </row>
    <row r="2016" spans="2:23" x14ac:dyDescent="0.2">
      <c r="B2016" t="s">
        <v>18</v>
      </c>
      <c r="C2016" t="s">
        <v>95</v>
      </c>
      <c r="D2016" t="s">
        <v>13</v>
      </c>
      <c r="E2016" s="8" t="s">
        <v>92</v>
      </c>
      <c r="F2016" t="s">
        <v>84</v>
      </c>
      <c r="G2016" s="8" t="s">
        <v>92</v>
      </c>
      <c r="H2016" t="s">
        <v>488</v>
      </c>
      <c r="I2016" t="e">
        <f>VLOOKUP(Tabela2[[#This Row],[Coluna7]],[1]!Tabela1[#All],2,0)</f>
        <v>#REF!</v>
      </c>
      <c r="L2016">
        <v>300</v>
      </c>
      <c r="N2016" t="s">
        <v>499</v>
      </c>
      <c r="Q2016" s="10" t="str">
        <f>Tabela2[[#This Row],[Coluna5]]</f>
        <v>01/2026</v>
      </c>
      <c r="R2016" s="10" t="str">
        <f>IF(Tabela2[[#This Row],[Coluna9]]&gt;0,"Entrada","Saída")</f>
        <v>Saída</v>
      </c>
      <c r="S2016" s="10">
        <f>Tabela2[[#This Row],[Coluna8]]</f>
        <v>0</v>
      </c>
      <c r="T2016" s="10" t="e">
        <f>Tabela2[[#This Row],[Coluna72]]</f>
        <v>#REF!</v>
      </c>
      <c r="U2016" s="10">
        <f>SUM(Tabela2[[#This Row],[Coluna9]],Tabela2[[#This Row],[Coluna10]])</f>
        <v>300</v>
      </c>
      <c r="V2016" s="2" t="str">
        <f>Tabela2[[#This Row],[Coluna4]]</f>
        <v>22/01/2026</v>
      </c>
      <c r="W2016" s="2" t="str">
        <f>Tabela2[[#This Row],[Coluna6]]</f>
        <v>22/01/2026</v>
      </c>
    </row>
    <row r="2017" spans="2:23" x14ac:dyDescent="0.2">
      <c r="B2017" t="s">
        <v>18</v>
      </c>
      <c r="C2017" t="s">
        <v>95</v>
      </c>
      <c r="D2017" t="s">
        <v>13</v>
      </c>
      <c r="E2017" s="8" t="s">
        <v>92</v>
      </c>
      <c r="F2017" t="s">
        <v>84</v>
      </c>
      <c r="G2017" s="8" t="s">
        <v>92</v>
      </c>
      <c r="H2017" t="s">
        <v>443</v>
      </c>
      <c r="I2017" t="e">
        <f>VLOOKUP(Tabela2[[#This Row],[Coluna7]],[1]!Tabela1[#All],2,0)</f>
        <v>#REF!</v>
      </c>
      <c r="J2017" t="s">
        <v>530</v>
      </c>
      <c r="L2017">
        <v>29</v>
      </c>
      <c r="Q2017" s="10" t="str">
        <f>Tabela2[[#This Row],[Coluna5]]</f>
        <v>01/2026</v>
      </c>
      <c r="R2017" s="10" t="str">
        <f>IF(Tabela2[[#This Row],[Coluna9]]&gt;0,"Entrada","Saída")</f>
        <v>Saída</v>
      </c>
      <c r="S2017" s="10" t="str">
        <f>Tabela2[[#This Row],[Coluna8]]</f>
        <v>PICUI</v>
      </c>
      <c r="T2017" s="10" t="e">
        <f>Tabela2[[#This Row],[Coluna72]]</f>
        <v>#REF!</v>
      </c>
      <c r="U2017" s="10">
        <f>SUM(Tabela2[[#This Row],[Coluna9]],Tabela2[[#This Row],[Coluna10]])</f>
        <v>29</v>
      </c>
      <c r="V2017" s="2" t="str">
        <f>Tabela2[[#This Row],[Coluna4]]</f>
        <v>22/01/2026</v>
      </c>
      <c r="W2017" s="2" t="str">
        <f>Tabela2[[#This Row],[Coluna6]]</f>
        <v>22/01/2026</v>
      </c>
    </row>
    <row r="2018" spans="2:23" x14ac:dyDescent="0.2">
      <c r="B2018" t="s">
        <v>27</v>
      </c>
      <c r="C2018" t="s">
        <v>95</v>
      </c>
      <c r="D2018" t="s">
        <v>13</v>
      </c>
      <c r="E2018" s="8" t="s">
        <v>92</v>
      </c>
      <c r="F2018" t="s">
        <v>84</v>
      </c>
      <c r="G2018" s="8" t="s">
        <v>92</v>
      </c>
      <c r="H2018" t="s">
        <v>445</v>
      </c>
      <c r="I2018" t="e">
        <f>VLOOKUP(Tabela2[[#This Row],[Coluna7]],[1]!Tabela1[#All],2,0)</f>
        <v>#REF!</v>
      </c>
      <c r="J2018" t="s">
        <v>531</v>
      </c>
      <c r="L2018">
        <v>899.01</v>
      </c>
      <c r="Q2018" s="10" t="str">
        <f>Tabela2[[#This Row],[Coluna5]]</f>
        <v>01/2026</v>
      </c>
      <c r="R2018" s="10" t="str">
        <f>IF(Tabela2[[#This Row],[Coluna9]]&gt;0,"Entrada","Saída")</f>
        <v>Saída</v>
      </c>
      <c r="S2018" s="10" t="str">
        <f>Tabela2[[#This Row],[Coluna8]]</f>
        <v>IMPOSTOGRAMA</v>
      </c>
      <c r="T2018" s="10" t="e">
        <f>Tabela2[[#This Row],[Coluna72]]</f>
        <v>#REF!</v>
      </c>
      <c r="U2018" s="10">
        <f>SUM(Tabela2[[#This Row],[Coluna9]],Tabela2[[#This Row],[Coluna10]])</f>
        <v>899.01</v>
      </c>
      <c r="V2018" s="2" t="str">
        <f>Tabela2[[#This Row],[Coluna4]]</f>
        <v>22/01/2026</v>
      </c>
      <c r="W2018" s="2" t="str">
        <f>Tabela2[[#This Row],[Coluna6]]</f>
        <v>22/01/2026</v>
      </c>
    </row>
    <row r="2019" spans="2:23" x14ac:dyDescent="0.2">
      <c r="B2019" t="s">
        <v>27</v>
      </c>
      <c r="C2019" t="s">
        <v>95</v>
      </c>
      <c r="D2019" t="s">
        <v>13</v>
      </c>
      <c r="E2019" s="8" t="s">
        <v>357</v>
      </c>
      <c r="F2019" t="s">
        <v>84</v>
      </c>
      <c r="G2019" s="8" t="s">
        <v>357</v>
      </c>
      <c r="H2019" t="s">
        <v>445</v>
      </c>
      <c r="I2019" t="e">
        <f>VLOOKUP(Tabela2[[#This Row],[Coluna7]],[1]!Tabela1[#All],2,0)</f>
        <v>#REF!</v>
      </c>
      <c r="J2019" t="s">
        <v>876</v>
      </c>
      <c r="L2019">
        <v>808.4</v>
      </c>
      <c r="Q2019" s="10" t="str">
        <f>Tabela2[[#This Row],[Coluna5]]</f>
        <v>01/2026</v>
      </c>
      <c r="R2019" s="10" t="str">
        <f>IF(Tabela2[[#This Row],[Coluna9]]&gt;0,"Entrada","Saída")</f>
        <v>Saída</v>
      </c>
      <c r="S2019" s="10" t="str">
        <f>Tabela2[[#This Row],[Coluna8]]</f>
        <v>ADVBOX</v>
      </c>
      <c r="T2019" s="10" t="e">
        <f>Tabela2[[#This Row],[Coluna72]]</f>
        <v>#REF!</v>
      </c>
      <c r="U2019" s="10">
        <f>SUM(Tabela2[[#This Row],[Coluna9]],Tabela2[[#This Row],[Coluna10]])</f>
        <v>808.4</v>
      </c>
      <c r="V2019" s="2" t="str">
        <f>Tabela2[[#This Row],[Coluna4]]</f>
        <v>23/01/2026</v>
      </c>
      <c r="W2019" s="2" t="str">
        <f>Tabela2[[#This Row],[Coluna6]]</f>
        <v>23/01/2026</v>
      </c>
    </row>
    <row r="2020" spans="2:23" x14ac:dyDescent="0.2">
      <c r="B2020" t="s">
        <v>27</v>
      </c>
      <c r="C2020" t="s">
        <v>95</v>
      </c>
      <c r="D2020" t="s">
        <v>13</v>
      </c>
      <c r="E2020" s="8" t="s">
        <v>532</v>
      </c>
      <c r="F2020" t="s">
        <v>84</v>
      </c>
      <c r="G2020" s="8" t="s">
        <v>90</v>
      </c>
      <c r="H2020" t="s">
        <v>451</v>
      </c>
      <c r="I2020" t="e">
        <f>VLOOKUP(Tabela2[[#This Row],[Coluna7]],[1]!Tabela1[#All],2,0)</f>
        <v>#REF!</v>
      </c>
      <c r="J2020" t="s">
        <v>464</v>
      </c>
      <c r="L2020">
        <v>160.22999999999999</v>
      </c>
      <c r="Q2020" s="10" t="str">
        <f>Tabela2[[#This Row],[Coluna5]]</f>
        <v>01/2026</v>
      </c>
      <c r="R2020" s="10" t="str">
        <f>IF(Tabela2[[#This Row],[Coluna9]]&gt;0,"Entrada","Saída")</f>
        <v>Saída</v>
      </c>
      <c r="S2020" s="10" t="str">
        <f>Tabela2[[#This Row],[Coluna8]]</f>
        <v>BRISANET</v>
      </c>
      <c r="T2020" s="10" t="e">
        <f>Tabela2[[#This Row],[Coluna72]]</f>
        <v>#REF!</v>
      </c>
      <c r="U2020" s="10">
        <f>SUM(Tabela2[[#This Row],[Coluna9]],Tabela2[[#This Row],[Coluna10]])</f>
        <v>160.22999999999999</v>
      </c>
      <c r="V2020" s="2" t="str">
        <f>Tabela2[[#This Row],[Coluna4]]</f>
        <v>24/01/2026</v>
      </c>
      <c r="W2020" s="2" t="str">
        <f>Tabela2[[#This Row],[Coluna6]]</f>
        <v>19/01/2026</v>
      </c>
    </row>
    <row r="2021" spans="2:23" x14ac:dyDescent="0.2">
      <c r="B2021" t="s">
        <v>18</v>
      </c>
      <c r="C2021" t="s">
        <v>95</v>
      </c>
      <c r="D2021" t="s">
        <v>13</v>
      </c>
      <c r="E2021" s="8" t="s">
        <v>93</v>
      </c>
      <c r="F2021" t="s">
        <v>84</v>
      </c>
      <c r="G2021" s="8" t="s">
        <v>93</v>
      </c>
      <c r="H2021" t="s">
        <v>443</v>
      </c>
      <c r="I2021" t="e">
        <f>VLOOKUP(Tabela2[[#This Row],[Coluna7]],[1]!Tabela1[#All],2,0)</f>
        <v>#REF!</v>
      </c>
      <c r="J2021" t="s">
        <v>530</v>
      </c>
      <c r="L2021">
        <v>22</v>
      </c>
      <c r="Q2021" s="10" t="str">
        <f>Tabela2[[#This Row],[Coluna5]]</f>
        <v>01/2026</v>
      </c>
      <c r="R2021" s="10" t="str">
        <f>IF(Tabela2[[#This Row],[Coluna9]]&gt;0,"Entrada","Saída")</f>
        <v>Saída</v>
      </c>
      <c r="S2021" s="10" t="str">
        <f>Tabela2[[#This Row],[Coluna8]]</f>
        <v>PICUI</v>
      </c>
      <c r="T2021" s="10" t="e">
        <f>Tabela2[[#This Row],[Coluna72]]</f>
        <v>#REF!</v>
      </c>
      <c r="U2021" s="10">
        <f>SUM(Tabela2[[#This Row],[Coluna9]],Tabela2[[#This Row],[Coluna10]])</f>
        <v>22</v>
      </c>
      <c r="V2021" s="2" t="str">
        <f>Tabela2[[#This Row],[Coluna4]]</f>
        <v>26/01/2026</v>
      </c>
      <c r="W2021" s="2" t="str">
        <f>Tabela2[[#This Row],[Coluna6]]</f>
        <v>26/01/2026</v>
      </c>
    </row>
    <row r="2022" spans="2:23" x14ac:dyDescent="0.2">
      <c r="B2022" t="s">
        <v>27</v>
      </c>
      <c r="C2022" t="s">
        <v>95</v>
      </c>
      <c r="D2022" t="s">
        <v>13</v>
      </c>
      <c r="E2022" s="8" t="s">
        <v>93</v>
      </c>
      <c r="F2022" t="s">
        <v>84</v>
      </c>
      <c r="G2022" s="8" t="s">
        <v>93</v>
      </c>
      <c r="H2022" t="s">
        <v>442</v>
      </c>
      <c r="I2022" t="e">
        <f>VLOOKUP(Tabela2[[#This Row],[Coluna7]],[1]!Tabela1[#All],2,0)</f>
        <v>#REF!</v>
      </c>
      <c r="J2022" t="s">
        <v>453</v>
      </c>
      <c r="L2022">
        <v>1042.33</v>
      </c>
      <c r="Q2022" s="10" t="str">
        <f>Tabela2[[#This Row],[Coluna5]]</f>
        <v>01/2026</v>
      </c>
      <c r="R2022" s="10" t="str">
        <f>IF(Tabela2[[#This Row],[Coluna9]]&gt;0,"Entrada","Saída")</f>
        <v>Saída</v>
      </c>
      <c r="S2022" s="10" t="str">
        <f>Tabela2[[#This Row],[Coluna8]]</f>
        <v>CAPITAL DE GIRO</v>
      </c>
      <c r="T2022" s="10" t="e">
        <f>Tabela2[[#This Row],[Coluna72]]</f>
        <v>#REF!</v>
      </c>
      <c r="U2022" s="10">
        <f>SUM(Tabela2[[#This Row],[Coluna9]],Tabela2[[#This Row],[Coluna10]])</f>
        <v>1042.33</v>
      </c>
      <c r="V2022" s="2" t="str">
        <f>Tabela2[[#This Row],[Coluna4]]</f>
        <v>26/01/2026</v>
      </c>
      <c r="W2022" s="2" t="str">
        <f>Tabela2[[#This Row],[Coluna6]]</f>
        <v>26/01/2026</v>
      </c>
    </row>
    <row r="2023" spans="2:23" x14ac:dyDescent="0.2">
      <c r="B2023" t="s">
        <v>18</v>
      </c>
      <c r="C2023" t="s">
        <v>95</v>
      </c>
      <c r="D2023" t="s">
        <v>13</v>
      </c>
      <c r="E2023" s="8" t="s">
        <v>358</v>
      </c>
      <c r="F2023" t="s">
        <v>84</v>
      </c>
      <c r="G2023" s="8" t="s">
        <v>358</v>
      </c>
      <c r="H2023" t="s">
        <v>443</v>
      </c>
      <c r="I2023" t="e">
        <f>VLOOKUP(Tabela2[[#This Row],[Coluna7]],[1]!Tabela1[#All],2,0)</f>
        <v>#REF!</v>
      </c>
      <c r="J2023" t="s">
        <v>530</v>
      </c>
      <c r="L2023">
        <v>22</v>
      </c>
      <c r="Q2023" s="10" t="str">
        <f>Tabela2[[#This Row],[Coluna5]]</f>
        <v>01/2026</v>
      </c>
      <c r="R2023" s="10" t="str">
        <f>IF(Tabela2[[#This Row],[Coluna9]]&gt;0,"Entrada","Saída")</f>
        <v>Saída</v>
      </c>
      <c r="S2023" s="10" t="str">
        <f>Tabela2[[#This Row],[Coluna8]]</f>
        <v>PICUI</v>
      </c>
      <c r="T2023" s="10" t="e">
        <f>Tabela2[[#This Row],[Coluna72]]</f>
        <v>#REF!</v>
      </c>
      <c r="U2023" s="10">
        <f>SUM(Tabela2[[#This Row],[Coluna9]],Tabela2[[#This Row],[Coluna10]])</f>
        <v>22</v>
      </c>
      <c r="V2023" s="2" t="str">
        <f>Tabela2[[#This Row],[Coluna4]]</f>
        <v>27/01/2026</v>
      </c>
      <c r="W2023" s="2" t="str">
        <f>Tabela2[[#This Row],[Coluna6]]</f>
        <v>27/01/2026</v>
      </c>
    </row>
    <row r="2024" spans="2:23" x14ac:dyDescent="0.2">
      <c r="B2024" t="s">
        <v>18</v>
      </c>
      <c r="C2024" t="s">
        <v>95</v>
      </c>
      <c r="D2024" t="s">
        <v>13</v>
      </c>
      <c r="E2024" s="8" t="s">
        <v>359</v>
      </c>
      <c r="F2024" t="s">
        <v>84</v>
      </c>
      <c r="G2024" s="8" t="s">
        <v>359</v>
      </c>
      <c r="H2024" t="s">
        <v>443</v>
      </c>
      <c r="I2024" t="e">
        <f>VLOOKUP(Tabela2[[#This Row],[Coluna7]],[1]!Tabela1[#All],2,0)</f>
        <v>#REF!</v>
      </c>
      <c r="J2024" t="s">
        <v>454</v>
      </c>
      <c r="L2024">
        <v>22</v>
      </c>
      <c r="Q2024" s="10" t="str">
        <f>Tabela2[[#This Row],[Coluna5]]</f>
        <v>01/2026</v>
      </c>
      <c r="R2024" s="10" t="str">
        <f>IF(Tabela2[[#This Row],[Coluna9]]&gt;0,"Entrada","Saída")</f>
        <v>Saída</v>
      </c>
      <c r="S2024" s="10" t="str">
        <f>Tabela2[[#This Row],[Coluna8]]</f>
        <v>ALMOÇO</v>
      </c>
      <c r="T2024" s="10" t="e">
        <f>Tabela2[[#This Row],[Coluna72]]</f>
        <v>#REF!</v>
      </c>
      <c r="U2024" s="10">
        <f>SUM(Tabela2[[#This Row],[Coluna9]],Tabela2[[#This Row],[Coluna10]])</f>
        <v>22</v>
      </c>
      <c r="V2024" s="2" t="str">
        <f>Tabela2[[#This Row],[Coluna4]]</f>
        <v>28/01/2026</v>
      </c>
      <c r="W2024" s="2" t="str">
        <f>Tabela2[[#This Row],[Coluna6]]</f>
        <v>28/01/2026</v>
      </c>
    </row>
    <row r="2025" spans="2:23" x14ac:dyDescent="0.2">
      <c r="B2025" t="s">
        <v>18</v>
      </c>
      <c r="C2025" t="s">
        <v>95</v>
      </c>
      <c r="D2025" t="s">
        <v>13</v>
      </c>
      <c r="E2025" s="8" t="s">
        <v>359</v>
      </c>
      <c r="F2025" t="s">
        <v>84</v>
      </c>
      <c r="G2025" s="8" t="s">
        <v>359</v>
      </c>
      <c r="H2025" t="s">
        <v>490</v>
      </c>
      <c r="I2025" t="e">
        <f>VLOOKUP(Tabela2[[#This Row],[Coluna7]],[1]!Tabela1[#All],2,0)</f>
        <v>#REF!</v>
      </c>
      <c r="J2025" t="s">
        <v>533</v>
      </c>
      <c r="L2025">
        <v>20</v>
      </c>
      <c r="Q2025" s="10" t="str">
        <f>Tabela2[[#This Row],[Coluna5]]</f>
        <v>01/2026</v>
      </c>
      <c r="R2025" s="10" t="str">
        <f>IF(Tabela2[[#This Row],[Coluna9]]&gt;0,"Entrada","Saída")</f>
        <v>Saída</v>
      </c>
      <c r="S2025" s="10" t="str">
        <f>Tabela2[[#This Row],[Coluna8]]</f>
        <v>CELULAR FINANCEIRO</v>
      </c>
      <c r="T2025" s="10" t="e">
        <f>Tabela2[[#This Row],[Coluna72]]</f>
        <v>#REF!</v>
      </c>
      <c r="U2025" s="10">
        <f>SUM(Tabela2[[#This Row],[Coluna9]],Tabela2[[#This Row],[Coluna10]])</f>
        <v>20</v>
      </c>
      <c r="V2025" s="2" t="str">
        <f>Tabela2[[#This Row],[Coluna4]]</f>
        <v>28/01/2026</v>
      </c>
      <c r="W2025" s="2" t="str">
        <f>Tabela2[[#This Row],[Coluna6]]</f>
        <v>28/01/2026</v>
      </c>
    </row>
    <row r="2026" spans="2:23" x14ac:dyDescent="0.2">
      <c r="B2026" t="s">
        <v>18</v>
      </c>
      <c r="C2026" t="s">
        <v>95</v>
      </c>
      <c r="D2026" t="s">
        <v>13</v>
      </c>
      <c r="E2026" s="8" t="s">
        <v>94</v>
      </c>
      <c r="F2026" t="s">
        <v>84</v>
      </c>
      <c r="G2026" s="8" t="s">
        <v>94</v>
      </c>
      <c r="H2026" t="s">
        <v>443</v>
      </c>
      <c r="I2026" t="e">
        <f>VLOOKUP(Tabela2[[#This Row],[Coluna7]],[1]!Tabela1[#All],2,0)</f>
        <v>#REF!</v>
      </c>
      <c r="J2026" t="s">
        <v>454</v>
      </c>
      <c r="L2026">
        <v>44</v>
      </c>
      <c r="Q2026" s="10" t="str">
        <f>Tabela2[[#This Row],[Coluna5]]</f>
        <v>01/2026</v>
      </c>
      <c r="R2026" s="10" t="str">
        <f>IF(Tabela2[[#This Row],[Coluna9]]&gt;0,"Entrada","Saída")</f>
        <v>Saída</v>
      </c>
      <c r="S2026" s="10" t="str">
        <f>Tabela2[[#This Row],[Coluna8]]</f>
        <v>ALMOÇO</v>
      </c>
      <c r="T2026" s="10" t="e">
        <f>Tabela2[[#This Row],[Coluna72]]</f>
        <v>#REF!</v>
      </c>
      <c r="U2026" s="10">
        <f>SUM(Tabela2[[#This Row],[Coluna9]],Tabela2[[#This Row],[Coluna10]])</f>
        <v>44</v>
      </c>
      <c r="V2026" s="2" t="str">
        <f>Tabela2[[#This Row],[Coluna4]]</f>
        <v>29/01/2026</v>
      </c>
      <c r="W2026" s="2" t="str">
        <f>Tabela2[[#This Row],[Coluna6]]</f>
        <v>29/01/2026</v>
      </c>
    </row>
    <row r="2027" spans="2:23" x14ac:dyDescent="0.2">
      <c r="B2027" t="s">
        <v>18</v>
      </c>
      <c r="C2027" t="s">
        <v>95</v>
      </c>
      <c r="D2027" t="s">
        <v>13</v>
      </c>
      <c r="E2027" s="8" t="s">
        <v>360</v>
      </c>
      <c r="F2027" t="s">
        <v>84</v>
      </c>
      <c r="G2027" s="8" t="s">
        <v>360</v>
      </c>
      <c r="H2027" t="s">
        <v>488</v>
      </c>
      <c r="I2027" t="e">
        <f>VLOOKUP(Tabela2[[#This Row],[Coluna7]],[1]!Tabela1[#All],2,0)</f>
        <v>#REF!</v>
      </c>
      <c r="L2027">
        <v>70</v>
      </c>
      <c r="N2027" t="s">
        <v>381</v>
      </c>
      <c r="Q2027" s="10" t="str">
        <f>Tabela2[[#This Row],[Coluna5]]</f>
        <v>01/2026</v>
      </c>
      <c r="R2027" s="10" t="str">
        <f>IF(Tabela2[[#This Row],[Coluna9]]&gt;0,"Entrada","Saída")</f>
        <v>Saída</v>
      </c>
      <c r="S2027" s="10">
        <f>Tabela2[[#This Row],[Coluna8]]</f>
        <v>0</v>
      </c>
      <c r="T2027" s="10" t="e">
        <f>Tabela2[[#This Row],[Coluna72]]</f>
        <v>#REF!</v>
      </c>
      <c r="U2027" s="10">
        <f>SUM(Tabela2[[#This Row],[Coluna9]],Tabela2[[#This Row],[Coluna10]])</f>
        <v>70</v>
      </c>
      <c r="V2027" s="2" t="str">
        <f>Tabela2[[#This Row],[Coluna4]]</f>
        <v>30/01/2026</v>
      </c>
      <c r="W2027" s="2" t="str">
        <f>Tabela2[[#This Row],[Coluna6]]</f>
        <v>30/01/2026</v>
      </c>
    </row>
    <row r="2028" spans="2:23" x14ac:dyDescent="0.2">
      <c r="B2028" t="s">
        <v>27</v>
      </c>
      <c r="C2028" t="s">
        <v>95</v>
      </c>
      <c r="D2028" t="s">
        <v>13</v>
      </c>
      <c r="E2028" s="8" t="s">
        <v>534</v>
      </c>
      <c r="F2028" t="s">
        <v>84</v>
      </c>
      <c r="G2028" s="8" t="s">
        <v>810</v>
      </c>
      <c r="H2028" t="s">
        <v>445</v>
      </c>
      <c r="I2028" t="e">
        <f>VLOOKUP(Tabela2[[#This Row],[Coluna7]],[1]!Tabela1[#All],2,0)</f>
        <v>#REF!</v>
      </c>
      <c r="J2028" t="s">
        <v>489</v>
      </c>
      <c r="L2028">
        <v>100</v>
      </c>
      <c r="Q2028" s="10" t="str">
        <f>Tabela2[[#This Row],[Coluna5]]</f>
        <v>01/2026</v>
      </c>
      <c r="R2028" s="10" t="str">
        <f>IF(Tabela2[[#This Row],[Coluna9]]&gt;0,"Entrada","Saída")</f>
        <v>Saída</v>
      </c>
      <c r="S2028" s="10" t="str">
        <f>Tabela2[[#This Row],[Coluna8]]</f>
        <v>ADAPTA IA ( REEMBOLSAR PATRICIA )</v>
      </c>
      <c r="T2028" s="10" t="e">
        <f>Tabela2[[#This Row],[Coluna72]]</f>
        <v>#REF!</v>
      </c>
      <c r="U2028" s="10">
        <f>SUM(Tabela2[[#This Row],[Coluna9]],Tabela2[[#This Row],[Coluna10]])</f>
        <v>100</v>
      </c>
      <c r="V2028" s="2" t="str">
        <f>Tabela2[[#This Row],[Coluna4]]</f>
        <v>31/01/2026</v>
      </c>
      <c r="W2028" s="2" t="str">
        <f>Tabela2[[#This Row],[Coluna6]]</f>
        <v>02/02/2026</v>
      </c>
    </row>
    <row r="2029" spans="2:23" x14ac:dyDescent="0.2">
      <c r="B2029" t="s">
        <v>27</v>
      </c>
      <c r="C2029" t="s">
        <v>95</v>
      </c>
      <c r="D2029" t="s">
        <v>13</v>
      </c>
      <c r="E2029" s="8" t="s">
        <v>877</v>
      </c>
      <c r="F2029" t="s">
        <v>84</v>
      </c>
      <c r="G2029" s="8" t="s">
        <v>810</v>
      </c>
      <c r="H2029" t="s">
        <v>490</v>
      </c>
      <c r="I2029" t="e">
        <f>VLOOKUP(Tabela2[[#This Row],[Coluna7]],[1]!Tabela1[#All],2,0)</f>
        <v>#REF!</v>
      </c>
      <c r="J2029" t="s">
        <v>491</v>
      </c>
      <c r="L2029">
        <v>58.03</v>
      </c>
      <c r="Q2029" s="10" t="str">
        <f>Tabela2[[#This Row],[Coluna5]]</f>
        <v>01/2026</v>
      </c>
      <c r="R2029" s="10" t="str">
        <f>IF(Tabela2[[#This Row],[Coluna9]]&gt;0,"Entrada","Saída")</f>
        <v>Saída</v>
      </c>
      <c r="S2029" s="10" t="str">
        <f>Tabela2[[#This Row],[Coluna8]]</f>
        <v>CLARO - JURÍDICO</v>
      </c>
      <c r="T2029" s="10" t="e">
        <f>Tabela2[[#This Row],[Coluna72]]</f>
        <v>#REF!</v>
      </c>
      <c r="U2029" s="10">
        <f>SUM(Tabela2[[#This Row],[Coluna9]],Tabela2[[#This Row],[Coluna10]])</f>
        <v>58.03</v>
      </c>
      <c r="V2029" s="2" t="str">
        <f>Tabela2[[#This Row],[Coluna4]]</f>
        <v>01/02/2026</v>
      </c>
      <c r="W2029" s="2" t="str">
        <f>Tabela2[[#This Row],[Coluna6]]</f>
        <v>02/02/2026</v>
      </c>
    </row>
    <row r="2030" spans="2:23" x14ac:dyDescent="0.2">
      <c r="B2030" t="s">
        <v>748</v>
      </c>
      <c r="C2030" t="s">
        <v>95</v>
      </c>
      <c r="D2030" t="s">
        <v>13</v>
      </c>
      <c r="E2030" s="8" t="s">
        <v>877</v>
      </c>
      <c r="F2030" t="s">
        <v>750</v>
      </c>
      <c r="G2030" s="8" t="s">
        <v>877</v>
      </c>
      <c r="H2030" t="s">
        <v>443</v>
      </c>
      <c r="I2030" t="e">
        <f>VLOOKUP(Tabela2[[#This Row],[Coluna7]],[1]!Tabela1[#All],2,0)</f>
        <v>#REF!</v>
      </c>
      <c r="J2030" t="s">
        <v>878</v>
      </c>
      <c r="L2030">
        <v>42</v>
      </c>
      <c r="Q2030" s="10" t="str">
        <f>Tabela2[[#This Row],[Coluna5]]</f>
        <v>02/2026</v>
      </c>
      <c r="R2030" s="10" t="str">
        <f>IF(Tabela2[[#This Row],[Coluna9]]&gt;0,"Entrada","Saída")</f>
        <v>Saída</v>
      </c>
      <c r="S2030" s="10" t="str">
        <f>Tabela2[[#This Row],[Coluna8]]</f>
        <v>LATORRE</v>
      </c>
      <c r="T2030" s="10" t="e">
        <f>Tabela2[[#This Row],[Coluna72]]</f>
        <v>#REF!</v>
      </c>
      <c r="U2030" s="10">
        <f>SUM(Tabela2[[#This Row],[Coluna9]],Tabela2[[#This Row],[Coluna10]])</f>
        <v>42</v>
      </c>
      <c r="V2030" s="2" t="str">
        <f>Tabela2[[#This Row],[Coluna4]]</f>
        <v>01/02/2026</v>
      </c>
      <c r="W2030" s="2" t="str">
        <f>Tabela2[[#This Row],[Coluna6]]</f>
        <v>01/02/2026</v>
      </c>
    </row>
    <row r="2031" spans="2:23" x14ac:dyDescent="0.2">
      <c r="B2031" t="s">
        <v>748</v>
      </c>
      <c r="C2031" t="s">
        <v>95</v>
      </c>
      <c r="D2031" t="s">
        <v>13</v>
      </c>
      <c r="E2031" s="8" t="s">
        <v>810</v>
      </c>
      <c r="F2031" t="s">
        <v>750</v>
      </c>
      <c r="G2031" s="8" t="s">
        <v>810</v>
      </c>
      <c r="H2031" t="s">
        <v>443</v>
      </c>
      <c r="I2031" t="e">
        <f>VLOOKUP(Tabela2[[#This Row],[Coluna7]],[1]!Tabela1[#All],2,0)</f>
        <v>#REF!</v>
      </c>
      <c r="L2031">
        <v>29</v>
      </c>
      <c r="Q2031" s="10" t="str">
        <f>Tabela2[[#This Row],[Coluna5]]</f>
        <v>02/2026</v>
      </c>
      <c r="R2031" s="10" t="str">
        <f>IF(Tabela2[[#This Row],[Coluna9]]&gt;0,"Entrada","Saída")</f>
        <v>Saída</v>
      </c>
      <c r="S2031" s="10">
        <f>Tabela2[[#This Row],[Coluna8]]</f>
        <v>0</v>
      </c>
      <c r="T2031" s="10" t="e">
        <f>Tabela2[[#This Row],[Coluna72]]</f>
        <v>#REF!</v>
      </c>
      <c r="U2031" s="10">
        <f>SUM(Tabela2[[#This Row],[Coluna9]],Tabela2[[#This Row],[Coluna10]])</f>
        <v>29</v>
      </c>
      <c r="V2031" s="2" t="str">
        <f>Tabela2[[#This Row],[Coluna4]]</f>
        <v>02/02/2026</v>
      </c>
      <c r="W2031" s="2" t="str">
        <f>Tabela2[[#This Row],[Coluna6]]</f>
        <v>02/02/2026</v>
      </c>
    </row>
    <row r="2032" spans="2:23" x14ac:dyDescent="0.2">
      <c r="B2032" t="s">
        <v>27</v>
      </c>
      <c r="C2032" t="s">
        <v>95</v>
      </c>
      <c r="D2032" t="s">
        <v>13</v>
      </c>
      <c r="E2032" s="8" t="s">
        <v>810</v>
      </c>
      <c r="F2032" t="s">
        <v>750</v>
      </c>
      <c r="G2032" s="8" t="s">
        <v>810</v>
      </c>
      <c r="H2032" t="s">
        <v>445</v>
      </c>
      <c r="I2032" t="e">
        <f>VLOOKUP(Tabela2[[#This Row],[Coluna7]],[1]!Tabela1[#All],2,0)</f>
        <v>#REF!</v>
      </c>
      <c r="J2032" t="s">
        <v>531</v>
      </c>
      <c r="L2032">
        <v>893.41</v>
      </c>
      <c r="Q2032" s="10" t="str">
        <f>Tabela2[[#This Row],[Coluna5]]</f>
        <v>02/2026</v>
      </c>
      <c r="R2032" s="10" t="str">
        <f>IF(Tabela2[[#This Row],[Coluna9]]&gt;0,"Entrada","Saída")</f>
        <v>Saída</v>
      </c>
      <c r="S2032" s="10" t="str">
        <f>Tabela2[[#This Row],[Coluna8]]</f>
        <v>IMPOSTOGRAMA</v>
      </c>
      <c r="T2032" s="10" t="e">
        <f>Tabela2[[#This Row],[Coluna72]]</f>
        <v>#REF!</v>
      </c>
      <c r="U2032" s="10">
        <f>SUM(Tabela2[[#This Row],[Coluna9]],Tabela2[[#This Row],[Coluna10]])</f>
        <v>893.41</v>
      </c>
      <c r="V2032" s="2" t="str">
        <f>Tabela2[[#This Row],[Coluna4]]</f>
        <v>02/02/2026</v>
      </c>
      <c r="W2032" s="2" t="str">
        <f>Tabela2[[#This Row],[Coluna6]]</f>
        <v>02/02/2026</v>
      </c>
    </row>
    <row r="2033" spans="2:23" x14ac:dyDescent="0.2">
      <c r="B2033" t="s">
        <v>18</v>
      </c>
      <c r="C2033" t="s">
        <v>95</v>
      </c>
      <c r="D2033" t="s">
        <v>13</v>
      </c>
      <c r="E2033" s="8" t="s">
        <v>810</v>
      </c>
      <c r="F2033" t="s">
        <v>750</v>
      </c>
      <c r="G2033" s="8" t="s">
        <v>810</v>
      </c>
      <c r="H2033" t="s">
        <v>443</v>
      </c>
      <c r="I2033" t="e">
        <f>VLOOKUP(Tabela2[[#This Row],[Coluna7]],[1]!Tabela1[#All],2,0)</f>
        <v>#REF!</v>
      </c>
      <c r="L2033">
        <v>139.5</v>
      </c>
      <c r="Q2033" s="10" t="str">
        <f>Tabela2[[#This Row],[Coluna5]]</f>
        <v>02/2026</v>
      </c>
      <c r="R2033" s="10" t="str">
        <f>IF(Tabela2[[#This Row],[Coluna9]]&gt;0,"Entrada","Saída")</f>
        <v>Saída</v>
      </c>
      <c r="S2033" s="10">
        <f>Tabela2[[#This Row],[Coluna8]]</f>
        <v>0</v>
      </c>
      <c r="T2033" s="10" t="e">
        <f>Tabela2[[#This Row],[Coluna72]]</f>
        <v>#REF!</v>
      </c>
      <c r="U2033" s="10">
        <f>SUM(Tabela2[[#This Row],[Coluna9]],Tabela2[[#This Row],[Coluna10]])</f>
        <v>139.5</v>
      </c>
      <c r="V2033" s="2" t="str">
        <f>Tabela2[[#This Row],[Coluna4]]</f>
        <v>02/02/2026</v>
      </c>
      <c r="W2033" s="2" t="str">
        <f>Tabela2[[#This Row],[Coluna6]]</f>
        <v>02/02/2026</v>
      </c>
    </row>
    <row r="2034" spans="2:23" x14ac:dyDescent="0.2">
      <c r="B2034" t="s">
        <v>748</v>
      </c>
      <c r="C2034" t="s">
        <v>95</v>
      </c>
      <c r="D2034" t="s">
        <v>13</v>
      </c>
      <c r="E2034" s="8" t="s">
        <v>817</v>
      </c>
      <c r="F2034" t="s">
        <v>750</v>
      </c>
      <c r="G2034" s="8" t="s">
        <v>817</v>
      </c>
      <c r="H2034" t="s">
        <v>435</v>
      </c>
      <c r="I2034" t="e">
        <f>VLOOKUP(Tabela2[[#This Row],[Coluna7]],[1]!Tabela1[#All],2,0)</f>
        <v>#REF!</v>
      </c>
      <c r="L2034">
        <v>50.49</v>
      </c>
      <c r="Q2034" s="10" t="str">
        <f>Tabela2[[#This Row],[Coluna5]]</f>
        <v>02/2026</v>
      </c>
      <c r="R2034" s="10" t="str">
        <f>IF(Tabela2[[#This Row],[Coluna9]]&gt;0,"Entrada","Saída")</f>
        <v>Saída</v>
      </c>
      <c r="S2034" s="10">
        <f>Tabela2[[#This Row],[Coluna8]]</f>
        <v>0</v>
      </c>
      <c r="T2034" s="10" t="e">
        <f>Tabela2[[#This Row],[Coluna72]]</f>
        <v>#REF!</v>
      </c>
      <c r="U2034" s="10">
        <f>SUM(Tabela2[[#This Row],[Coluna9]],Tabela2[[#This Row],[Coluna10]])</f>
        <v>50.49</v>
      </c>
      <c r="V2034" s="2" t="str">
        <f>Tabela2[[#This Row],[Coluna4]]</f>
        <v>03/02/2026</v>
      </c>
      <c r="W2034" s="2" t="str">
        <f>Tabela2[[#This Row],[Coluna6]]</f>
        <v>03/02/2026</v>
      </c>
    </row>
    <row r="2035" spans="2:23" x14ac:dyDescent="0.2">
      <c r="B2035" t="s">
        <v>748</v>
      </c>
      <c r="C2035" t="s">
        <v>95</v>
      </c>
      <c r="D2035" t="s">
        <v>13</v>
      </c>
      <c r="E2035" s="8" t="s">
        <v>817</v>
      </c>
      <c r="F2035" t="s">
        <v>750</v>
      </c>
      <c r="G2035" s="8" t="s">
        <v>817</v>
      </c>
      <c r="H2035" t="s">
        <v>933</v>
      </c>
      <c r="I2035" t="e">
        <f>VLOOKUP(Tabela2[[#This Row],[Coluna7]],[1]!Tabela1[#All],2,0)</f>
        <v>#REF!</v>
      </c>
      <c r="J2035" t="s">
        <v>880</v>
      </c>
      <c r="L2035">
        <v>14000</v>
      </c>
      <c r="Q2035" s="10" t="str">
        <f>Tabela2[[#This Row],[Coluna5]]</f>
        <v>02/2026</v>
      </c>
      <c r="R2035" s="10" t="str">
        <f>IF(Tabela2[[#This Row],[Coluna9]]&gt;0,"Entrada","Saída")</f>
        <v>Saída</v>
      </c>
      <c r="S2035" s="10" t="str">
        <f>Tabela2[[#This Row],[Coluna8]]</f>
        <v>MÓVEIS JOSELITO</v>
      </c>
      <c r="T2035" s="10" t="e">
        <f>Tabela2[[#This Row],[Coluna72]]</f>
        <v>#REF!</v>
      </c>
      <c r="U2035" s="10">
        <f>SUM(Tabela2[[#This Row],[Coluna9]],Tabela2[[#This Row],[Coluna10]])</f>
        <v>14000</v>
      </c>
      <c r="V2035" s="2" t="str">
        <f>Tabela2[[#This Row],[Coluna4]]</f>
        <v>03/02/2026</v>
      </c>
      <c r="W2035" s="2" t="str">
        <f>Tabela2[[#This Row],[Coluna6]]</f>
        <v>03/02/2026</v>
      </c>
    </row>
    <row r="2036" spans="2:23" x14ac:dyDescent="0.2">
      <c r="B2036" t="s">
        <v>18</v>
      </c>
      <c r="C2036" t="s">
        <v>125</v>
      </c>
      <c r="D2036" t="s">
        <v>13</v>
      </c>
      <c r="E2036" s="8" t="s">
        <v>754</v>
      </c>
      <c r="F2036" t="s">
        <v>750</v>
      </c>
      <c r="G2036" s="8" t="s">
        <v>754</v>
      </c>
      <c r="H2036" t="s">
        <v>488</v>
      </c>
      <c r="I2036" t="e">
        <f>VLOOKUP(Tabela2[[#This Row],[Coluna7]],[1]!Tabela1[#All],2,0)</f>
        <v>#REF!</v>
      </c>
      <c r="L2036">
        <v>200</v>
      </c>
      <c r="N2036" t="s">
        <v>499</v>
      </c>
      <c r="Q2036" s="10" t="str">
        <f>Tabela2[[#This Row],[Coluna5]]</f>
        <v>02/2026</v>
      </c>
      <c r="R2036" s="10" t="str">
        <f>IF(Tabela2[[#This Row],[Coluna9]]&gt;0,"Entrada","Saída")</f>
        <v>Saída</v>
      </c>
      <c r="S2036" s="10">
        <f>Tabela2[[#This Row],[Coluna8]]</f>
        <v>0</v>
      </c>
      <c r="T2036" s="10" t="e">
        <f>Tabela2[[#This Row],[Coluna72]]</f>
        <v>#REF!</v>
      </c>
      <c r="U2036" s="10">
        <f>SUM(Tabela2[[#This Row],[Coluna9]],Tabela2[[#This Row],[Coluna10]])</f>
        <v>200</v>
      </c>
      <c r="V2036" s="2" t="str">
        <f>Tabela2[[#This Row],[Coluna4]]</f>
        <v>04/02/2026</v>
      </c>
      <c r="W2036" s="2" t="str">
        <f>Tabela2[[#This Row],[Coluna6]]</f>
        <v>04/02/2026</v>
      </c>
    </row>
    <row r="2037" spans="2:23" x14ac:dyDescent="0.2">
      <c r="B2037" t="s">
        <v>18</v>
      </c>
      <c r="C2037" t="s">
        <v>95</v>
      </c>
      <c r="D2037" t="s">
        <v>13</v>
      </c>
      <c r="E2037" s="8" t="s">
        <v>821</v>
      </c>
      <c r="F2037" t="s">
        <v>750</v>
      </c>
      <c r="G2037" s="8" t="s">
        <v>817</v>
      </c>
      <c r="H2037" t="s">
        <v>477</v>
      </c>
      <c r="I2037" t="e">
        <f>VLOOKUP(Tabela2[[#This Row],[Coluna7]],[1]!Tabela1[#All],2,0)</f>
        <v>#REF!</v>
      </c>
      <c r="J2037" t="s">
        <v>478</v>
      </c>
      <c r="L2037">
        <v>845</v>
      </c>
      <c r="Q2037" s="10" t="str">
        <f>Tabela2[[#This Row],[Coluna5]]</f>
        <v>02/2026</v>
      </c>
      <c r="R2037" s="10" t="str">
        <f>IF(Tabela2[[#This Row],[Coluna9]]&gt;0,"Entrada","Saída")</f>
        <v>Saída</v>
      </c>
      <c r="S2037" s="10" t="str">
        <f>Tabela2[[#This Row],[Coluna8]]</f>
        <v>ALISSON TRAJANO</v>
      </c>
      <c r="T2037" s="10" t="e">
        <f>Tabela2[[#This Row],[Coluna72]]</f>
        <v>#REF!</v>
      </c>
      <c r="U2037" s="10">
        <f>SUM(Tabela2[[#This Row],[Coluna9]],Tabela2[[#This Row],[Coluna10]])</f>
        <v>845</v>
      </c>
      <c r="V2037" s="2" t="str">
        <f>Tabela2[[#This Row],[Coluna4]]</f>
        <v>05/02/2026</v>
      </c>
      <c r="W2037" s="2" t="str">
        <f>Tabela2[[#This Row],[Coluna6]]</f>
        <v>03/02/2026</v>
      </c>
    </row>
    <row r="2038" spans="2:23" x14ac:dyDescent="0.2">
      <c r="B2038" t="s">
        <v>27</v>
      </c>
      <c r="C2038" t="s">
        <v>95</v>
      </c>
      <c r="D2038" t="s">
        <v>13</v>
      </c>
      <c r="E2038" s="8" t="s">
        <v>361</v>
      </c>
      <c r="F2038" t="s">
        <v>750</v>
      </c>
      <c r="G2038" s="8" t="s">
        <v>817</v>
      </c>
      <c r="H2038" t="s">
        <v>440</v>
      </c>
      <c r="I2038" t="e">
        <f>VLOOKUP(Tabela2[[#This Row],[Coluna7]],[1]!Tabela1[#All],2,0)</f>
        <v>#REF!</v>
      </c>
      <c r="J2038" t="s">
        <v>441</v>
      </c>
      <c r="L2038">
        <v>199.72</v>
      </c>
      <c r="Q2038" s="10" t="str">
        <f>Tabela2[[#This Row],[Coluna5]]</f>
        <v>02/2026</v>
      </c>
      <c r="R2038" s="10" t="str">
        <f>IF(Tabela2[[#This Row],[Coluna9]]&gt;0,"Entrada","Saída")</f>
        <v>Saída</v>
      </c>
      <c r="S2038" s="10" t="str">
        <f>Tabela2[[#This Row],[Coluna8]]</f>
        <v>ENERGISA</v>
      </c>
      <c r="T2038" s="10" t="e">
        <f>Tabela2[[#This Row],[Coluna72]]</f>
        <v>#REF!</v>
      </c>
      <c r="U2038" s="10">
        <f>SUM(Tabela2[[#This Row],[Coluna9]],Tabela2[[#This Row],[Coluna10]])</f>
        <v>199.72</v>
      </c>
      <c r="V2038" s="2" t="str">
        <f>Tabela2[[#This Row],[Coluna4]]</f>
        <v>06/02/2026</v>
      </c>
      <c r="W2038" s="2" t="str">
        <f>Tabela2[[#This Row],[Coluna6]]</f>
        <v>03/02/2026</v>
      </c>
    </row>
    <row r="2039" spans="2:23" x14ac:dyDescent="0.2">
      <c r="B2039" t="s">
        <v>27</v>
      </c>
      <c r="C2039" t="s">
        <v>95</v>
      </c>
      <c r="D2039" t="s">
        <v>13</v>
      </c>
      <c r="E2039" s="8" t="s">
        <v>752</v>
      </c>
      <c r="F2039" t="s">
        <v>84</v>
      </c>
      <c r="G2039" s="8" t="s">
        <v>361</v>
      </c>
      <c r="H2039" t="s">
        <v>881</v>
      </c>
      <c r="I2039" t="e">
        <f>VLOOKUP(Tabela2[[#This Row],[Coluna7]],[1]!Tabela1[#All],2,0)</f>
        <v>#REF!</v>
      </c>
      <c r="J2039" t="s">
        <v>760</v>
      </c>
      <c r="L2039">
        <v>660.79</v>
      </c>
      <c r="Q2039" s="10" t="str">
        <f>Tabela2[[#This Row],[Coluna5]]</f>
        <v>01/2026</v>
      </c>
      <c r="R2039" s="10" t="str">
        <f>IF(Tabela2[[#This Row],[Coluna9]]&gt;0,"Entrada","Saída")</f>
        <v>Saída</v>
      </c>
      <c r="S2039" s="10" t="str">
        <f>Tabela2[[#This Row],[Coluna8]]</f>
        <v>2/10</v>
      </c>
      <c r="T2039" s="10" t="e">
        <f>Tabela2[[#This Row],[Coluna72]]</f>
        <v>#REF!</v>
      </c>
      <c r="U2039" s="10">
        <f>SUM(Tabela2[[#This Row],[Coluna9]],Tabela2[[#This Row],[Coluna10]])</f>
        <v>660.79</v>
      </c>
      <c r="V2039" s="2" t="str">
        <f>Tabela2[[#This Row],[Coluna4]]</f>
        <v>08/02/2026</v>
      </c>
      <c r="W2039" s="2" t="str">
        <f>Tabela2[[#This Row],[Coluna6]]</f>
        <v>06/02/2026</v>
      </c>
    </row>
    <row r="2040" spans="2:23" x14ac:dyDescent="0.2">
      <c r="B2040" t="s">
        <v>18</v>
      </c>
      <c r="C2040" t="s">
        <v>95</v>
      </c>
      <c r="D2040" t="s">
        <v>13</v>
      </c>
      <c r="E2040" s="8" t="s">
        <v>751</v>
      </c>
      <c r="F2040" t="s">
        <v>750</v>
      </c>
      <c r="G2040" s="8" t="s">
        <v>751</v>
      </c>
      <c r="H2040" t="s">
        <v>488</v>
      </c>
      <c r="I2040" t="e">
        <f>VLOOKUP(Tabela2[[#This Row],[Coluna7]],[1]!Tabela1[#All],2,0)</f>
        <v>#REF!</v>
      </c>
      <c r="J2040" t="s">
        <v>882</v>
      </c>
      <c r="L2040">
        <v>70</v>
      </c>
      <c r="N2040" t="s">
        <v>381</v>
      </c>
      <c r="Q2040" s="10" t="str">
        <f>Tabela2[[#This Row],[Coluna5]]</f>
        <v>02/2026</v>
      </c>
      <c r="R2040" s="10" t="str">
        <f>IF(Tabela2[[#This Row],[Coluna9]]&gt;0,"Entrada","Saída")</f>
        <v>Saída</v>
      </c>
      <c r="S2040" s="10" t="str">
        <f>Tabela2[[#This Row],[Coluna8]]</f>
        <v>VIAJEM 08/02</v>
      </c>
      <c r="T2040" s="10" t="e">
        <f>Tabela2[[#This Row],[Coluna72]]</f>
        <v>#REF!</v>
      </c>
      <c r="U2040" s="10">
        <f>SUM(Tabela2[[#This Row],[Coluna9]],Tabela2[[#This Row],[Coluna10]])</f>
        <v>70</v>
      </c>
      <c r="V2040" s="2" t="str">
        <f>Tabela2[[#This Row],[Coluna4]]</f>
        <v>09/02/2026</v>
      </c>
      <c r="W2040" s="2" t="str">
        <f>Tabela2[[#This Row],[Coluna6]]</f>
        <v>09/02/2026</v>
      </c>
    </row>
    <row r="2041" spans="2:23" x14ac:dyDescent="0.2">
      <c r="B2041" t="s">
        <v>71</v>
      </c>
      <c r="C2041" t="s">
        <v>95</v>
      </c>
      <c r="D2041" t="s">
        <v>13</v>
      </c>
      <c r="E2041" s="8" t="s">
        <v>751</v>
      </c>
      <c r="F2041" t="s">
        <v>750</v>
      </c>
      <c r="G2041" s="8" t="s">
        <v>751</v>
      </c>
      <c r="H2041" t="s">
        <v>488</v>
      </c>
      <c r="I2041" t="e">
        <f>VLOOKUP(Tabela2[[#This Row],[Coluna7]],[1]!Tabela1[#All],2,0)</f>
        <v>#REF!</v>
      </c>
      <c r="L2041">
        <v>300</v>
      </c>
      <c r="N2041" t="s">
        <v>499</v>
      </c>
      <c r="Q2041" s="10" t="str">
        <f>Tabela2[[#This Row],[Coluna5]]</f>
        <v>02/2026</v>
      </c>
      <c r="R2041" s="10" t="str">
        <f>IF(Tabela2[[#This Row],[Coluna9]]&gt;0,"Entrada","Saída")</f>
        <v>Saída</v>
      </c>
      <c r="S2041" s="10">
        <f>Tabela2[[#This Row],[Coluna8]]</f>
        <v>0</v>
      </c>
      <c r="T2041" s="10" t="e">
        <f>Tabela2[[#This Row],[Coluna72]]</f>
        <v>#REF!</v>
      </c>
      <c r="U2041" s="10">
        <f>SUM(Tabela2[[#This Row],[Coluna9]],Tabela2[[#This Row],[Coluna10]])</f>
        <v>300</v>
      </c>
      <c r="V2041" s="2" t="str">
        <f>Tabela2[[#This Row],[Coluna4]]</f>
        <v>09/02/2026</v>
      </c>
      <c r="W2041" s="2" t="str">
        <f>Tabela2[[#This Row],[Coluna6]]</f>
        <v>09/02/2026</v>
      </c>
    </row>
    <row r="2042" spans="2:23" x14ac:dyDescent="0.2">
      <c r="B2042" t="s">
        <v>71</v>
      </c>
      <c r="C2042" t="s">
        <v>95</v>
      </c>
      <c r="D2042" t="s">
        <v>13</v>
      </c>
      <c r="E2042" s="8" t="s">
        <v>751</v>
      </c>
      <c r="F2042" t="s">
        <v>750</v>
      </c>
      <c r="G2042" s="8" t="s">
        <v>751</v>
      </c>
      <c r="H2042" t="s">
        <v>488</v>
      </c>
      <c r="I2042" t="e">
        <f>VLOOKUP(Tabela2[[#This Row],[Coluna7]],[1]!Tabela1[#All],2,0)</f>
        <v>#REF!</v>
      </c>
      <c r="J2042" t="s">
        <v>883</v>
      </c>
      <c r="L2042">
        <v>50</v>
      </c>
      <c r="Q2042" s="10" t="str">
        <f>Tabela2[[#This Row],[Coluna5]]</f>
        <v>02/2026</v>
      </c>
      <c r="R2042" s="10" t="str">
        <f>IF(Tabela2[[#This Row],[Coluna9]]&gt;0,"Entrada","Saída")</f>
        <v>Saída</v>
      </c>
      <c r="S2042" s="10" t="str">
        <f>Tabela2[[#This Row],[Coluna8]]</f>
        <v>PARCEIRO TEL</v>
      </c>
      <c r="T2042" s="10" t="e">
        <f>Tabela2[[#This Row],[Coluna72]]</f>
        <v>#REF!</v>
      </c>
      <c r="U2042" s="10">
        <f>SUM(Tabela2[[#This Row],[Coluna9]],Tabela2[[#This Row],[Coluna10]])</f>
        <v>50</v>
      </c>
      <c r="V2042" s="2" t="str">
        <f>Tabela2[[#This Row],[Coluna4]]</f>
        <v>09/02/2026</v>
      </c>
      <c r="W2042" s="2" t="str">
        <f>Tabela2[[#This Row],[Coluna6]]</f>
        <v>09/02/2026</v>
      </c>
    </row>
    <row r="2043" spans="2:23" x14ac:dyDescent="0.2">
      <c r="B2043" t="s">
        <v>71</v>
      </c>
      <c r="C2043" t="s">
        <v>95</v>
      </c>
      <c r="D2043" t="s">
        <v>13</v>
      </c>
      <c r="E2043" s="8" t="s">
        <v>751</v>
      </c>
      <c r="F2043" t="s">
        <v>750</v>
      </c>
      <c r="G2043" s="8" t="s">
        <v>751</v>
      </c>
      <c r="H2043" t="s">
        <v>488</v>
      </c>
      <c r="I2043" t="e">
        <f>VLOOKUP(Tabela2[[#This Row],[Coluna7]],[1]!Tabela1[#All],2,0)</f>
        <v>#REF!</v>
      </c>
      <c r="J2043" t="s">
        <v>884</v>
      </c>
      <c r="L2043">
        <v>50</v>
      </c>
      <c r="Q2043" s="10" t="str">
        <f>Tabela2[[#This Row],[Coluna5]]</f>
        <v>02/2026</v>
      </c>
      <c r="R2043" s="10" t="str">
        <f>IF(Tabela2[[#This Row],[Coluna9]]&gt;0,"Entrada","Saída")</f>
        <v>Saída</v>
      </c>
      <c r="S2043" s="10" t="str">
        <f>Tabela2[[#This Row],[Coluna8]]</f>
        <v>IRMÃO MAURICIO</v>
      </c>
      <c r="T2043" s="10" t="e">
        <f>Tabela2[[#This Row],[Coluna72]]</f>
        <v>#REF!</v>
      </c>
      <c r="U2043" s="10">
        <f>SUM(Tabela2[[#This Row],[Coluna9]],Tabela2[[#This Row],[Coluna10]])</f>
        <v>50</v>
      </c>
      <c r="V2043" s="2" t="str">
        <f>Tabela2[[#This Row],[Coluna4]]</f>
        <v>09/02/2026</v>
      </c>
      <c r="W2043" s="2" t="str">
        <f>Tabela2[[#This Row],[Coluna6]]</f>
        <v>09/02/2026</v>
      </c>
    </row>
    <row r="2044" spans="2:23" x14ac:dyDescent="0.2">
      <c r="B2044" t="s">
        <v>748</v>
      </c>
      <c r="C2044" t="s">
        <v>95</v>
      </c>
      <c r="D2044" t="s">
        <v>13</v>
      </c>
      <c r="E2044" s="8" t="s">
        <v>751</v>
      </c>
      <c r="F2044" t="s">
        <v>750</v>
      </c>
      <c r="G2044" s="8" t="s">
        <v>751</v>
      </c>
      <c r="H2044" t="s">
        <v>469</v>
      </c>
      <c r="I2044" t="e">
        <f>VLOOKUP(Tabela2[[#This Row],[Coluna7]],[1]!Tabela1[#All],2,0)</f>
        <v>#REF!</v>
      </c>
      <c r="J2044" t="s">
        <v>885</v>
      </c>
      <c r="L2044">
        <v>168.63</v>
      </c>
      <c r="Q2044" s="10" t="str">
        <f>Tabela2[[#This Row],[Coluna5]]</f>
        <v>02/2026</v>
      </c>
      <c r="R2044" s="10" t="str">
        <f>IF(Tabela2[[#This Row],[Coluna9]]&gt;0,"Entrada","Saída")</f>
        <v>Saída</v>
      </c>
      <c r="S2044" s="10" t="str">
        <f>Tabela2[[#This Row],[Coluna8]]</f>
        <v>SHOPEE</v>
      </c>
      <c r="T2044" s="10" t="e">
        <f>Tabela2[[#This Row],[Coluna72]]</f>
        <v>#REF!</v>
      </c>
      <c r="U2044" s="10">
        <f>SUM(Tabela2[[#This Row],[Coluna9]],Tabela2[[#This Row],[Coluna10]])</f>
        <v>168.63</v>
      </c>
      <c r="V2044" s="2" t="str">
        <f>Tabela2[[#This Row],[Coluna4]]</f>
        <v>09/02/2026</v>
      </c>
      <c r="W2044" s="2" t="str">
        <f>Tabela2[[#This Row],[Coluna6]]</f>
        <v>09/02/2026</v>
      </c>
    </row>
    <row r="2045" spans="2:23" x14ac:dyDescent="0.2">
      <c r="B2045" t="s">
        <v>71</v>
      </c>
      <c r="C2045" t="s">
        <v>95</v>
      </c>
      <c r="D2045" t="s">
        <v>13</v>
      </c>
      <c r="E2045" s="8" t="s">
        <v>834</v>
      </c>
      <c r="F2045" t="s">
        <v>750</v>
      </c>
      <c r="G2045" s="8" t="s">
        <v>753</v>
      </c>
      <c r="H2045" t="s">
        <v>445</v>
      </c>
      <c r="I2045" t="e">
        <f>VLOOKUP(Tabela2[[#This Row],[Coluna7]],[1]!Tabela1[#All],2,0)</f>
        <v>#REF!</v>
      </c>
      <c r="J2045" t="s">
        <v>886</v>
      </c>
      <c r="L2045">
        <v>1500</v>
      </c>
      <c r="Q2045" s="10" t="str">
        <f>Tabela2[[#This Row],[Coluna5]]</f>
        <v>02/2026</v>
      </c>
      <c r="R2045" s="10" t="str">
        <f>IF(Tabela2[[#This Row],[Coluna9]]&gt;0,"Entrada","Saída")</f>
        <v>Saída</v>
      </c>
      <c r="S2045" s="10" t="str">
        <f>Tabela2[[#This Row],[Coluna8]]</f>
        <v>8/9 SISTEMA FINANCEIRO</v>
      </c>
      <c r="T2045" s="10" t="e">
        <f>Tabela2[[#This Row],[Coluna72]]</f>
        <v>#REF!</v>
      </c>
      <c r="U2045" s="10">
        <f>SUM(Tabela2[[#This Row],[Coluna9]],Tabela2[[#This Row],[Coluna10]])</f>
        <v>1500</v>
      </c>
      <c r="V2045" s="2" t="str">
        <f>Tabela2[[#This Row],[Coluna4]]</f>
        <v>10/02/2026</v>
      </c>
      <c r="W2045" s="2" t="str">
        <f>Tabela2[[#This Row],[Coluna6]]</f>
        <v>13/02/2026</v>
      </c>
    </row>
    <row r="2046" spans="2:23" x14ac:dyDescent="0.2">
      <c r="B2046" t="s">
        <v>27</v>
      </c>
      <c r="C2046" t="s">
        <v>95</v>
      </c>
      <c r="D2046" t="s">
        <v>13</v>
      </c>
      <c r="E2046" s="8" t="s">
        <v>834</v>
      </c>
      <c r="F2046" t="s">
        <v>750</v>
      </c>
      <c r="G2046" s="8" t="s">
        <v>834</v>
      </c>
      <c r="H2046" t="s">
        <v>445</v>
      </c>
      <c r="I2046" t="e">
        <f>VLOOKUP(Tabela2[[#This Row],[Coluna7]],[1]!Tabela1[#All],2,0)</f>
        <v>#REF!</v>
      </c>
      <c r="J2046" t="s">
        <v>447</v>
      </c>
      <c r="L2046">
        <v>385</v>
      </c>
      <c r="Q2046" s="10" t="str">
        <f>Tabela2[[#This Row],[Coluna5]]</f>
        <v>02/2026</v>
      </c>
      <c r="R2046" s="10" t="str">
        <f>IF(Tabela2[[#This Row],[Coluna9]]&gt;0,"Entrada","Saída")</f>
        <v>Saída</v>
      </c>
      <c r="S2046" s="10" t="str">
        <f>Tabela2[[#This Row],[Coluna8]]</f>
        <v>LEGALMAIL</v>
      </c>
      <c r="T2046" s="10" t="e">
        <f>Tabela2[[#This Row],[Coluna72]]</f>
        <v>#REF!</v>
      </c>
      <c r="U2046" s="10">
        <f>SUM(Tabela2[[#This Row],[Coluna9]],Tabela2[[#This Row],[Coluna10]])</f>
        <v>385</v>
      </c>
      <c r="V2046" s="2" t="str">
        <f>Tabela2[[#This Row],[Coluna4]]</f>
        <v>10/02/2026</v>
      </c>
      <c r="W2046" s="2" t="str">
        <f>Tabela2[[#This Row],[Coluna6]]</f>
        <v>10/02/2026</v>
      </c>
    </row>
    <row r="2047" spans="2:23" x14ac:dyDescent="0.2">
      <c r="B2047" t="s">
        <v>27</v>
      </c>
      <c r="C2047" t="s">
        <v>95</v>
      </c>
      <c r="D2047" t="s">
        <v>13</v>
      </c>
      <c r="E2047" s="8" t="s">
        <v>834</v>
      </c>
      <c r="F2047" t="s">
        <v>750</v>
      </c>
      <c r="G2047" s="8" t="s">
        <v>834</v>
      </c>
      <c r="H2047" t="s">
        <v>451</v>
      </c>
      <c r="I2047" t="e">
        <f>VLOOKUP(Tabela2[[#This Row],[Coluna7]],[1]!Tabela1[#All],2,0)</f>
        <v>#REF!</v>
      </c>
      <c r="J2047" t="s">
        <v>452</v>
      </c>
      <c r="L2047">
        <v>154.79</v>
      </c>
      <c r="Q2047" s="10" t="str">
        <f>Tabela2[[#This Row],[Coluna5]]</f>
        <v>02/2026</v>
      </c>
      <c r="R2047" s="10" t="str">
        <f>IF(Tabela2[[#This Row],[Coluna9]]&gt;0,"Entrada","Saída")</f>
        <v>Saída</v>
      </c>
      <c r="S2047" s="10" t="str">
        <f>Tabela2[[#This Row],[Coluna8]]</f>
        <v>CLARO</v>
      </c>
      <c r="T2047" s="10" t="e">
        <f>Tabela2[[#This Row],[Coluna72]]</f>
        <v>#REF!</v>
      </c>
      <c r="U2047" s="10">
        <f>SUM(Tabela2[[#This Row],[Coluna9]],Tabela2[[#This Row],[Coluna10]])</f>
        <v>154.79</v>
      </c>
      <c r="V2047" s="2" t="str">
        <f>Tabela2[[#This Row],[Coluna4]]</f>
        <v>10/02/2026</v>
      </c>
      <c r="W2047" s="2" t="str">
        <f>Tabela2[[#This Row],[Coluna6]]</f>
        <v>10/02/2026</v>
      </c>
    </row>
    <row r="2048" spans="2:23" x14ac:dyDescent="0.2">
      <c r="B2048" t="s">
        <v>18</v>
      </c>
      <c r="C2048" t="s">
        <v>95</v>
      </c>
      <c r="D2048" t="s">
        <v>13</v>
      </c>
      <c r="E2048" s="8" t="s">
        <v>834</v>
      </c>
      <c r="F2048" t="s">
        <v>750</v>
      </c>
      <c r="G2048" s="8" t="s">
        <v>834</v>
      </c>
      <c r="H2048" t="s">
        <v>488</v>
      </c>
      <c r="I2048" t="e">
        <f>VLOOKUP(Tabela2[[#This Row],[Coluna7]],[1]!Tabela1[#All],2,0)</f>
        <v>#REF!</v>
      </c>
      <c r="J2048" t="s">
        <v>887</v>
      </c>
      <c r="L2048">
        <v>50</v>
      </c>
      <c r="N2048" t="s">
        <v>888</v>
      </c>
      <c r="Q2048" s="10" t="str">
        <f>Tabela2[[#This Row],[Coluna5]]</f>
        <v>02/2026</v>
      </c>
      <c r="R2048" s="10" t="str">
        <f>IF(Tabela2[[#This Row],[Coluna9]]&gt;0,"Entrada","Saída")</f>
        <v>Saída</v>
      </c>
      <c r="S2048" s="10" t="str">
        <f>Tabela2[[#This Row],[Coluna8]]</f>
        <v>PIX PARA MARIA JOSÉ CALIXTO</v>
      </c>
      <c r="T2048" s="10" t="e">
        <f>Tabela2[[#This Row],[Coluna72]]</f>
        <v>#REF!</v>
      </c>
      <c r="U2048" s="10">
        <f>SUM(Tabela2[[#This Row],[Coluna9]],Tabela2[[#This Row],[Coluna10]])</f>
        <v>50</v>
      </c>
      <c r="V2048" s="2" t="str">
        <f>Tabela2[[#This Row],[Coluna4]]</f>
        <v>10/02/2026</v>
      </c>
      <c r="W2048" s="2" t="str">
        <f>Tabela2[[#This Row],[Coluna6]]</f>
        <v>10/02/2026</v>
      </c>
    </row>
    <row r="2049" spans="2:23" x14ac:dyDescent="0.2">
      <c r="B2049" t="s">
        <v>27</v>
      </c>
      <c r="C2049" t="s">
        <v>95</v>
      </c>
      <c r="D2049" t="s">
        <v>13</v>
      </c>
      <c r="E2049" s="8" t="s">
        <v>834</v>
      </c>
      <c r="F2049" t="s">
        <v>750</v>
      </c>
      <c r="G2049" s="8" t="s">
        <v>834</v>
      </c>
      <c r="H2049" t="s">
        <v>449</v>
      </c>
      <c r="I2049" t="e">
        <f>VLOOKUP(Tabela2[[#This Row],[Coluna7]],[1]!Tabela1[#All],2,0)</f>
        <v>#REF!</v>
      </c>
      <c r="J2049" t="s">
        <v>484</v>
      </c>
      <c r="L2049">
        <v>2000</v>
      </c>
      <c r="Q2049" s="10" t="str">
        <f>Tabela2[[#This Row],[Coluna5]]</f>
        <v>02/2026</v>
      </c>
      <c r="R2049" s="10" t="str">
        <f>IF(Tabela2[[#This Row],[Coluna9]]&gt;0,"Entrada","Saída")</f>
        <v>Saída</v>
      </c>
      <c r="S2049" s="10" t="str">
        <f>Tabela2[[#This Row],[Coluna8]]</f>
        <v>BERRY</v>
      </c>
      <c r="T2049" s="10" t="e">
        <f>Tabela2[[#This Row],[Coluna72]]</f>
        <v>#REF!</v>
      </c>
      <c r="U2049" s="10">
        <f>SUM(Tabela2[[#This Row],[Coluna9]],Tabela2[[#This Row],[Coluna10]])</f>
        <v>2000</v>
      </c>
      <c r="V2049" s="2" t="str">
        <f>Tabela2[[#This Row],[Coluna4]]</f>
        <v>10/02/2026</v>
      </c>
      <c r="W2049" s="2" t="str">
        <f>Tabela2[[#This Row],[Coluna6]]</f>
        <v>10/02/2026</v>
      </c>
    </row>
    <row r="2050" spans="2:23" x14ac:dyDescent="0.2">
      <c r="B2050" t="s">
        <v>18</v>
      </c>
      <c r="C2050" t="s">
        <v>95</v>
      </c>
      <c r="D2050" t="s">
        <v>13</v>
      </c>
      <c r="E2050" s="8" t="s">
        <v>835</v>
      </c>
      <c r="F2050" t="s">
        <v>750</v>
      </c>
      <c r="G2050" s="8" t="s">
        <v>835</v>
      </c>
      <c r="H2050" t="s">
        <v>488</v>
      </c>
      <c r="I2050" t="e">
        <f>VLOOKUP(Tabela2[[#This Row],[Coluna7]],[1]!Tabela1[#All],2,0)</f>
        <v>#REF!</v>
      </c>
      <c r="L2050">
        <v>100</v>
      </c>
      <c r="N2050" t="s">
        <v>783</v>
      </c>
      <c r="Q2050" s="10" t="str">
        <f>Tabela2[[#This Row],[Coluna5]]</f>
        <v>02/2026</v>
      </c>
      <c r="R2050" s="10" t="str">
        <f>IF(Tabela2[[#This Row],[Coluna9]]&gt;0,"Entrada","Saída")</f>
        <v>Saída</v>
      </c>
      <c r="S2050" s="10">
        <f>Tabela2[[#This Row],[Coluna8]]</f>
        <v>0</v>
      </c>
      <c r="T2050" s="10" t="e">
        <f>Tabela2[[#This Row],[Coluna72]]</f>
        <v>#REF!</v>
      </c>
      <c r="U2050" s="10">
        <f>SUM(Tabela2[[#This Row],[Coluna9]],Tabela2[[#This Row],[Coluna10]])</f>
        <v>100</v>
      </c>
      <c r="V2050" s="2" t="str">
        <f>Tabela2[[#This Row],[Coluna4]]</f>
        <v>11/02/2026</v>
      </c>
      <c r="W2050" s="2" t="str">
        <f>Tabela2[[#This Row],[Coluna6]]</f>
        <v>11/02/2026</v>
      </c>
    </row>
    <row r="2051" spans="2:23" x14ac:dyDescent="0.2">
      <c r="B2051" t="s">
        <v>748</v>
      </c>
      <c r="C2051" t="s">
        <v>95</v>
      </c>
      <c r="D2051" t="s">
        <v>13</v>
      </c>
      <c r="E2051" s="8" t="s">
        <v>839</v>
      </c>
      <c r="F2051" t="s">
        <v>750</v>
      </c>
      <c r="G2051" s="8" t="s">
        <v>839</v>
      </c>
      <c r="H2051" t="s">
        <v>435</v>
      </c>
      <c r="I2051" t="e">
        <f>VLOOKUP(Tabela2[[#This Row],[Coluna7]],[1]!Tabela1[#All],2,0)</f>
        <v>#REF!</v>
      </c>
      <c r="J2051" t="s">
        <v>889</v>
      </c>
      <c r="L2051">
        <v>354.65</v>
      </c>
      <c r="Q2051" s="10" t="str">
        <f>Tabela2[[#This Row],[Coluna5]]</f>
        <v>02/2026</v>
      </c>
      <c r="R2051" s="10" t="str">
        <f>IF(Tabela2[[#This Row],[Coluna9]]&gt;0,"Entrada","Saída")</f>
        <v>Saída</v>
      </c>
      <c r="S2051" s="10" t="str">
        <f>Tabela2[[#This Row],[Coluna8]]</f>
        <v>MARKETPLACE</v>
      </c>
      <c r="T2051" s="10" t="e">
        <f>Tabela2[[#This Row],[Coluna72]]</f>
        <v>#REF!</v>
      </c>
      <c r="U2051" s="10">
        <f>SUM(Tabela2[[#This Row],[Coluna9]],Tabela2[[#This Row],[Coluna10]])</f>
        <v>354.65</v>
      </c>
      <c r="V2051" s="2" t="str">
        <f>Tabela2[[#This Row],[Coluna4]]</f>
        <v>12/02/2026</v>
      </c>
      <c r="W2051" s="2" t="str">
        <f>Tabela2[[#This Row],[Coluna6]]</f>
        <v>12/02/2026</v>
      </c>
    </row>
    <row r="2052" spans="2:23" x14ac:dyDescent="0.2">
      <c r="B2052" t="s">
        <v>27</v>
      </c>
      <c r="C2052" t="s">
        <v>95</v>
      </c>
      <c r="D2052" t="s">
        <v>13</v>
      </c>
      <c r="E2052" s="8" t="s">
        <v>753</v>
      </c>
      <c r="F2052" t="s">
        <v>750</v>
      </c>
      <c r="G2052" s="8" t="s">
        <v>753</v>
      </c>
      <c r="H2052" t="s">
        <v>442</v>
      </c>
      <c r="I2052" t="e">
        <f>VLOOKUP(Tabela2[[#This Row],[Coluna7]],[1]!Tabela1[#All],2,0)</f>
        <v>#REF!</v>
      </c>
      <c r="J2052" t="s">
        <v>453</v>
      </c>
      <c r="L2052">
        <v>1045.3800000000001</v>
      </c>
      <c r="Q2052" s="10" t="str">
        <f>Tabela2[[#This Row],[Coluna5]]</f>
        <v>02/2026</v>
      </c>
      <c r="R2052" s="10" t="str">
        <f>IF(Tabela2[[#This Row],[Coluna9]]&gt;0,"Entrada","Saída")</f>
        <v>Saída</v>
      </c>
      <c r="S2052" s="10" t="str">
        <f>Tabela2[[#This Row],[Coluna8]]</f>
        <v>CAPITAL DE GIRO</v>
      </c>
      <c r="T2052" s="10" t="e">
        <f>Tabela2[[#This Row],[Coluna72]]</f>
        <v>#REF!</v>
      </c>
      <c r="U2052" s="10">
        <f>SUM(Tabela2[[#This Row],[Coluna9]],Tabela2[[#This Row],[Coluna10]])</f>
        <v>1045.3800000000001</v>
      </c>
      <c r="V2052" s="2" t="str">
        <f>Tabela2[[#This Row],[Coluna4]]</f>
        <v>13/02/2026</v>
      </c>
      <c r="W2052" s="2" t="str">
        <f>Tabela2[[#This Row],[Coluna6]]</f>
        <v>13/02/2026</v>
      </c>
    </row>
    <row r="2053" spans="2:23" x14ac:dyDescent="0.2">
      <c r="B2053" t="s">
        <v>748</v>
      </c>
      <c r="C2053" t="s">
        <v>95</v>
      </c>
      <c r="D2053" t="s">
        <v>13</v>
      </c>
      <c r="E2053" s="8" t="s">
        <v>691</v>
      </c>
      <c r="F2053" t="s">
        <v>750</v>
      </c>
      <c r="G2053" s="8" t="s">
        <v>691</v>
      </c>
      <c r="H2053" t="s">
        <v>438</v>
      </c>
      <c r="I2053" t="e">
        <f>VLOOKUP(Tabela2[[#This Row],[Coluna7]],[1]!Tabela1[#All],2,0)</f>
        <v>#REF!</v>
      </c>
      <c r="J2053" t="s">
        <v>890</v>
      </c>
      <c r="L2053">
        <v>400</v>
      </c>
      <c r="Q2053" s="10" t="str">
        <f>Tabela2[[#This Row],[Coluna5]]</f>
        <v>02/2026</v>
      </c>
      <c r="R2053" s="10" t="str">
        <f>IF(Tabela2[[#This Row],[Coluna9]]&gt;0,"Entrada","Saída")</f>
        <v>Saída</v>
      </c>
      <c r="S2053" s="10" t="str">
        <f>Tabela2[[#This Row],[Coluna8]]</f>
        <v>MANUTENÇÃO DE COMPUTADORES</v>
      </c>
      <c r="T2053" s="10" t="e">
        <f>Tabela2[[#This Row],[Coluna72]]</f>
        <v>#REF!</v>
      </c>
      <c r="U2053" s="10">
        <f>SUM(Tabela2[[#This Row],[Coluna9]],Tabela2[[#This Row],[Coluna10]])</f>
        <v>400</v>
      </c>
      <c r="V2053" s="2" t="str">
        <f>Tabela2[[#This Row],[Coluna4]]</f>
        <v>15/02/2026</v>
      </c>
      <c r="W2053" s="2" t="str">
        <f>Tabela2[[#This Row],[Coluna6]]</f>
        <v>15/02/2026</v>
      </c>
    </row>
    <row r="2054" spans="2:23" x14ac:dyDescent="0.2">
      <c r="B2054" t="s">
        <v>27</v>
      </c>
      <c r="C2054" t="s">
        <v>95</v>
      </c>
      <c r="D2054" t="s">
        <v>13</v>
      </c>
      <c r="E2054" s="8" t="s">
        <v>846</v>
      </c>
      <c r="F2054" t="s">
        <v>750</v>
      </c>
      <c r="G2054" s="8" t="s">
        <v>848</v>
      </c>
      <c r="H2054" t="s">
        <v>445</v>
      </c>
      <c r="I2054" t="e">
        <f>VLOOKUP(Tabela2[[#This Row],[Coluna7]],[1]!Tabela1[#All],2,0)</f>
        <v>#REF!</v>
      </c>
      <c r="J2054" t="s">
        <v>876</v>
      </c>
      <c r="L2054">
        <v>825.34</v>
      </c>
      <c r="Q2054" s="10" t="str">
        <f>Tabela2[[#This Row],[Coluna5]]</f>
        <v>02/2026</v>
      </c>
      <c r="R2054" s="10" t="str">
        <f>IF(Tabela2[[#This Row],[Coluna9]]&gt;0,"Entrada","Saída")</f>
        <v>Saída</v>
      </c>
      <c r="S2054" s="10" t="str">
        <f>Tabela2[[#This Row],[Coluna8]]</f>
        <v>ADVBOX</v>
      </c>
      <c r="T2054" s="10" t="e">
        <f>Tabela2[[#This Row],[Coluna72]]</f>
        <v>#REF!</v>
      </c>
      <c r="U2054" s="10">
        <f>SUM(Tabela2[[#This Row],[Coluna9]],Tabela2[[#This Row],[Coluna10]])</f>
        <v>825.34</v>
      </c>
      <c r="V2054" s="2" t="str">
        <f>Tabela2[[#This Row],[Coluna4]]</f>
        <v>19/02/2026</v>
      </c>
      <c r="W2054" s="2" t="str">
        <f>Tabela2[[#This Row],[Coluna6]]</f>
        <v>23/02/2026</v>
      </c>
    </row>
    <row r="2055" spans="2:23" x14ac:dyDescent="0.2">
      <c r="B2055" t="s">
        <v>18</v>
      </c>
      <c r="C2055" t="s">
        <v>95</v>
      </c>
      <c r="D2055" t="s">
        <v>13</v>
      </c>
      <c r="E2055" s="8" t="s">
        <v>846</v>
      </c>
      <c r="F2055" t="s">
        <v>750</v>
      </c>
      <c r="G2055" s="8" t="s">
        <v>846</v>
      </c>
      <c r="H2055" t="s">
        <v>488</v>
      </c>
      <c r="I2055" t="e">
        <f>VLOOKUP(Tabela2[[#This Row],[Coluna7]],[1]!Tabela1[#All],2,0)</f>
        <v>#REF!</v>
      </c>
      <c r="L2055">
        <v>250</v>
      </c>
      <c r="N2055" t="s">
        <v>499</v>
      </c>
      <c r="Q2055" s="10" t="str">
        <f>Tabela2[[#This Row],[Coluna5]]</f>
        <v>02/2026</v>
      </c>
      <c r="R2055" s="10" t="str">
        <f>IF(Tabela2[[#This Row],[Coluna9]]&gt;0,"Entrada","Saída")</f>
        <v>Saída</v>
      </c>
      <c r="S2055" s="10">
        <f>Tabela2[[#This Row],[Coluna8]]</f>
        <v>0</v>
      </c>
      <c r="T2055" s="10" t="e">
        <f>Tabela2[[#This Row],[Coluna72]]</f>
        <v>#REF!</v>
      </c>
      <c r="U2055" s="10">
        <f>SUM(Tabela2[[#This Row],[Coluna9]],Tabela2[[#This Row],[Coluna10]])</f>
        <v>250</v>
      </c>
      <c r="V2055" s="2" t="str">
        <f>Tabela2[[#This Row],[Coluna4]]</f>
        <v>19/02/2026</v>
      </c>
      <c r="W2055" s="2" t="str">
        <f>Tabela2[[#This Row],[Coluna6]]</f>
        <v>19/02/2026</v>
      </c>
    </row>
    <row r="2056" spans="2:23" x14ac:dyDescent="0.2">
      <c r="B2056" t="s">
        <v>18</v>
      </c>
      <c r="C2056" t="s">
        <v>95</v>
      </c>
      <c r="D2056" t="s">
        <v>13</v>
      </c>
      <c r="E2056" s="8" t="s">
        <v>846</v>
      </c>
      <c r="F2056" t="s">
        <v>750</v>
      </c>
      <c r="G2056" s="8" t="s">
        <v>846</v>
      </c>
      <c r="H2056" t="s">
        <v>469</v>
      </c>
      <c r="I2056" t="e">
        <f>VLOOKUP(Tabela2[[#This Row],[Coluna7]],[1]!Tabela1[#All],2,0)</f>
        <v>#REF!</v>
      </c>
      <c r="L2056">
        <v>30</v>
      </c>
      <c r="Q2056" s="10" t="str">
        <f>Tabela2[[#This Row],[Coluna5]]</f>
        <v>02/2026</v>
      </c>
      <c r="R2056" s="10" t="str">
        <f>IF(Tabela2[[#This Row],[Coluna9]]&gt;0,"Entrada","Saída")</f>
        <v>Saída</v>
      </c>
      <c r="S2056" s="10">
        <f>Tabela2[[#This Row],[Coluna8]]</f>
        <v>0</v>
      </c>
      <c r="T2056" s="10" t="e">
        <f>Tabela2[[#This Row],[Coluna72]]</f>
        <v>#REF!</v>
      </c>
      <c r="U2056" s="10">
        <f>SUM(Tabela2[[#This Row],[Coluna9]],Tabela2[[#This Row],[Coluna10]])</f>
        <v>30</v>
      </c>
      <c r="V2056" s="2" t="str">
        <f>Tabela2[[#This Row],[Coluna4]]</f>
        <v>19/02/2026</v>
      </c>
      <c r="W2056" s="2" t="str">
        <f>Tabela2[[#This Row],[Coluna6]]</f>
        <v>19/02/2026</v>
      </c>
    </row>
    <row r="2057" spans="2:23" x14ac:dyDescent="0.2">
      <c r="B2057" t="s">
        <v>18</v>
      </c>
      <c r="C2057" t="s">
        <v>95</v>
      </c>
      <c r="D2057" t="s">
        <v>13</v>
      </c>
      <c r="E2057" s="8" t="s">
        <v>846</v>
      </c>
      <c r="F2057" t="s">
        <v>750</v>
      </c>
      <c r="G2057" s="8" t="s">
        <v>846</v>
      </c>
      <c r="H2057" t="s">
        <v>445</v>
      </c>
      <c r="I2057" t="e">
        <f>VLOOKUP(Tabela2[[#This Row],[Coluna7]],[1]!Tabela1[#All],2,0)</f>
        <v>#REF!</v>
      </c>
      <c r="J2057" t="s">
        <v>891</v>
      </c>
      <c r="L2057">
        <v>2000</v>
      </c>
      <c r="Q2057" s="10" t="str">
        <f>Tabela2[[#This Row],[Coluna5]]</f>
        <v>02/2026</v>
      </c>
      <c r="R2057" s="10" t="str">
        <f>IF(Tabela2[[#This Row],[Coluna9]]&gt;0,"Entrada","Saída")</f>
        <v>Saída</v>
      </c>
      <c r="S2057" s="10" t="str">
        <f>Tabela2[[#This Row],[Coluna8]]</f>
        <v>IMPLANTAÇÃO MIDIA CHAT</v>
      </c>
      <c r="T2057" s="10" t="e">
        <f>Tabela2[[#This Row],[Coluna72]]</f>
        <v>#REF!</v>
      </c>
      <c r="U2057" s="10">
        <f>SUM(Tabela2[[#This Row],[Coluna9]],Tabela2[[#This Row],[Coluna10]])</f>
        <v>2000</v>
      </c>
      <c r="V2057" s="2" t="str">
        <f>Tabela2[[#This Row],[Coluna4]]</f>
        <v>19/02/2026</v>
      </c>
      <c r="W2057" s="2" t="str">
        <f>Tabela2[[#This Row],[Coluna6]]</f>
        <v>19/02/2026</v>
      </c>
    </row>
    <row r="2058" spans="2:23" x14ac:dyDescent="0.2">
      <c r="B2058" t="s">
        <v>18</v>
      </c>
      <c r="C2058" t="s">
        <v>95</v>
      </c>
      <c r="D2058" t="s">
        <v>13</v>
      </c>
      <c r="E2058" s="8" t="s">
        <v>756</v>
      </c>
      <c r="F2058" t="s">
        <v>750</v>
      </c>
      <c r="G2058" s="8" t="s">
        <v>756</v>
      </c>
      <c r="H2058" t="s">
        <v>438</v>
      </c>
      <c r="I2058" t="e">
        <f>VLOOKUP(Tabela2[[#This Row],[Coluna7]],[1]!Tabela1[#All],2,0)</f>
        <v>#REF!</v>
      </c>
      <c r="J2058" t="s">
        <v>892</v>
      </c>
      <c r="L2058">
        <v>480</v>
      </c>
      <c r="Q2058" s="10" t="str">
        <f>Tabela2[[#This Row],[Coluna5]]</f>
        <v>02/2026</v>
      </c>
      <c r="R2058" s="10" t="str">
        <f>IF(Tabela2[[#This Row],[Coluna9]]&gt;0,"Entrada","Saída")</f>
        <v>Saída</v>
      </c>
      <c r="S2058" s="10" t="str">
        <f>Tabela2[[#This Row],[Coluna8]]</f>
        <v>EDEN DA SILVA RODRIGUES</v>
      </c>
      <c r="T2058" s="10" t="e">
        <f>Tabela2[[#This Row],[Coluna72]]</f>
        <v>#REF!</v>
      </c>
      <c r="U2058" s="10">
        <f>SUM(Tabela2[[#This Row],[Coluna9]],Tabela2[[#This Row],[Coluna10]])</f>
        <v>480</v>
      </c>
      <c r="V2058" s="2" t="str">
        <f>Tabela2[[#This Row],[Coluna4]]</f>
        <v>20/02/2026</v>
      </c>
      <c r="W2058" s="2" t="str">
        <f>Tabela2[[#This Row],[Coluna6]]</f>
        <v>20/02/2026</v>
      </c>
    </row>
    <row r="2059" spans="2:23" x14ac:dyDescent="0.2">
      <c r="B2059" t="s">
        <v>748</v>
      </c>
      <c r="C2059" t="s">
        <v>95</v>
      </c>
      <c r="D2059" t="s">
        <v>13</v>
      </c>
      <c r="E2059" s="8" t="s">
        <v>847</v>
      </c>
      <c r="F2059" t="s">
        <v>750</v>
      </c>
      <c r="G2059" s="8" t="s">
        <v>847</v>
      </c>
      <c r="H2059" t="s">
        <v>746</v>
      </c>
      <c r="I2059" t="e">
        <f>VLOOKUP(Tabela2[[#This Row],[Coluna7]],[1]!Tabela1[#All],2,0)</f>
        <v>#REF!</v>
      </c>
      <c r="J2059" s="9" t="s">
        <v>684</v>
      </c>
      <c r="L2059">
        <v>58.9</v>
      </c>
      <c r="Q2059" s="10" t="str">
        <f>Tabela2[[#This Row],[Coluna5]]</f>
        <v>02/2026</v>
      </c>
      <c r="R2059" s="10" t="str">
        <f>IF(Tabela2[[#This Row],[Coluna9]]&gt;0,"Entrada","Saída")</f>
        <v>Saída</v>
      </c>
      <c r="S2059" s="10" t="str">
        <f>Tabela2[[#This Row],[Coluna8]]</f>
        <v>CARTÃO BRADESCO</v>
      </c>
      <c r="T2059" s="10" t="e">
        <f>Tabela2[[#This Row],[Coluna72]]</f>
        <v>#REF!</v>
      </c>
      <c r="U2059" s="10">
        <f>SUM(Tabela2[[#This Row],[Coluna9]],Tabela2[[#This Row],[Coluna10]])</f>
        <v>58.9</v>
      </c>
      <c r="V2059" s="2" t="str">
        <f>Tabela2[[#This Row],[Coluna4]]</f>
        <v>22/02/2026</v>
      </c>
      <c r="W2059" s="2" t="str">
        <f>Tabela2[[#This Row],[Coluna6]]</f>
        <v>22/02/2026</v>
      </c>
    </row>
    <row r="2060" spans="2:23" x14ac:dyDescent="0.2">
      <c r="B2060" t="s">
        <v>748</v>
      </c>
      <c r="C2060" t="s">
        <v>95</v>
      </c>
      <c r="D2060" t="s">
        <v>13</v>
      </c>
      <c r="E2060" s="8" t="s">
        <v>847</v>
      </c>
      <c r="F2060" t="s">
        <v>750</v>
      </c>
      <c r="G2060" s="8" t="s">
        <v>847</v>
      </c>
      <c r="H2060" t="s">
        <v>435</v>
      </c>
      <c r="I2060" t="e">
        <f>VLOOKUP(Tabela2[[#This Row],[Coluna7]],[1]!Tabela1[#All],2,0)</f>
        <v>#REF!</v>
      </c>
      <c r="L2060">
        <v>197.05</v>
      </c>
      <c r="Q2060" s="10" t="str">
        <f>Tabela2[[#This Row],[Coluna5]]</f>
        <v>02/2026</v>
      </c>
      <c r="R2060" s="10" t="str">
        <f>IF(Tabela2[[#This Row],[Coluna9]]&gt;0,"Entrada","Saída")</f>
        <v>Saída</v>
      </c>
      <c r="S2060" s="10">
        <f>Tabela2[[#This Row],[Coluna8]]</f>
        <v>0</v>
      </c>
      <c r="T2060" s="10" t="e">
        <f>Tabela2[[#This Row],[Coluna72]]</f>
        <v>#REF!</v>
      </c>
      <c r="U2060" s="10">
        <f>SUM(Tabela2[[#This Row],[Coluna9]],Tabela2[[#This Row],[Coluna10]])</f>
        <v>197.05</v>
      </c>
      <c r="V2060" s="2" t="str">
        <f>Tabela2[[#This Row],[Coluna4]]</f>
        <v>22/02/2026</v>
      </c>
      <c r="W2060" s="2" t="str">
        <f>Tabela2[[#This Row],[Coluna6]]</f>
        <v>22/02/2026</v>
      </c>
    </row>
    <row r="2061" spans="2:23" x14ac:dyDescent="0.2">
      <c r="B2061" t="s">
        <v>27</v>
      </c>
      <c r="C2061" t="s">
        <v>95</v>
      </c>
      <c r="D2061" t="s">
        <v>13</v>
      </c>
      <c r="E2061" s="8" t="s">
        <v>848</v>
      </c>
      <c r="F2061" t="s">
        <v>750</v>
      </c>
      <c r="G2061" s="8" t="s">
        <v>848</v>
      </c>
      <c r="H2061" t="s">
        <v>445</v>
      </c>
      <c r="I2061" t="e">
        <f>VLOOKUP(Tabela2[[#This Row],[Coluna7]],[1]!Tabela1[#All],2,0)</f>
        <v>#REF!</v>
      </c>
      <c r="J2061" t="s">
        <v>461</v>
      </c>
      <c r="L2061">
        <v>730</v>
      </c>
      <c r="Q2061" s="10" t="str">
        <f>Tabela2[[#This Row],[Coluna5]]</f>
        <v>02/2026</v>
      </c>
      <c r="R2061" s="10" t="str">
        <f>IF(Tabela2[[#This Row],[Coluna9]]&gt;0,"Entrada","Saída")</f>
        <v>Saída</v>
      </c>
      <c r="S2061" s="10" t="str">
        <f>Tabela2[[#This Row],[Coluna8]]</f>
        <v>E-AUDITORIA</v>
      </c>
      <c r="T2061" s="10" t="e">
        <f>Tabela2[[#This Row],[Coluna72]]</f>
        <v>#REF!</v>
      </c>
      <c r="U2061" s="10">
        <f>SUM(Tabela2[[#This Row],[Coluna9]],Tabela2[[#This Row],[Coluna10]])</f>
        <v>730</v>
      </c>
      <c r="V2061" s="2" t="str">
        <f>Tabela2[[#This Row],[Coluna4]]</f>
        <v>23/02/2026</v>
      </c>
      <c r="W2061" s="2" t="str">
        <f>Tabela2[[#This Row],[Coluna6]]</f>
        <v>23/02/2026</v>
      </c>
    </row>
    <row r="2062" spans="2:23" x14ac:dyDescent="0.2">
      <c r="B2062" t="s">
        <v>18</v>
      </c>
      <c r="C2062" t="s">
        <v>95</v>
      </c>
      <c r="D2062" t="s">
        <v>13</v>
      </c>
      <c r="E2062" s="8" t="s">
        <v>848</v>
      </c>
      <c r="F2062" t="s">
        <v>750</v>
      </c>
      <c r="G2062" s="8" t="s">
        <v>848</v>
      </c>
      <c r="H2062" t="s">
        <v>488</v>
      </c>
      <c r="I2062" t="e">
        <f>VLOOKUP(Tabela2[[#This Row],[Coluna7]],[1]!Tabela1[#All],2,0)</f>
        <v>#REF!</v>
      </c>
      <c r="L2062">
        <v>255.41</v>
      </c>
      <c r="N2062" t="s">
        <v>499</v>
      </c>
      <c r="Q2062" s="10" t="str">
        <f>Tabela2[[#This Row],[Coluna5]]</f>
        <v>02/2026</v>
      </c>
      <c r="R2062" s="10" t="str">
        <f>IF(Tabela2[[#This Row],[Coluna9]]&gt;0,"Entrada","Saída")</f>
        <v>Saída</v>
      </c>
      <c r="S2062" s="10">
        <f>Tabela2[[#This Row],[Coluna8]]</f>
        <v>0</v>
      </c>
      <c r="T2062" s="10" t="e">
        <f>Tabela2[[#This Row],[Coluna72]]</f>
        <v>#REF!</v>
      </c>
      <c r="U2062" s="10">
        <f>SUM(Tabela2[[#This Row],[Coluna9]],Tabela2[[#This Row],[Coluna10]])</f>
        <v>255.41</v>
      </c>
      <c r="V2062" s="2" t="str">
        <f>Tabela2[[#This Row],[Coluna4]]</f>
        <v>23/02/2026</v>
      </c>
      <c r="W2062" s="2" t="str">
        <f>Tabela2[[#This Row],[Coluna6]]</f>
        <v>23/02/2026</v>
      </c>
    </row>
    <row r="2063" spans="2:23" x14ac:dyDescent="0.2">
      <c r="B2063" t="s">
        <v>18</v>
      </c>
      <c r="C2063" t="s">
        <v>95</v>
      </c>
      <c r="D2063" t="s">
        <v>13</v>
      </c>
      <c r="E2063" s="8" t="s">
        <v>848</v>
      </c>
      <c r="F2063" t="s">
        <v>750</v>
      </c>
      <c r="G2063" s="8" t="s">
        <v>848</v>
      </c>
      <c r="H2063" t="s">
        <v>458</v>
      </c>
      <c r="I2063" t="e">
        <f>VLOOKUP(Tabela2[[#This Row],[Coluna7]],[1]!Tabela1[#All],2,0)</f>
        <v>#REF!</v>
      </c>
      <c r="J2063" t="s">
        <v>893</v>
      </c>
      <c r="L2063">
        <v>444.59</v>
      </c>
      <c r="N2063" t="s">
        <v>499</v>
      </c>
      <c r="Q2063" s="10" t="str">
        <f>Tabela2[[#This Row],[Coluna5]]</f>
        <v>02/2026</v>
      </c>
      <c r="R2063" s="10" t="str">
        <f>IF(Tabela2[[#This Row],[Coluna9]]&gt;0,"Entrada","Saída")</f>
        <v>Saída</v>
      </c>
      <c r="S2063" s="10" t="str">
        <f>Tabela2[[#This Row],[Coluna8]]</f>
        <v>IPVA E CONSERTO MOTO - DINHO</v>
      </c>
      <c r="T2063" s="10" t="e">
        <f>Tabela2[[#This Row],[Coluna72]]</f>
        <v>#REF!</v>
      </c>
      <c r="U2063" s="10">
        <f>SUM(Tabela2[[#This Row],[Coluna9]],Tabela2[[#This Row],[Coluna10]])</f>
        <v>444.59</v>
      </c>
      <c r="V2063" s="2" t="str">
        <f>Tabela2[[#This Row],[Coluna4]]</f>
        <v>23/02/2026</v>
      </c>
      <c r="W2063" s="2" t="str">
        <f>Tabela2[[#This Row],[Coluna6]]</f>
        <v>23/02/2026</v>
      </c>
    </row>
    <row r="2064" spans="2:23" x14ac:dyDescent="0.2">
      <c r="B2064" t="s">
        <v>748</v>
      </c>
      <c r="C2064" t="s">
        <v>95</v>
      </c>
      <c r="D2064" t="s">
        <v>13</v>
      </c>
      <c r="E2064" s="8" t="s">
        <v>848</v>
      </c>
      <c r="F2064" t="s">
        <v>750</v>
      </c>
      <c r="G2064" s="8" t="s">
        <v>848</v>
      </c>
      <c r="H2064" t="s">
        <v>443</v>
      </c>
      <c r="I2064" t="e">
        <f>VLOOKUP(Tabela2[[#This Row],[Coluna7]],[1]!Tabela1[#All],2,0)</f>
        <v>#REF!</v>
      </c>
      <c r="L2064">
        <v>122.88</v>
      </c>
      <c r="Q2064" s="10" t="str">
        <f>Tabela2[[#This Row],[Coluna5]]</f>
        <v>02/2026</v>
      </c>
      <c r="R2064" s="10" t="str">
        <f>IF(Tabela2[[#This Row],[Coluna9]]&gt;0,"Entrada","Saída")</f>
        <v>Saída</v>
      </c>
      <c r="S2064" s="10">
        <f>Tabela2[[#This Row],[Coluna8]]</f>
        <v>0</v>
      </c>
      <c r="T2064" s="10" t="e">
        <f>Tabela2[[#This Row],[Coluna72]]</f>
        <v>#REF!</v>
      </c>
      <c r="U2064" s="10">
        <f>SUM(Tabela2[[#This Row],[Coluna9]],Tabela2[[#This Row],[Coluna10]])</f>
        <v>122.88</v>
      </c>
      <c r="V2064" s="2" t="str">
        <f>Tabela2[[#This Row],[Coluna4]]</f>
        <v>23/02/2026</v>
      </c>
      <c r="W2064" s="2" t="str">
        <f>Tabela2[[#This Row],[Coluna6]]</f>
        <v>23/02/2026</v>
      </c>
    </row>
    <row r="2065" spans="2:23" x14ac:dyDescent="0.2">
      <c r="B2065" t="s">
        <v>748</v>
      </c>
      <c r="C2065" t="s">
        <v>95</v>
      </c>
      <c r="D2065" t="s">
        <v>13</v>
      </c>
      <c r="E2065" s="8" t="s">
        <v>848</v>
      </c>
      <c r="F2065" t="s">
        <v>750</v>
      </c>
      <c r="G2065" s="8" t="s">
        <v>848</v>
      </c>
      <c r="H2065" t="s">
        <v>443</v>
      </c>
      <c r="I2065" t="e">
        <f>VLOOKUP(Tabela2[[#This Row],[Coluna7]],[1]!Tabela1[#All],2,0)</f>
        <v>#REF!</v>
      </c>
      <c r="L2065">
        <v>29.09</v>
      </c>
      <c r="Q2065" s="10" t="str">
        <f>Tabela2[[#This Row],[Coluna5]]</f>
        <v>02/2026</v>
      </c>
      <c r="R2065" s="10" t="str">
        <f>IF(Tabela2[[#This Row],[Coluna9]]&gt;0,"Entrada","Saída")</f>
        <v>Saída</v>
      </c>
      <c r="S2065" s="10">
        <f>Tabela2[[#This Row],[Coluna8]]</f>
        <v>0</v>
      </c>
      <c r="T2065" s="10" t="e">
        <f>Tabela2[[#This Row],[Coluna72]]</f>
        <v>#REF!</v>
      </c>
      <c r="U2065" s="10">
        <f>SUM(Tabela2[[#This Row],[Coluna9]],Tabela2[[#This Row],[Coluna10]])</f>
        <v>29.09</v>
      </c>
      <c r="V2065" s="2" t="str">
        <f>Tabela2[[#This Row],[Coluna4]]</f>
        <v>23/02/2026</v>
      </c>
      <c r="W2065" s="2" t="str">
        <f>Tabela2[[#This Row],[Coluna6]]</f>
        <v>23/02/2026</v>
      </c>
    </row>
    <row r="2066" spans="2:23" x14ac:dyDescent="0.2">
      <c r="B2066" t="s">
        <v>748</v>
      </c>
      <c r="C2066" t="s">
        <v>95</v>
      </c>
      <c r="D2066" t="s">
        <v>13</v>
      </c>
      <c r="E2066" s="8" t="s">
        <v>757</v>
      </c>
      <c r="F2066" t="s">
        <v>750</v>
      </c>
      <c r="G2066" s="8" t="s">
        <v>758</v>
      </c>
      <c r="H2066" t="s">
        <v>451</v>
      </c>
      <c r="I2066" t="e">
        <f>VLOOKUP(Tabela2[[#This Row],[Coluna7]],[1]!Tabela1[#All],2,0)</f>
        <v>#REF!</v>
      </c>
      <c r="J2066" t="s">
        <v>464</v>
      </c>
      <c r="L2066">
        <v>156.88</v>
      </c>
      <c r="Q2066" s="10" t="str">
        <f>Tabela2[[#This Row],[Coluna5]]</f>
        <v>02/2026</v>
      </c>
      <c r="R2066" s="10" t="str">
        <f>IF(Tabela2[[#This Row],[Coluna9]]&gt;0,"Entrada","Saída")</f>
        <v>Saída</v>
      </c>
      <c r="S2066" s="10" t="str">
        <f>Tabela2[[#This Row],[Coluna8]]</f>
        <v>BRISANET</v>
      </c>
      <c r="T2066" s="10" t="e">
        <f>Tabela2[[#This Row],[Coluna72]]</f>
        <v>#REF!</v>
      </c>
      <c r="U2066" s="10">
        <f>SUM(Tabela2[[#This Row],[Coluna9]],Tabela2[[#This Row],[Coluna10]])</f>
        <v>156.88</v>
      </c>
      <c r="V2066" s="2" t="str">
        <f>Tabela2[[#This Row],[Coluna4]]</f>
        <v>24/02/2026</v>
      </c>
      <c r="W2066" s="2" t="str">
        <f>Tabela2[[#This Row],[Coluna6]]</f>
        <v>26/02/2026</v>
      </c>
    </row>
    <row r="2067" spans="2:23" x14ac:dyDescent="0.2">
      <c r="B2067" t="s">
        <v>18</v>
      </c>
      <c r="C2067" t="s">
        <v>95</v>
      </c>
      <c r="D2067" t="s">
        <v>13</v>
      </c>
      <c r="E2067" s="8" t="s">
        <v>850</v>
      </c>
      <c r="F2067" t="s">
        <v>750</v>
      </c>
      <c r="G2067" s="8" t="s">
        <v>850</v>
      </c>
      <c r="H2067" t="s">
        <v>443</v>
      </c>
      <c r="I2067" t="e">
        <f>VLOOKUP(Tabela2[[#This Row],[Coluna7]],[1]!Tabela1[#All],2,0)</f>
        <v>#REF!</v>
      </c>
      <c r="L2067">
        <v>50</v>
      </c>
      <c r="Q2067" s="10" t="str">
        <f>Tabela2[[#This Row],[Coluna5]]</f>
        <v>02/2026</v>
      </c>
      <c r="R2067" s="10" t="str">
        <f>IF(Tabela2[[#This Row],[Coluna9]]&gt;0,"Entrada","Saída")</f>
        <v>Saída</v>
      </c>
      <c r="S2067" s="10">
        <f>Tabela2[[#This Row],[Coluna8]]</f>
        <v>0</v>
      </c>
      <c r="T2067" s="10" t="e">
        <f>Tabela2[[#This Row],[Coluna72]]</f>
        <v>#REF!</v>
      </c>
      <c r="U2067" s="10">
        <f>SUM(Tabela2[[#This Row],[Coluna9]],Tabela2[[#This Row],[Coluna10]])</f>
        <v>50</v>
      </c>
      <c r="V2067" s="2" t="str">
        <f>Tabela2[[#This Row],[Coluna4]]</f>
        <v>25/02/2026</v>
      </c>
      <c r="W2067" s="2" t="str">
        <f>Tabela2[[#This Row],[Coluna6]]</f>
        <v>25/02/2026</v>
      </c>
    </row>
    <row r="2068" spans="2:23" x14ac:dyDescent="0.2">
      <c r="B2068" t="s">
        <v>18</v>
      </c>
      <c r="C2068" t="s">
        <v>95</v>
      </c>
      <c r="D2068" t="s">
        <v>13</v>
      </c>
      <c r="E2068" s="8" t="s">
        <v>850</v>
      </c>
      <c r="F2068" t="s">
        <v>750</v>
      </c>
      <c r="G2068" s="8" t="s">
        <v>850</v>
      </c>
      <c r="H2068" t="s">
        <v>458</v>
      </c>
      <c r="I2068" t="e">
        <f>VLOOKUP(Tabela2[[#This Row],[Coluna7]],[1]!Tabela1[#All],2,0)</f>
        <v>#REF!</v>
      </c>
      <c r="L2068">
        <v>70</v>
      </c>
      <c r="Q2068" s="10" t="str">
        <f>Tabela2[[#This Row],[Coluna5]]</f>
        <v>02/2026</v>
      </c>
      <c r="R2068" s="10" t="str">
        <f>IF(Tabela2[[#This Row],[Coluna9]]&gt;0,"Entrada","Saída")</f>
        <v>Saída</v>
      </c>
      <c r="S2068" s="10">
        <f>Tabela2[[#This Row],[Coluna8]]</f>
        <v>0</v>
      </c>
      <c r="T2068" s="10" t="e">
        <f>Tabela2[[#This Row],[Coluna72]]</f>
        <v>#REF!</v>
      </c>
      <c r="U2068" s="10">
        <f>SUM(Tabela2[[#This Row],[Coluna9]],Tabela2[[#This Row],[Coluna10]])</f>
        <v>70</v>
      </c>
      <c r="V2068" s="2" t="str">
        <f>Tabela2[[#This Row],[Coluna4]]</f>
        <v>25/02/2026</v>
      </c>
      <c r="W2068" s="2" t="str">
        <f>Tabela2[[#This Row],[Coluna6]]</f>
        <v>25/02/2026</v>
      </c>
    </row>
    <row r="2069" spans="2:23" x14ac:dyDescent="0.2">
      <c r="B2069" t="s">
        <v>27</v>
      </c>
      <c r="C2069" t="s">
        <v>95</v>
      </c>
      <c r="D2069" t="s">
        <v>13</v>
      </c>
      <c r="E2069" s="8" t="s">
        <v>758</v>
      </c>
      <c r="F2069" t="s">
        <v>750</v>
      </c>
      <c r="G2069" s="8" t="s">
        <v>758</v>
      </c>
      <c r="H2069" t="s">
        <v>442</v>
      </c>
      <c r="I2069" t="e">
        <f>VLOOKUP(Tabela2[[#This Row],[Coluna7]],[1]!Tabela1[#All],2,0)</f>
        <v>#REF!</v>
      </c>
      <c r="J2069" t="s">
        <v>453</v>
      </c>
      <c r="L2069">
        <v>1054.47</v>
      </c>
      <c r="Q2069" s="10" t="str">
        <f>Tabela2[[#This Row],[Coluna5]]</f>
        <v>02/2026</v>
      </c>
      <c r="R2069" s="10" t="str">
        <f>IF(Tabela2[[#This Row],[Coluna9]]&gt;0,"Entrada","Saída")</f>
        <v>Saída</v>
      </c>
      <c r="S2069" s="10" t="str">
        <f>Tabela2[[#This Row],[Coluna8]]</f>
        <v>CAPITAL DE GIRO</v>
      </c>
      <c r="T2069" s="10" t="e">
        <f>Tabela2[[#This Row],[Coluna72]]</f>
        <v>#REF!</v>
      </c>
      <c r="U2069" s="10">
        <f>SUM(Tabela2[[#This Row],[Coluna9]],Tabela2[[#This Row],[Coluna10]])</f>
        <v>1054.47</v>
      </c>
      <c r="V2069" s="2" t="str">
        <f>Tabela2[[#This Row],[Coluna4]]</f>
        <v>26/02/2026</v>
      </c>
      <c r="W2069" s="2" t="str">
        <f>Tabela2[[#This Row],[Coluna6]]</f>
        <v>26/02/2026</v>
      </c>
    </row>
    <row r="2070" spans="2:23" x14ac:dyDescent="0.2">
      <c r="B2070" t="s">
        <v>18</v>
      </c>
      <c r="C2070" t="s">
        <v>95</v>
      </c>
      <c r="D2070" t="s">
        <v>13</v>
      </c>
      <c r="E2070" s="8" t="s">
        <v>758</v>
      </c>
      <c r="F2070" t="s">
        <v>750</v>
      </c>
      <c r="G2070" s="8" t="s">
        <v>758</v>
      </c>
      <c r="H2070" t="s">
        <v>458</v>
      </c>
      <c r="I2070" t="e">
        <f>VLOOKUP(Tabela2[[#This Row],[Coluna7]],[1]!Tabela1[#All],2,0)</f>
        <v>#REF!</v>
      </c>
      <c r="L2070">
        <v>165</v>
      </c>
      <c r="N2070" t="s">
        <v>499</v>
      </c>
      <c r="Q2070" s="10" t="str">
        <f>Tabela2[[#This Row],[Coluna5]]</f>
        <v>02/2026</v>
      </c>
      <c r="R2070" s="10" t="str">
        <f>IF(Tabela2[[#This Row],[Coluna9]]&gt;0,"Entrada","Saída")</f>
        <v>Saída</v>
      </c>
      <c r="S2070" s="10">
        <f>Tabela2[[#This Row],[Coluna8]]</f>
        <v>0</v>
      </c>
      <c r="T2070" s="10" t="e">
        <f>Tabela2[[#This Row],[Coluna72]]</f>
        <v>#REF!</v>
      </c>
      <c r="U2070" s="10">
        <f>SUM(Tabela2[[#This Row],[Coluna9]],Tabela2[[#This Row],[Coluna10]])</f>
        <v>165</v>
      </c>
      <c r="V2070" s="2" t="str">
        <f>Tabela2[[#This Row],[Coluna4]]</f>
        <v>26/02/2026</v>
      </c>
      <c r="W2070" s="2" t="str">
        <f>Tabela2[[#This Row],[Coluna6]]</f>
        <v>26/02/2026</v>
      </c>
    </row>
    <row r="2071" spans="2:23" x14ac:dyDescent="0.2">
      <c r="B2071" t="s">
        <v>27</v>
      </c>
      <c r="C2071" t="s">
        <v>95</v>
      </c>
      <c r="D2071" t="s">
        <v>13</v>
      </c>
      <c r="E2071" s="8" t="s">
        <v>289</v>
      </c>
      <c r="F2071" t="s">
        <v>64</v>
      </c>
      <c r="G2071" s="8" t="s">
        <v>88</v>
      </c>
      <c r="H2071" t="s">
        <v>538</v>
      </c>
      <c r="I2071" t="e">
        <f>VLOOKUP(Tabela2[[#This Row],[Coluna7]],[1]!Tabela1[#All],2,0)</f>
        <v>#REF!</v>
      </c>
      <c r="J2071" t="s">
        <v>619</v>
      </c>
      <c r="L2071">
        <v>150</v>
      </c>
      <c r="N2071" t="s">
        <v>640</v>
      </c>
      <c r="Q2071" s="10" t="str">
        <f>Tabela2[[#This Row],[Coluna5]]</f>
        <v>12/2025</v>
      </c>
      <c r="R2071" s="10" t="str">
        <f>IF(Tabela2[[#This Row],[Coluna9]]&gt;0,"Entrada","Saída")</f>
        <v>Saída</v>
      </c>
      <c r="S2071" s="10" t="str">
        <f>Tabela2[[#This Row],[Coluna8]]</f>
        <v>NOTAS FISCAIS</v>
      </c>
      <c r="T2071" s="10" t="e">
        <f>Tabela2[[#This Row],[Coluna72]]</f>
        <v>#REF!</v>
      </c>
      <c r="U2071" s="10">
        <f>SUM(Tabela2[[#This Row],[Coluna9]],Tabela2[[#This Row],[Coluna10]])</f>
        <v>150</v>
      </c>
      <c r="V2071" s="2" t="str">
        <f>Tabela2[[#This Row],[Coluna4]]</f>
        <v>05/12/2025</v>
      </c>
      <c r="W2071" s="2" t="str">
        <f>Tabela2[[#This Row],[Coluna6]]</f>
        <v>14/01/2026</v>
      </c>
    </row>
    <row r="2072" spans="2:23" x14ac:dyDescent="0.2">
      <c r="B2072" t="s">
        <v>748</v>
      </c>
      <c r="C2072" t="s">
        <v>95</v>
      </c>
      <c r="D2072" t="s">
        <v>13</v>
      </c>
      <c r="E2072" s="8" t="s">
        <v>76</v>
      </c>
      <c r="F2072" t="s">
        <v>42</v>
      </c>
      <c r="G2072" s="8" t="s">
        <v>301</v>
      </c>
      <c r="H2072" t="s">
        <v>580</v>
      </c>
      <c r="I2072" t="e">
        <f>VLOOKUP(Tabela2[[#This Row],[Coluna7]],[1]!Tabela1[#All],2,0)</f>
        <v>#REF!</v>
      </c>
      <c r="L2072">
        <v>1823.26</v>
      </c>
      <c r="N2072" t="s">
        <v>523</v>
      </c>
      <c r="Q2072" s="10" t="str">
        <f>Tabela2[[#This Row],[Coluna5]]</f>
        <v>11/2025</v>
      </c>
      <c r="R2072" s="10" t="str">
        <f>IF(Tabela2[[#This Row],[Coluna9]]&gt;0,"Entrada","Saída")</f>
        <v>Saída</v>
      </c>
      <c r="S2072" s="10">
        <f>Tabela2[[#This Row],[Coluna8]]</f>
        <v>0</v>
      </c>
      <c r="T2072" s="10" t="e">
        <f>Tabela2[[#This Row],[Coluna72]]</f>
        <v>#REF!</v>
      </c>
      <c r="U2072" s="10">
        <f>SUM(Tabela2[[#This Row],[Coluna9]],Tabela2[[#This Row],[Coluna10]])</f>
        <v>1823.26</v>
      </c>
      <c r="V2072" s="2" t="str">
        <f>Tabela2[[#This Row],[Coluna4]]</f>
        <v>15/12/2025</v>
      </c>
      <c r="W2072" s="2" t="str">
        <f>Tabela2[[#This Row],[Coluna6]]</f>
        <v>05/01/2026</v>
      </c>
    </row>
    <row r="2073" spans="2:23" x14ac:dyDescent="0.2">
      <c r="B2073" t="s">
        <v>748</v>
      </c>
      <c r="C2073" t="s">
        <v>95</v>
      </c>
      <c r="D2073" t="s">
        <v>13</v>
      </c>
      <c r="E2073" s="8" t="s">
        <v>421</v>
      </c>
      <c r="F2073" t="s">
        <v>64</v>
      </c>
      <c r="G2073" s="8" t="s">
        <v>87</v>
      </c>
      <c r="H2073" t="s">
        <v>600</v>
      </c>
      <c r="I2073" t="e">
        <f>VLOOKUP(Tabela2[[#This Row],[Coluna7]],[1]!Tabela1[#All],2,0)</f>
        <v>#REF!</v>
      </c>
      <c r="J2073" t="s">
        <v>601</v>
      </c>
      <c r="L2073">
        <v>250</v>
      </c>
      <c r="Q2073" s="10" t="str">
        <f>Tabela2[[#This Row],[Coluna5]]</f>
        <v>12/2025</v>
      </c>
      <c r="R2073" s="10" t="str">
        <f>IF(Tabela2[[#This Row],[Coluna9]]&gt;0,"Entrada","Saída")</f>
        <v>Saída</v>
      </c>
      <c r="S2073" s="10" t="str">
        <f>Tabela2[[#This Row],[Coluna8]]</f>
        <v>FALCÃO</v>
      </c>
      <c r="T2073" s="10" t="e">
        <f>Tabela2[[#This Row],[Coluna72]]</f>
        <v>#REF!</v>
      </c>
      <c r="U2073" s="10">
        <f>SUM(Tabela2[[#This Row],[Coluna9]],Tabela2[[#This Row],[Coluna10]])</f>
        <v>250</v>
      </c>
      <c r="V2073" s="2" t="str">
        <f>Tabela2[[#This Row],[Coluna4]]</f>
        <v>31/12/2025</v>
      </c>
      <c r="W2073" s="2" t="str">
        <f>Tabela2[[#This Row],[Coluna6]]</f>
        <v>07/01/2026</v>
      </c>
    </row>
    <row r="2074" spans="2:23" x14ac:dyDescent="0.2">
      <c r="B2074" t="s">
        <v>748</v>
      </c>
      <c r="C2074" t="s">
        <v>95</v>
      </c>
      <c r="D2074" t="s">
        <v>13</v>
      </c>
      <c r="E2074" s="8" t="s">
        <v>343</v>
      </c>
      <c r="F2074" t="s">
        <v>84</v>
      </c>
      <c r="G2074" s="8" t="s">
        <v>301</v>
      </c>
      <c r="H2074" t="s">
        <v>538</v>
      </c>
      <c r="I2074" t="e">
        <f>VLOOKUP(Tabela2[[#This Row],[Coluna7]],[1]!Tabela1[#All],2,0)</f>
        <v>#REF!</v>
      </c>
      <c r="J2074" t="s">
        <v>658</v>
      </c>
      <c r="L2074">
        <v>447</v>
      </c>
      <c r="Q2074" s="10" t="str">
        <f>Tabela2[[#This Row],[Coluna5]]</f>
        <v>01/2026</v>
      </c>
      <c r="R2074" s="10" t="str">
        <f>IF(Tabela2[[#This Row],[Coluna9]]&gt;0,"Entrada","Saída")</f>
        <v>Saída</v>
      </c>
      <c r="S2074" s="10" t="str">
        <f>Tabela2[[#This Row],[Coluna8]]</f>
        <v>3/10 GELADEIRA LUZIMAR</v>
      </c>
      <c r="T2074" s="10" t="e">
        <f>Tabela2[[#This Row],[Coluna72]]</f>
        <v>#REF!</v>
      </c>
      <c r="U2074" s="10">
        <f>SUM(Tabela2[[#This Row],[Coluna9]],Tabela2[[#This Row],[Coluna10]])</f>
        <v>447</v>
      </c>
      <c r="V2074" s="2" t="str">
        <f>Tabela2[[#This Row],[Coluna4]]</f>
        <v>03/01/2026</v>
      </c>
      <c r="W2074" s="2" t="str">
        <f>Tabela2[[#This Row],[Coluna6]]</f>
        <v>05/01/2026</v>
      </c>
    </row>
    <row r="2075" spans="2:23" x14ac:dyDescent="0.2">
      <c r="B2075" t="s">
        <v>18</v>
      </c>
      <c r="C2075" t="s">
        <v>95</v>
      </c>
      <c r="D2075" t="s">
        <v>13</v>
      </c>
      <c r="E2075" s="8" t="s">
        <v>343</v>
      </c>
      <c r="F2075" t="s">
        <v>84</v>
      </c>
      <c r="G2075" s="8" t="s">
        <v>343</v>
      </c>
      <c r="H2075" t="s">
        <v>546</v>
      </c>
      <c r="I2075" t="e">
        <f>VLOOKUP(Tabela2[[#This Row],[Coluna7]],[1]!Tabela1[#All],2,0)</f>
        <v>#REF!</v>
      </c>
      <c r="L2075">
        <v>250</v>
      </c>
      <c r="N2075" t="s">
        <v>584</v>
      </c>
      <c r="Q2075" s="10" t="str">
        <f>Tabela2[[#This Row],[Coluna5]]</f>
        <v>01/2026</v>
      </c>
      <c r="R2075" s="10" t="str">
        <f>IF(Tabela2[[#This Row],[Coluna9]]&gt;0,"Entrada","Saída")</f>
        <v>Saída</v>
      </c>
      <c r="S2075" s="10">
        <f>Tabela2[[#This Row],[Coluna8]]</f>
        <v>0</v>
      </c>
      <c r="T2075" s="10" t="e">
        <f>Tabela2[[#This Row],[Coluna72]]</f>
        <v>#REF!</v>
      </c>
      <c r="U2075" s="10">
        <f>SUM(Tabela2[[#This Row],[Coluna9]],Tabela2[[#This Row],[Coluna10]])</f>
        <v>250</v>
      </c>
      <c r="V2075" s="2" t="str">
        <f>Tabela2[[#This Row],[Coluna4]]</f>
        <v>03/01/2026</v>
      </c>
      <c r="W2075" s="2" t="str">
        <f>Tabela2[[#This Row],[Coluna6]]</f>
        <v>03/01/2026</v>
      </c>
    </row>
    <row r="2076" spans="2:23" x14ac:dyDescent="0.2">
      <c r="B2076" t="s">
        <v>748</v>
      </c>
      <c r="C2076" t="s">
        <v>95</v>
      </c>
      <c r="D2076" t="s">
        <v>13</v>
      </c>
      <c r="E2076" s="8" t="s">
        <v>345</v>
      </c>
      <c r="F2076" t="s">
        <v>84</v>
      </c>
      <c r="G2076" s="8" t="s">
        <v>345</v>
      </c>
      <c r="H2076" t="s">
        <v>570</v>
      </c>
      <c r="I2076" t="e">
        <f>VLOOKUP(Tabela2[[#This Row],[Coluna7]],[1]!Tabela1[#All],2,0)</f>
        <v>#REF!</v>
      </c>
      <c r="J2076" t="s">
        <v>616</v>
      </c>
      <c r="L2076">
        <v>15</v>
      </c>
      <c r="Q2076" s="10" t="str">
        <f>Tabela2[[#This Row],[Coluna5]]</f>
        <v>01/2026</v>
      </c>
      <c r="R2076" s="10" t="str">
        <f>IF(Tabela2[[#This Row],[Coluna9]]&gt;0,"Entrada","Saída")</f>
        <v>Saída</v>
      </c>
      <c r="S2076" s="10" t="str">
        <f>Tabela2[[#This Row],[Coluna8]]</f>
        <v>NETO CASA E CONSTRUÇÃO</v>
      </c>
      <c r="T2076" s="10" t="e">
        <f>Tabela2[[#This Row],[Coluna72]]</f>
        <v>#REF!</v>
      </c>
      <c r="U2076" s="10">
        <f>SUM(Tabela2[[#This Row],[Coluna9]],Tabela2[[#This Row],[Coluna10]])</f>
        <v>15</v>
      </c>
      <c r="V2076" s="2" t="str">
        <f>Tabela2[[#This Row],[Coluna4]]</f>
        <v>04/01/2026</v>
      </c>
      <c r="W2076" s="2" t="str">
        <f>Tabela2[[#This Row],[Coluna6]]</f>
        <v>04/01/2026</v>
      </c>
    </row>
    <row r="2077" spans="2:23" x14ac:dyDescent="0.2">
      <c r="B2077" t="s">
        <v>748</v>
      </c>
      <c r="C2077" t="s">
        <v>95</v>
      </c>
      <c r="D2077" t="s">
        <v>13</v>
      </c>
      <c r="E2077" s="8" t="s">
        <v>345</v>
      </c>
      <c r="F2077" t="s">
        <v>84</v>
      </c>
      <c r="G2077" s="8" t="s">
        <v>345</v>
      </c>
      <c r="H2077" t="s">
        <v>570</v>
      </c>
      <c r="I2077" t="e">
        <f>VLOOKUP(Tabela2[[#This Row],[Coluna7]],[1]!Tabela1[#All],2,0)</f>
        <v>#REF!</v>
      </c>
      <c r="J2077" t="s">
        <v>659</v>
      </c>
      <c r="L2077">
        <v>48.2</v>
      </c>
      <c r="Q2077" s="10" t="str">
        <f>Tabela2[[#This Row],[Coluna5]]</f>
        <v>01/2026</v>
      </c>
      <c r="R2077" s="10" t="str">
        <f>IF(Tabela2[[#This Row],[Coluna9]]&gt;0,"Entrada","Saída")</f>
        <v>Saída</v>
      </c>
      <c r="S2077" s="10" t="str">
        <f>Tabela2[[#This Row],[Coluna8]]</f>
        <v>FERREIRA COSTA</v>
      </c>
      <c r="T2077" s="10" t="e">
        <f>Tabela2[[#This Row],[Coluna72]]</f>
        <v>#REF!</v>
      </c>
      <c r="U2077" s="10">
        <f>SUM(Tabela2[[#This Row],[Coluna9]],Tabela2[[#This Row],[Coluna10]])</f>
        <v>48.2</v>
      </c>
      <c r="V2077" s="2" t="str">
        <f>Tabela2[[#This Row],[Coluna4]]</f>
        <v>04/01/2026</v>
      </c>
      <c r="W2077" s="2" t="str">
        <f>Tabela2[[#This Row],[Coluna6]]</f>
        <v>04/01/2026</v>
      </c>
    </row>
    <row r="2078" spans="2:23" x14ac:dyDescent="0.2">
      <c r="B2078" t="s">
        <v>71</v>
      </c>
      <c r="C2078" t="s">
        <v>125</v>
      </c>
      <c r="D2078" t="s">
        <v>13</v>
      </c>
      <c r="E2078" s="8" t="s">
        <v>301</v>
      </c>
      <c r="F2078" t="s">
        <v>42</v>
      </c>
      <c r="G2078" s="8" t="s">
        <v>301</v>
      </c>
      <c r="H2078" t="s">
        <v>580</v>
      </c>
      <c r="I2078" t="e">
        <f>VLOOKUP(Tabela2[[#This Row],[Coluna7]],[1]!Tabela1[#All],2,0)</f>
        <v>#REF!</v>
      </c>
      <c r="J2078" t="s">
        <v>660</v>
      </c>
      <c r="L2078">
        <v>500</v>
      </c>
      <c r="N2078" t="s">
        <v>523</v>
      </c>
      <c r="Q2078" s="10" t="str">
        <f>Tabela2[[#This Row],[Coluna5]]</f>
        <v>11/2025</v>
      </c>
      <c r="R2078" s="10" t="str">
        <f>IF(Tabela2[[#This Row],[Coluna9]]&gt;0,"Entrada","Saída")</f>
        <v>Saída</v>
      </c>
      <c r="S2078" s="10" t="str">
        <f>Tabela2[[#This Row],[Coluna8]]</f>
        <v>RECEBIMENTO EM MÃOS DE VALDIRENE</v>
      </c>
      <c r="T2078" s="10" t="e">
        <f>Tabela2[[#This Row],[Coluna72]]</f>
        <v>#REF!</v>
      </c>
      <c r="U2078" s="10">
        <f>SUM(Tabela2[[#This Row],[Coluna9]],Tabela2[[#This Row],[Coluna10]])</f>
        <v>500</v>
      </c>
      <c r="V2078" s="2" t="str">
        <f>Tabela2[[#This Row],[Coluna4]]</f>
        <v>05/01/2026</v>
      </c>
      <c r="W2078" s="2" t="str">
        <f>Tabela2[[#This Row],[Coluna6]]</f>
        <v>05/01/2026</v>
      </c>
    </row>
    <row r="2079" spans="2:23" x14ac:dyDescent="0.2">
      <c r="B2079" t="s">
        <v>27</v>
      </c>
      <c r="C2079" t="s">
        <v>95</v>
      </c>
      <c r="D2079" t="s">
        <v>13</v>
      </c>
      <c r="E2079" s="8" t="s">
        <v>301</v>
      </c>
      <c r="F2079" t="s">
        <v>84</v>
      </c>
      <c r="G2079" s="8" t="s">
        <v>88</v>
      </c>
      <c r="H2079" t="s">
        <v>538</v>
      </c>
      <c r="I2079" t="e">
        <f>VLOOKUP(Tabela2[[#This Row],[Coluna7]],[1]!Tabela1[#All],2,0)</f>
        <v>#REF!</v>
      </c>
      <c r="J2079" t="s">
        <v>619</v>
      </c>
      <c r="L2079">
        <v>150</v>
      </c>
      <c r="N2079" t="s">
        <v>640</v>
      </c>
      <c r="Q2079" s="10" t="str">
        <f>Tabela2[[#This Row],[Coluna5]]</f>
        <v>01/2026</v>
      </c>
      <c r="R2079" s="10" t="str">
        <f>IF(Tabela2[[#This Row],[Coluna9]]&gt;0,"Entrada","Saída")</f>
        <v>Saída</v>
      </c>
      <c r="S2079" s="10" t="str">
        <f>Tabela2[[#This Row],[Coluna8]]</f>
        <v>NOTAS FISCAIS</v>
      </c>
      <c r="T2079" s="10" t="e">
        <f>Tabela2[[#This Row],[Coluna72]]</f>
        <v>#REF!</v>
      </c>
      <c r="U2079" s="10">
        <f>SUM(Tabela2[[#This Row],[Coluna9]],Tabela2[[#This Row],[Coluna10]])</f>
        <v>150</v>
      </c>
      <c r="V2079" s="2" t="str">
        <f>Tabela2[[#This Row],[Coluna4]]</f>
        <v>05/01/2026</v>
      </c>
      <c r="W2079" s="2" t="str">
        <f>Tabela2[[#This Row],[Coluna6]]</f>
        <v>14/01/2026</v>
      </c>
    </row>
    <row r="2080" spans="2:23" x14ac:dyDescent="0.2">
      <c r="B2080" t="s">
        <v>71</v>
      </c>
      <c r="C2080" t="s">
        <v>95</v>
      </c>
      <c r="D2080" t="s">
        <v>13</v>
      </c>
      <c r="E2080" s="8" t="s">
        <v>87</v>
      </c>
      <c r="F2080" t="s">
        <v>84</v>
      </c>
      <c r="G2080" s="8" t="s">
        <v>87</v>
      </c>
      <c r="H2080" t="s">
        <v>542</v>
      </c>
      <c r="I2080" t="e">
        <f>VLOOKUP(Tabela2[[#This Row],[Coluna7]],[1]!Tabela1[#All],2,0)</f>
        <v>#REF!</v>
      </c>
      <c r="J2080" t="s">
        <v>661</v>
      </c>
      <c r="L2080">
        <v>500</v>
      </c>
      <c r="N2080" t="s">
        <v>662</v>
      </c>
      <c r="Q2080" s="10" t="str">
        <f>Tabela2[[#This Row],[Coluna5]]</f>
        <v>01/2026</v>
      </c>
      <c r="R2080" s="10" t="str">
        <f>IF(Tabela2[[#This Row],[Coluna9]]&gt;0,"Entrada","Saída")</f>
        <v>Saída</v>
      </c>
      <c r="S2080" s="10" t="str">
        <f>Tabela2[[#This Row],[Coluna8]]</f>
        <v>ADIANTAMENTO DE ANIVERSÁRIO - RECEBEU DO PRIMO</v>
      </c>
      <c r="T2080" s="10" t="e">
        <f>Tabela2[[#This Row],[Coluna72]]</f>
        <v>#REF!</v>
      </c>
      <c r="U2080" s="10">
        <f>SUM(Tabela2[[#This Row],[Coluna9]],Tabela2[[#This Row],[Coluna10]])</f>
        <v>500</v>
      </c>
      <c r="V2080" s="2" t="str">
        <f>Tabela2[[#This Row],[Coluna4]]</f>
        <v>07/01/2026</v>
      </c>
      <c r="W2080" s="2" t="str">
        <f>Tabela2[[#This Row],[Coluna6]]</f>
        <v>07/01/2026</v>
      </c>
    </row>
    <row r="2081" spans="2:23" x14ac:dyDescent="0.2">
      <c r="B2081" t="s">
        <v>748</v>
      </c>
      <c r="C2081" t="s">
        <v>95</v>
      </c>
      <c r="D2081" t="s">
        <v>13</v>
      </c>
      <c r="E2081" s="8" t="s">
        <v>87</v>
      </c>
      <c r="F2081" t="s">
        <v>84</v>
      </c>
      <c r="G2081" s="8" t="s">
        <v>87</v>
      </c>
      <c r="H2081" t="s">
        <v>546</v>
      </c>
      <c r="I2081" t="e">
        <f>VLOOKUP(Tabela2[[#This Row],[Coluna7]],[1]!Tabela1[#All],2,0)</f>
        <v>#REF!</v>
      </c>
      <c r="L2081">
        <v>70</v>
      </c>
      <c r="N2081" t="s">
        <v>547</v>
      </c>
      <c r="Q2081" s="10" t="str">
        <f>Tabela2[[#This Row],[Coluna5]]</f>
        <v>01/2026</v>
      </c>
      <c r="R2081" s="10" t="str">
        <f>IF(Tabela2[[#This Row],[Coluna9]]&gt;0,"Entrada","Saída")</f>
        <v>Saída</v>
      </c>
      <c r="S2081" s="10">
        <f>Tabela2[[#This Row],[Coluna8]]</f>
        <v>0</v>
      </c>
      <c r="T2081" s="10" t="e">
        <f>Tabela2[[#This Row],[Coluna72]]</f>
        <v>#REF!</v>
      </c>
      <c r="U2081" s="10">
        <f>SUM(Tabela2[[#This Row],[Coluna9]],Tabela2[[#This Row],[Coluna10]])</f>
        <v>70</v>
      </c>
      <c r="V2081" s="2" t="str">
        <f>Tabela2[[#This Row],[Coluna4]]</f>
        <v>07/01/2026</v>
      </c>
      <c r="W2081" s="2" t="str">
        <f>Tabela2[[#This Row],[Coluna6]]</f>
        <v>07/01/2026</v>
      </c>
    </row>
    <row r="2082" spans="2:23" x14ac:dyDescent="0.2">
      <c r="B2082" t="s">
        <v>748</v>
      </c>
      <c r="C2082" t="s">
        <v>95</v>
      </c>
      <c r="D2082" t="s">
        <v>13</v>
      </c>
      <c r="E2082" s="8" t="s">
        <v>87</v>
      </c>
      <c r="F2082" t="s">
        <v>84</v>
      </c>
      <c r="G2082" s="8" t="s">
        <v>87</v>
      </c>
      <c r="H2082" t="s">
        <v>546</v>
      </c>
      <c r="I2082" t="e">
        <f>VLOOKUP(Tabela2[[#This Row],[Coluna7]],[1]!Tabela1[#All],2,0)</f>
        <v>#REF!</v>
      </c>
      <c r="L2082">
        <v>100</v>
      </c>
      <c r="N2082" t="s">
        <v>584</v>
      </c>
      <c r="Q2082" s="10" t="str">
        <f>Tabela2[[#This Row],[Coluna5]]</f>
        <v>01/2026</v>
      </c>
      <c r="R2082" s="10" t="str">
        <f>IF(Tabela2[[#This Row],[Coluna9]]&gt;0,"Entrada","Saída")</f>
        <v>Saída</v>
      </c>
      <c r="S2082" s="10">
        <f>Tabela2[[#This Row],[Coluna8]]</f>
        <v>0</v>
      </c>
      <c r="T2082" s="10" t="e">
        <f>Tabela2[[#This Row],[Coluna72]]</f>
        <v>#REF!</v>
      </c>
      <c r="U2082" s="10">
        <f>SUM(Tabela2[[#This Row],[Coluna9]],Tabela2[[#This Row],[Coluna10]])</f>
        <v>100</v>
      </c>
      <c r="V2082" s="2" t="str">
        <f>Tabela2[[#This Row],[Coluna4]]</f>
        <v>07/01/2026</v>
      </c>
      <c r="W2082" s="2" t="str">
        <f>Tabela2[[#This Row],[Coluna6]]</f>
        <v>07/01/2026</v>
      </c>
    </row>
    <row r="2083" spans="2:23" x14ac:dyDescent="0.2">
      <c r="B2083" t="s">
        <v>748</v>
      </c>
      <c r="C2083" t="s">
        <v>95</v>
      </c>
      <c r="D2083" t="s">
        <v>13</v>
      </c>
      <c r="E2083" s="8" t="s">
        <v>85</v>
      </c>
      <c r="F2083" t="s">
        <v>84</v>
      </c>
      <c r="G2083" s="8" t="s">
        <v>85</v>
      </c>
      <c r="H2083" t="s">
        <v>546</v>
      </c>
      <c r="I2083" t="e">
        <f>VLOOKUP(Tabela2[[#This Row],[Coluna7]],[1]!Tabela1[#All],2,0)</f>
        <v>#REF!</v>
      </c>
      <c r="J2083" t="s">
        <v>663</v>
      </c>
      <c r="L2083">
        <v>300</v>
      </c>
      <c r="Q2083" s="10" t="str">
        <f>Tabela2[[#This Row],[Coluna5]]</f>
        <v>01/2026</v>
      </c>
      <c r="R2083" s="10" t="str">
        <f>IF(Tabela2[[#This Row],[Coluna9]]&gt;0,"Entrada","Saída")</f>
        <v>Saída</v>
      </c>
      <c r="S2083" s="10" t="str">
        <f>Tabela2[[#This Row],[Coluna8]]</f>
        <v>VIDROS E MO (DIMAS)</v>
      </c>
      <c r="T2083" s="10" t="e">
        <f>Tabela2[[#This Row],[Coluna72]]</f>
        <v>#REF!</v>
      </c>
      <c r="U2083" s="10">
        <f>SUM(Tabela2[[#This Row],[Coluna9]],Tabela2[[#This Row],[Coluna10]])</f>
        <v>300</v>
      </c>
      <c r="V2083" s="2" t="str">
        <f>Tabela2[[#This Row],[Coluna4]]</f>
        <v>08/01/2026</v>
      </c>
      <c r="W2083" s="2" t="str">
        <f>Tabela2[[#This Row],[Coluna6]]</f>
        <v>08/01/2026</v>
      </c>
    </row>
    <row r="2084" spans="2:23" x14ac:dyDescent="0.2">
      <c r="B2084" t="s">
        <v>18</v>
      </c>
      <c r="C2084" t="s">
        <v>95</v>
      </c>
      <c r="D2084" t="s">
        <v>13</v>
      </c>
      <c r="E2084" s="8" t="s">
        <v>85</v>
      </c>
      <c r="F2084" t="s">
        <v>84</v>
      </c>
      <c r="G2084" s="8" t="s">
        <v>85</v>
      </c>
      <c r="H2084" t="s">
        <v>546</v>
      </c>
      <c r="I2084" t="e">
        <f>VLOOKUP(Tabela2[[#This Row],[Coluna7]],[1]!Tabela1[#All],2,0)</f>
        <v>#REF!</v>
      </c>
      <c r="J2084" t="s">
        <v>664</v>
      </c>
      <c r="L2084">
        <v>300</v>
      </c>
      <c r="N2084" t="s">
        <v>547</v>
      </c>
      <c r="Q2084" s="10" t="str">
        <f>Tabela2[[#This Row],[Coluna5]]</f>
        <v>01/2026</v>
      </c>
      <c r="R2084" s="10" t="str">
        <f>IF(Tabela2[[#This Row],[Coluna9]]&gt;0,"Entrada","Saída")</f>
        <v>Saída</v>
      </c>
      <c r="S2084" s="10" t="str">
        <f>Tabela2[[#This Row],[Coluna8]]</f>
        <v>MARCONDES</v>
      </c>
      <c r="T2084" s="10" t="e">
        <f>Tabela2[[#This Row],[Coluna72]]</f>
        <v>#REF!</v>
      </c>
      <c r="U2084" s="10">
        <f>SUM(Tabela2[[#This Row],[Coluna9]],Tabela2[[#This Row],[Coluna10]])</f>
        <v>300</v>
      </c>
      <c r="V2084" s="2" t="str">
        <f>Tabela2[[#This Row],[Coluna4]]</f>
        <v>08/01/2026</v>
      </c>
      <c r="W2084" s="2" t="str">
        <f>Tabela2[[#This Row],[Coluna6]]</f>
        <v>08/01/2026</v>
      </c>
    </row>
    <row r="2085" spans="2:23" x14ac:dyDescent="0.2">
      <c r="B2085" t="s">
        <v>748</v>
      </c>
      <c r="C2085" t="s">
        <v>95</v>
      </c>
      <c r="D2085" t="s">
        <v>13</v>
      </c>
      <c r="E2085" s="8" t="s">
        <v>85</v>
      </c>
      <c r="F2085" t="s">
        <v>64</v>
      </c>
      <c r="G2085" s="8" t="s">
        <v>85</v>
      </c>
      <c r="H2085" t="s">
        <v>580</v>
      </c>
      <c r="I2085" t="e">
        <f>VLOOKUP(Tabela2[[#This Row],[Coluna7]],[1]!Tabela1[#All],2,0)</f>
        <v>#REF!</v>
      </c>
      <c r="J2085" t="s">
        <v>656</v>
      </c>
      <c r="L2085">
        <v>400</v>
      </c>
      <c r="N2085" t="s">
        <v>583</v>
      </c>
      <c r="Q2085" s="10" t="str">
        <f>Tabela2[[#This Row],[Coluna5]]</f>
        <v>12/2025</v>
      </c>
      <c r="R2085" s="10" t="str">
        <f>IF(Tabela2[[#This Row],[Coluna9]]&gt;0,"Entrada","Saída")</f>
        <v>Saída</v>
      </c>
      <c r="S2085" s="10" t="str">
        <f>Tabela2[[#This Row],[Coluna8]]</f>
        <v>ADIANTAMENTO</v>
      </c>
      <c r="T2085" s="10" t="e">
        <f>Tabela2[[#This Row],[Coluna72]]</f>
        <v>#REF!</v>
      </c>
      <c r="U2085" s="10">
        <f>SUM(Tabela2[[#This Row],[Coluna9]],Tabela2[[#This Row],[Coluna10]])</f>
        <v>400</v>
      </c>
      <c r="V2085" s="2" t="str">
        <f>Tabela2[[#This Row],[Coluna4]]</f>
        <v>08/01/2026</v>
      </c>
      <c r="W2085" s="2" t="str">
        <f>Tabela2[[#This Row],[Coluna6]]</f>
        <v>08/01/2026</v>
      </c>
    </row>
    <row r="2086" spans="2:23" x14ac:dyDescent="0.2">
      <c r="B2086" t="s">
        <v>748</v>
      </c>
      <c r="C2086" t="s">
        <v>95</v>
      </c>
      <c r="D2086" t="s">
        <v>13</v>
      </c>
      <c r="E2086" s="8" t="s">
        <v>348</v>
      </c>
      <c r="F2086" t="s">
        <v>665</v>
      </c>
      <c r="G2086" s="8" t="s">
        <v>348</v>
      </c>
      <c r="H2086" t="s">
        <v>580</v>
      </c>
      <c r="I2086" t="e">
        <f>VLOOKUP(Tabela2[[#This Row],[Coluna7]],[1]!Tabela1[#All],2,0)</f>
        <v>#REF!</v>
      </c>
      <c r="L2086">
        <v>2668.06</v>
      </c>
      <c r="N2086" t="s">
        <v>583</v>
      </c>
      <c r="Q2086" s="10" t="str">
        <f>Tabela2[[#This Row],[Coluna5]]</f>
        <v>12/2026</v>
      </c>
      <c r="R2086" s="10" t="str">
        <f>IF(Tabela2[[#This Row],[Coluna9]]&gt;0,"Entrada","Saída")</f>
        <v>Saída</v>
      </c>
      <c r="S2086" s="10">
        <f>Tabela2[[#This Row],[Coluna8]]</f>
        <v>0</v>
      </c>
      <c r="T2086" s="10" t="e">
        <f>Tabela2[[#This Row],[Coluna72]]</f>
        <v>#REF!</v>
      </c>
      <c r="U2086" s="10">
        <f>SUM(Tabela2[[#This Row],[Coluna9]],Tabela2[[#This Row],[Coluna10]])</f>
        <v>2668.06</v>
      </c>
      <c r="V2086" s="2" t="str">
        <f>Tabela2[[#This Row],[Coluna4]]</f>
        <v>09/01/2026</v>
      </c>
      <c r="W2086" s="2" t="str">
        <f>Tabela2[[#This Row],[Coluna6]]</f>
        <v>09/01/2026</v>
      </c>
    </row>
    <row r="2087" spans="2:23" x14ac:dyDescent="0.2">
      <c r="B2087" t="s">
        <v>748</v>
      </c>
      <c r="C2087" t="s">
        <v>95</v>
      </c>
      <c r="D2087" t="s">
        <v>13</v>
      </c>
      <c r="E2087" s="8" t="s">
        <v>348</v>
      </c>
      <c r="F2087" t="s">
        <v>84</v>
      </c>
      <c r="G2087" s="8" t="s">
        <v>348</v>
      </c>
      <c r="H2087" t="s">
        <v>546</v>
      </c>
      <c r="I2087" t="e">
        <f>VLOOKUP(Tabela2[[#This Row],[Coluna7]],[1]!Tabela1[#All],2,0)</f>
        <v>#REF!</v>
      </c>
      <c r="L2087">
        <v>600</v>
      </c>
      <c r="N2087" t="s">
        <v>547</v>
      </c>
      <c r="Q2087" s="10" t="str">
        <f>Tabela2[[#This Row],[Coluna5]]</f>
        <v>01/2026</v>
      </c>
      <c r="R2087" s="10" t="str">
        <f>IF(Tabela2[[#This Row],[Coluna9]]&gt;0,"Entrada","Saída")</f>
        <v>Saída</v>
      </c>
      <c r="S2087" s="10">
        <f>Tabela2[[#This Row],[Coluna8]]</f>
        <v>0</v>
      </c>
      <c r="T2087" s="10" t="e">
        <f>Tabela2[[#This Row],[Coluna72]]</f>
        <v>#REF!</v>
      </c>
      <c r="U2087" s="10">
        <f>SUM(Tabela2[[#This Row],[Coluna9]],Tabela2[[#This Row],[Coluna10]])</f>
        <v>600</v>
      </c>
      <c r="V2087" s="2" t="str">
        <f>Tabela2[[#This Row],[Coluna4]]</f>
        <v>09/01/2026</v>
      </c>
      <c r="W2087" s="2" t="str">
        <f>Tabela2[[#This Row],[Coluna6]]</f>
        <v>09/01/2026</v>
      </c>
    </row>
    <row r="2088" spans="2:23" x14ac:dyDescent="0.2">
      <c r="B2088" t="s">
        <v>748</v>
      </c>
      <c r="C2088" t="s">
        <v>95</v>
      </c>
      <c r="D2088" t="s">
        <v>13</v>
      </c>
      <c r="E2088" s="8" t="s">
        <v>348</v>
      </c>
      <c r="F2088" t="s">
        <v>84</v>
      </c>
      <c r="G2088" s="8" t="s">
        <v>348</v>
      </c>
      <c r="H2088" t="s">
        <v>546</v>
      </c>
      <c r="I2088" t="e">
        <f>VLOOKUP(Tabela2[[#This Row],[Coluna7]],[1]!Tabela1[#All],2,0)</f>
        <v>#REF!</v>
      </c>
      <c r="L2088">
        <v>100</v>
      </c>
      <c r="N2088" t="s">
        <v>584</v>
      </c>
      <c r="Q2088" s="10" t="str">
        <f>Tabela2[[#This Row],[Coluna5]]</f>
        <v>01/2026</v>
      </c>
      <c r="R2088" s="10" t="str">
        <f>IF(Tabela2[[#This Row],[Coluna9]]&gt;0,"Entrada","Saída")</f>
        <v>Saída</v>
      </c>
      <c r="S2088" s="10">
        <f>Tabela2[[#This Row],[Coluna8]]</f>
        <v>0</v>
      </c>
      <c r="T2088" s="10" t="e">
        <f>Tabela2[[#This Row],[Coluna72]]</f>
        <v>#REF!</v>
      </c>
      <c r="U2088" s="10">
        <f>SUM(Tabela2[[#This Row],[Coluna9]],Tabela2[[#This Row],[Coluna10]])</f>
        <v>100</v>
      </c>
      <c r="V2088" s="2" t="str">
        <f>Tabela2[[#This Row],[Coluna4]]</f>
        <v>09/01/2026</v>
      </c>
      <c r="W2088" s="2" t="str">
        <f>Tabela2[[#This Row],[Coluna6]]</f>
        <v>09/01/2026</v>
      </c>
    </row>
    <row r="2089" spans="2:23" x14ac:dyDescent="0.2">
      <c r="B2089" t="s">
        <v>71</v>
      </c>
      <c r="C2089" t="s">
        <v>95</v>
      </c>
      <c r="D2089" t="s">
        <v>13</v>
      </c>
      <c r="E2089" s="8" t="s">
        <v>351</v>
      </c>
      <c r="F2089" t="s">
        <v>84</v>
      </c>
      <c r="G2089" s="8" t="s">
        <v>351</v>
      </c>
      <c r="H2089" t="s">
        <v>538</v>
      </c>
      <c r="I2089" t="e">
        <f>VLOOKUP(Tabela2[[#This Row],[Coluna7]],[1]!Tabela1[#All],2,0)</f>
        <v>#REF!</v>
      </c>
      <c r="J2089" t="s">
        <v>649</v>
      </c>
      <c r="L2089">
        <v>70</v>
      </c>
      <c r="N2089" t="s">
        <v>408</v>
      </c>
      <c r="Q2089" s="10" t="str">
        <f>Tabela2[[#This Row],[Coluna5]]</f>
        <v>01/2026</v>
      </c>
      <c r="R2089" s="10" t="str">
        <f>IF(Tabela2[[#This Row],[Coluna9]]&gt;0,"Entrada","Saída")</f>
        <v>Saída</v>
      </c>
      <c r="S2089" s="10" t="str">
        <f>Tabela2[[#This Row],[Coluna8]]</f>
        <v>HORA EXTRA</v>
      </c>
      <c r="T2089" s="10" t="e">
        <f>Tabela2[[#This Row],[Coluna72]]</f>
        <v>#REF!</v>
      </c>
      <c r="U2089" s="10">
        <f>SUM(Tabela2[[#This Row],[Coluna9]],Tabela2[[#This Row],[Coluna10]])</f>
        <v>70</v>
      </c>
      <c r="V2089" s="2" t="str">
        <f>Tabela2[[#This Row],[Coluna4]]</f>
        <v>10/01/2026</v>
      </c>
      <c r="W2089" s="2" t="str">
        <f>Tabela2[[#This Row],[Coluna6]]</f>
        <v>10/01/2026</v>
      </c>
    </row>
    <row r="2090" spans="2:23" x14ac:dyDescent="0.2">
      <c r="B2090" t="s">
        <v>748</v>
      </c>
      <c r="C2090" t="s">
        <v>95</v>
      </c>
      <c r="D2090" t="s">
        <v>13</v>
      </c>
      <c r="E2090" s="8" t="s">
        <v>351</v>
      </c>
      <c r="F2090" t="s">
        <v>84</v>
      </c>
      <c r="G2090" s="8" t="s">
        <v>351</v>
      </c>
      <c r="H2090" t="s">
        <v>546</v>
      </c>
      <c r="I2090" t="e">
        <f>VLOOKUP(Tabela2[[#This Row],[Coluna7]],[1]!Tabela1[#All],2,0)</f>
        <v>#REF!</v>
      </c>
      <c r="L2090">
        <v>1000</v>
      </c>
      <c r="N2090" t="s">
        <v>584</v>
      </c>
      <c r="Q2090" s="10" t="str">
        <f>Tabela2[[#This Row],[Coluna5]]</f>
        <v>01/2026</v>
      </c>
      <c r="R2090" s="10" t="str">
        <f>IF(Tabela2[[#This Row],[Coluna9]]&gt;0,"Entrada","Saída")</f>
        <v>Saída</v>
      </c>
      <c r="S2090" s="10">
        <f>Tabela2[[#This Row],[Coluna8]]</f>
        <v>0</v>
      </c>
      <c r="T2090" s="10" t="e">
        <f>Tabela2[[#This Row],[Coluna72]]</f>
        <v>#REF!</v>
      </c>
      <c r="U2090" s="10">
        <f>SUM(Tabela2[[#This Row],[Coluna9]],Tabela2[[#This Row],[Coluna10]])</f>
        <v>1000</v>
      </c>
      <c r="V2090" s="2" t="str">
        <f>Tabela2[[#This Row],[Coluna4]]</f>
        <v>10/01/2026</v>
      </c>
      <c r="W2090" s="2" t="str">
        <f>Tabela2[[#This Row],[Coluna6]]</f>
        <v>10/01/2026</v>
      </c>
    </row>
    <row r="2091" spans="2:23" x14ac:dyDescent="0.2">
      <c r="B2091" t="s">
        <v>748</v>
      </c>
      <c r="C2091" t="s">
        <v>95</v>
      </c>
      <c r="D2091" t="s">
        <v>13</v>
      </c>
      <c r="E2091" s="8" t="s">
        <v>351</v>
      </c>
      <c r="F2091" t="s">
        <v>84</v>
      </c>
      <c r="G2091" s="8" t="s">
        <v>351</v>
      </c>
      <c r="H2091" t="s">
        <v>546</v>
      </c>
      <c r="I2091" t="e">
        <f>VLOOKUP(Tabela2[[#This Row],[Coluna7]],[1]!Tabela1[#All],2,0)</f>
        <v>#REF!</v>
      </c>
      <c r="J2091" t="s">
        <v>666</v>
      </c>
      <c r="L2091">
        <v>1500</v>
      </c>
      <c r="Q2091" s="10" t="str">
        <f>Tabela2[[#This Row],[Coluna5]]</f>
        <v>01/2026</v>
      </c>
      <c r="R2091" s="10" t="str">
        <f>IF(Tabela2[[#This Row],[Coluna9]]&gt;0,"Entrada","Saída")</f>
        <v>Saída</v>
      </c>
      <c r="S2091" s="10" t="str">
        <f>Tabela2[[#This Row],[Coluna8]]</f>
        <v>TROCA DE QUADRO ELETRICO</v>
      </c>
      <c r="T2091" s="10" t="e">
        <f>Tabela2[[#This Row],[Coluna72]]</f>
        <v>#REF!</v>
      </c>
      <c r="U2091" s="10">
        <f>SUM(Tabela2[[#This Row],[Coluna9]],Tabela2[[#This Row],[Coluna10]])</f>
        <v>1500</v>
      </c>
      <c r="V2091" s="2" t="str">
        <f>Tabela2[[#This Row],[Coluna4]]</f>
        <v>10/01/2026</v>
      </c>
      <c r="W2091" s="2" t="str">
        <f>Tabela2[[#This Row],[Coluna6]]</f>
        <v>10/01/2026</v>
      </c>
    </row>
    <row r="2092" spans="2:23" x14ac:dyDescent="0.2">
      <c r="B2092" t="s">
        <v>748</v>
      </c>
      <c r="C2092" t="s">
        <v>95</v>
      </c>
      <c r="D2092" t="s">
        <v>13</v>
      </c>
      <c r="E2092" s="8" t="s">
        <v>351</v>
      </c>
      <c r="F2092" t="s">
        <v>84</v>
      </c>
      <c r="G2092" s="8" t="s">
        <v>351</v>
      </c>
      <c r="H2092" t="s">
        <v>570</v>
      </c>
      <c r="I2092" t="e">
        <f>VLOOKUP(Tabela2[[#This Row],[Coluna7]],[1]!Tabela1[#All],2,0)</f>
        <v>#REF!</v>
      </c>
      <c r="L2092">
        <v>36</v>
      </c>
      <c r="Q2092" s="10" t="str">
        <f>Tabela2[[#This Row],[Coluna5]]</f>
        <v>01/2026</v>
      </c>
      <c r="R2092" s="10" t="str">
        <f>IF(Tabela2[[#This Row],[Coluna9]]&gt;0,"Entrada","Saída")</f>
        <v>Saída</v>
      </c>
      <c r="S2092" s="10">
        <f>Tabela2[[#This Row],[Coluna8]]</f>
        <v>0</v>
      </c>
      <c r="T2092" s="10" t="e">
        <f>Tabela2[[#This Row],[Coluna72]]</f>
        <v>#REF!</v>
      </c>
      <c r="U2092" s="10">
        <f>SUM(Tabela2[[#This Row],[Coluna9]],Tabela2[[#This Row],[Coluna10]])</f>
        <v>36</v>
      </c>
      <c r="V2092" s="2" t="str">
        <f>Tabela2[[#This Row],[Coluna4]]</f>
        <v>10/01/2026</v>
      </c>
      <c r="W2092" s="2" t="str">
        <f>Tabela2[[#This Row],[Coluna6]]</f>
        <v>10/01/2026</v>
      </c>
    </row>
    <row r="2093" spans="2:23" x14ac:dyDescent="0.2">
      <c r="B2093" t="s">
        <v>748</v>
      </c>
      <c r="C2093" t="s">
        <v>95</v>
      </c>
      <c r="D2093" t="s">
        <v>13</v>
      </c>
      <c r="E2093" s="8" t="s">
        <v>351</v>
      </c>
      <c r="F2093" t="s">
        <v>84</v>
      </c>
      <c r="G2093" s="8" t="s">
        <v>351</v>
      </c>
      <c r="H2093" t="s">
        <v>546</v>
      </c>
      <c r="I2093" t="e">
        <f>VLOOKUP(Tabela2[[#This Row],[Coluna7]],[1]!Tabela1[#All],2,0)</f>
        <v>#REF!</v>
      </c>
      <c r="J2093" t="s">
        <v>667</v>
      </c>
      <c r="L2093">
        <v>350</v>
      </c>
      <c r="Q2093" s="10" t="str">
        <f>Tabela2[[#This Row],[Coluna5]]</f>
        <v>01/2026</v>
      </c>
      <c r="R2093" s="10" t="str">
        <f>IF(Tabela2[[#This Row],[Coluna9]]&gt;0,"Entrada","Saída")</f>
        <v>Saída</v>
      </c>
      <c r="S2093" s="10" t="str">
        <f>Tabela2[[#This Row],[Coluna8]]</f>
        <v>SILVESTRE</v>
      </c>
      <c r="T2093" s="10" t="e">
        <f>Tabela2[[#This Row],[Coluna72]]</f>
        <v>#REF!</v>
      </c>
      <c r="U2093" s="10">
        <f>SUM(Tabela2[[#This Row],[Coluna9]],Tabela2[[#This Row],[Coluna10]])</f>
        <v>350</v>
      </c>
      <c r="V2093" s="2" t="str">
        <f>Tabela2[[#This Row],[Coluna4]]</f>
        <v>10/01/2026</v>
      </c>
      <c r="W2093" s="2" t="str">
        <f>Tabela2[[#This Row],[Coluna6]]</f>
        <v>10/01/2026</v>
      </c>
    </row>
    <row r="2094" spans="2:23" x14ac:dyDescent="0.2">
      <c r="B2094" t="s">
        <v>748</v>
      </c>
      <c r="C2094" t="s">
        <v>95</v>
      </c>
      <c r="D2094" t="s">
        <v>13</v>
      </c>
      <c r="E2094" s="8" t="s">
        <v>668</v>
      </c>
      <c r="F2094" t="s">
        <v>84</v>
      </c>
      <c r="G2094" s="8" t="s">
        <v>668</v>
      </c>
      <c r="H2094" t="s">
        <v>546</v>
      </c>
      <c r="I2094" t="e">
        <f>VLOOKUP(Tabela2[[#This Row],[Coluna7]],[1]!Tabela1[#All],2,0)</f>
        <v>#REF!</v>
      </c>
      <c r="L2094">
        <v>500</v>
      </c>
      <c r="N2094" t="s">
        <v>584</v>
      </c>
      <c r="Q2094" s="10" t="str">
        <f>Tabela2[[#This Row],[Coluna5]]</f>
        <v>01/2026</v>
      </c>
      <c r="R2094" s="10" t="str">
        <f>IF(Tabela2[[#This Row],[Coluna9]]&gt;0,"Entrada","Saída")</f>
        <v>Saída</v>
      </c>
      <c r="S2094" s="10">
        <f>Tabela2[[#This Row],[Coluna8]]</f>
        <v>0</v>
      </c>
      <c r="T2094" s="10" t="e">
        <f>Tabela2[[#This Row],[Coluna72]]</f>
        <v>#REF!</v>
      </c>
      <c r="U2094" s="10">
        <f>SUM(Tabela2[[#This Row],[Coluna9]],Tabela2[[#This Row],[Coluna10]])</f>
        <v>500</v>
      </c>
      <c r="V2094" s="2" t="str">
        <f>Tabela2[[#This Row],[Coluna4]]</f>
        <v>11/01/2026</v>
      </c>
      <c r="W2094" s="2" t="str">
        <f>Tabela2[[#This Row],[Coluna6]]</f>
        <v>11/01/2026</v>
      </c>
    </row>
    <row r="2095" spans="2:23" x14ac:dyDescent="0.2">
      <c r="B2095" t="s">
        <v>748</v>
      </c>
      <c r="C2095" t="s">
        <v>95</v>
      </c>
      <c r="D2095" t="s">
        <v>13</v>
      </c>
      <c r="E2095" s="8" t="s">
        <v>346</v>
      </c>
      <c r="F2095" t="s">
        <v>84</v>
      </c>
      <c r="G2095" s="8" t="s">
        <v>346</v>
      </c>
      <c r="H2095" t="s">
        <v>570</v>
      </c>
      <c r="I2095" t="e">
        <f>VLOOKUP(Tabela2[[#This Row],[Coluna7]],[1]!Tabela1[#All],2,0)</f>
        <v>#REF!</v>
      </c>
      <c r="L2095">
        <v>9</v>
      </c>
      <c r="Q2095" s="10" t="str">
        <f>Tabela2[[#This Row],[Coluna5]]</f>
        <v>01/2026</v>
      </c>
      <c r="R2095" s="10" t="str">
        <f>IF(Tabela2[[#This Row],[Coluna9]]&gt;0,"Entrada","Saída")</f>
        <v>Saída</v>
      </c>
      <c r="S2095" s="10">
        <f>Tabela2[[#This Row],[Coluna8]]</f>
        <v>0</v>
      </c>
      <c r="T2095" s="10" t="e">
        <f>Tabela2[[#This Row],[Coluna72]]</f>
        <v>#REF!</v>
      </c>
      <c r="U2095" s="10">
        <f>SUM(Tabela2[[#This Row],[Coluna9]],Tabela2[[#This Row],[Coluna10]])</f>
        <v>9</v>
      </c>
      <c r="V2095" s="2" t="str">
        <f>Tabela2[[#This Row],[Coluna4]]</f>
        <v>12/01/2026</v>
      </c>
      <c r="W2095" s="2" t="str">
        <f>Tabela2[[#This Row],[Coluna6]]</f>
        <v>12/01/2026</v>
      </c>
    </row>
    <row r="2096" spans="2:23" x14ac:dyDescent="0.2">
      <c r="B2096" t="s">
        <v>748</v>
      </c>
      <c r="C2096" t="s">
        <v>95</v>
      </c>
      <c r="D2096" t="s">
        <v>13</v>
      </c>
      <c r="E2096" s="8" t="s">
        <v>346</v>
      </c>
      <c r="F2096" t="s">
        <v>84</v>
      </c>
      <c r="G2096" s="8" t="s">
        <v>346</v>
      </c>
      <c r="H2096" t="s">
        <v>580</v>
      </c>
      <c r="I2096" t="e">
        <f>VLOOKUP(Tabela2[[#This Row],[Coluna7]],[1]!Tabela1[#All],2,0)</f>
        <v>#REF!</v>
      </c>
      <c r="L2096">
        <v>15000</v>
      </c>
      <c r="N2096" t="s">
        <v>669</v>
      </c>
      <c r="Q2096" s="10" t="str">
        <f>Tabela2[[#This Row],[Coluna5]]</f>
        <v>01/2026</v>
      </c>
      <c r="R2096" s="10" t="str">
        <f>IF(Tabela2[[#This Row],[Coluna9]]&gt;0,"Entrada","Saída")</f>
        <v>Saída</v>
      </c>
      <c r="S2096" s="10">
        <f>Tabela2[[#This Row],[Coluna8]]</f>
        <v>0</v>
      </c>
      <c r="T2096" s="10" t="e">
        <f>Tabela2[[#This Row],[Coluna72]]</f>
        <v>#REF!</v>
      </c>
      <c r="U2096" s="10">
        <f>SUM(Tabela2[[#This Row],[Coluna9]],Tabela2[[#This Row],[Coluna10]])</f>
        <v>15000</v>
      </c>
      <c r="V2096" s="2" t="str">
        <f>Tabela2[[#This Row],[Coluna4]]</f>
        <v>12/01/2026</v>
      </c>
      <c r="W2096" s="2" t="str">
        <f>Tabela2[[#This Row],[Coluna6]]</f>
        <v>12/01/2026</v>
      </c>
    </row>
    <row r="2097" spans="2:23" x14ac:dyDescent="0.2">
      <c r="B2097" t="s">
        <v>748</v>
      </c>
      <c r="C2097" t="s">
        <v>95</v>
      </c>
      <c r="D2097" t="s">
        <v>13</v>
      </c>
      <c r="E2097" s="8" t="s">
        <v>346</v>
      </c>
      <c r="F2097" t="s">
        <v>64</v>
      </c>
      <c r="G2097" s="8" t="s">
        <v>346</v>
      </c>
      <c r="H2097" t="s">
        <v>580</v>
      </c>
      <c r="I2097" t="e">
        <f>VLOOKUP(Tabela2[[#This Row],[Coluna7]],[1]!Tabela1[#All],2,0)</f>
        <v>#REF!</v>
      </c>
      <c r="L2097">
        <v>3500</v>
      </c>
      <c r="N2097" t="s">
        <v>583</v>
      </c>
      <c r="Q2097" s="10" t="str">
        <f>Tabela2[[#This Row],[Coluna5]]</f>
        <v>12/2025</v>
      </c>
      <c r="R2097" s="10" t="str">
        <f>IF(Tabela2[[#This Row],[Coluna9]]&gt;0,"Entrada","Saída")</f>
        <v>Saída</v>
      </c>
      <c r="S2097" s="10">
        <f>Tabela2[[#This Row],[Coluna8]]</f>
        <v>0</v>
      </c>
      <c r="T2097" s="10" t="e">
        <f>Tabela2[[#This Row],[Coluna72]]</f>
        <v>#REF!</v>
      </c>
      <c r="U2097" s="10">
        <f>SUM(Tabela2[[#This Row],[Coluna9]],Tabela2[[#This Row],[Coluna10]])</f>
        <v>3500</v>
      </c>
      <c r="V2097" s="2" t="str">
        <f>Tabela2[[#This Row],[Coluna4]]</f>
        <v>12/01/2026</v>
      </c>
      <c r="W2097" s="2" t="str">
        <f>Tabela2[[#This Row],[Coluna6]]</f>
        <v>12/01/2026</v>
      </c>
    </row>
    <row r="2098" spans="2:23" x14ac:dyDescent="0.2">
      <c r="B2098" t="s">
        <v>18</v>
      </c>
      <c r="C2098" t="s">
        <v>95</v>
      </c>
      <c r="D2098" t="s">
        <v>13</v>
      </c>
      <c r="E2098" s="8" t="s">
        <v>86</v>
      </c>
      <c r="F2098" t="s">
        <v>84</v>
      </c>
      <c r="G2098" s="8" t="s">
        <v>86</v>
      </c>
      <c r="H2098" t="s">
        <v>561</v>
      </c>
      <c r="I2098" t="e">
        <f>VLOOKUP(Tabela2[[#This Row],[Coluna7]],[1]!Tabela1[#All],2,0)</f>
        <v>#REF!</v>
      </c>
      <c r="J2098" t="s">
        <v>670</v>
      </c>
      <c r="L2098">
        <v>100</v>
      </c>
      <c r="Q2098" s="10" t="str">
        <f>Tabela2[[#This Row],[Coluna5]]</f>
        <v>01/2026</v>
      </c>
      <c r="R2098" s="10" t="str">
        <f>IF(Tabela2[[#This Row],[Coluna9]]&gt;0,"Entrada","Saída")</f>
        <v>Saída</v>
      </c>
      <c r="S2098" s="10" t="str">
        <f>Tabela2[[#This Row],[Coluna8]]</f>
        <v>LUIZ HENRIQUE DA SILVA</v>
      </c>
      <c r="T2098" s="10" t="e">
        <f>Tabela2[[#This Row],[Coluna72]]</f>
        <v>#REF!</v>
      </c>
      <c r="U2098" s="10">
        <f>SUM(Tabela2[[#This Row],[Coluna9]],Tabela2[[#This Row],[Coluna10]])</f>
        <v>100</v>
      </c>
      <c r="V2098" s="2" t="str">
        <f>Tabela2[[#This Row],[Coluna4]]</f>
        <v>13/01/2026</v>
      </c>
      <c r="W2098" s="2" t="str">
        <f>Tabela2[[#This Row],[Coluna6]]</f>
        <v>13/01/2026</v>
      </c>
    </row>
    <row r="2099" spans="2:23" x14ac:dyDescent="0.2">
      <c r="B2099" t="s">
        <v>18</v>
      </c>
      <c r="C2099" t="s">
        <v>95</v>
      </c>
      <c r="D2099" t="s">
        <v>13</v>
      </c>
      <c r="E2099" s="8" t="s">
        <v>88</v>
      </c>
      <c r="F2099" t="s">
        <v>84</v>
      </c>
      <c r="G2099" s="8" t="s">
        <v>88</v>
      </c>
      <c r="H2099" t="s">
        <v>538</v>
      </c>
      <c r="I2099" t="e">
        <f>VLOOKUP(Tabela2[[#This Row],[Coluna7]],[1]!Tabela1[#All],2,0)</f>
        <v>#REF!</v>
      </c>
      <c r="J2099" t="s">
        <v>671</v>
      </c>
      <c r="L2099">
        <v>60</v>
      </c>
      <c r="Q2099" s="10" t="str">
        <f>Tabela2[[#This Row],[Coluna5]]</f>
        <v>01/2026</v>
      </c>
      <c r="R2099" s="10" t="str">
        <f>IF(Tabela2[[#This Row],[Coluna9]]&gt;0,"Entrada","Saída")</f>
        <v>Saída</v>
      </c>
      <c r="S2099" s="10" t="str">
        <f>Tabela2[[#This Row],[Coluna8]]</f>
        <v>MARCOS SANTOS DO CARMO</v>
      </c>
      <c r="T2099" s="10" t="e">
        <f>Tabela2[[#This Row],[Coluna72]]</f>
        <v>#REF!</v>
      </c>
      <c r="U2099" s="10">
        <f>SUM(Tabela2[[#This Row],[Coluna9]],Tabela2[[#This Row],[Coluna10]])</f>
        <v>60</v>
      </c>
      <c r="V2099" s="2" t="str">
        <f>Tabela2[[#This Row],[Coluna4]]</f>
        <v>14/01/2026</v>
      </c>
      <c r="W2099" s="2" t="str">
        <f>Tabela2[[#This Row],[Coluna6]]</f>
        <v>14/01/2026</v>
      </c>
    </row>
    <row r="2100" spans="2:23" x14ac:dyDescent="0.2">
      <c r="B2100" t="s">
        <v>18</v>
      </c>
      <c r="C2100" t="s">
        <v>95</v>
      </c>
      <c r="D2100" t="s">
        <v>13</v>
      </c>
      <c r="E2100" s="8" t="s">
        <v>88</v>
      </c>
      <c r="F2100" t="s">
        <v>84</v>
      </c>
      <c r="G2100" s="8" t="s">
        <v>88</v>
      </c>
      <c r="H2100" t="s">
        <v>546</v>
      </c>
      <c r="I2100" t="e">
        <f>VLOOKUP(Tabela2[[#This Row],[Coluna7]],[1]!Tabela1[#All],2,0)</f>
        <v>#REF!</v>
      </c>
      <c r="J2100" t="s">
        <v>547</v>
      </c>
      <c r="L2100">
        <v>50</v>
      </c>
      <c r="Q2100" s="10" t="str">
        <f>Tabela2[[#This Row],[Coluna5]]</f>
        <v>01/2026</v>
      </c>
      <c r="R2100" s="10" t="str">
        <f>IF(Tabela2[[#This Row],[Coluna9]]&gt;0,"Entrada","Saída")</f>
        <v>Saída</v>
      </c>
      <c r="S2100" s="10" t="str">
        <f>Tabela2[[#This Row],[Coluna8]]</f>
        <v>LEANDRO JOAO BATISTA DOS SANTOS</v>
      </c>
      <c r="T2100" s="10" t="e">
        <f>Tabela2[[#This Row],[Coluna72]]</f>
        <v>#REF!</v>
      </c>
      <c r="U2100" s="10">
        <f>SUM(Tabela2[[#This Row],[Coluna9]],Tabela2[[#This Row],[Coluna10]])</f>
        <v>50</v>
      </c>
      <c r="V2100" s="2" t="str">
        <f>Tabela2[[#This Row],[Coluna4]]</f>
        <v>14/01/2026</v>
      </c>
      <c r="W2100" s="2" t="str">
        <f>Tabela2[[#This Row],[Coluna6]]</f>
        <v>14/01/2026</v>
      </c>
    </row>
    <row r="2101" spans="2:23" x14ac:dyDescent="0.2">
      <c r="B2101" t="s">
        <v>18</v>
      </c>
      <c r="C2101" t="s">
        <v>95</v>
      </c>
      <c r="D2101" t="s">
        <v>13</v>
      </c>
      <c r="E2101" s="8" t="s">
        <v>89</v>
      </c>
      <c r="F2101" t="s">
        <v>84</v>
      </c>
      <c r="G2101" s="8" t="s">
        <v>89</v>
      </c>
      <c r="H2101" t="s">
        <v>580</v>
      </c>
      <c r="I2101" t="e">
        <f>VLOOKUP(Tabela2[[#This Row],[Coluna7]],[1]!Tabela1[#All],2,0)</f>
        <v>#REF!</v>
      </c>
      <c r="J2101" t="s">
        <v>672</v>
      </c>
      <c r="L2101">
        <v>371</v>
      </c>
      <c r="Q2101" s="10" t="str">
        <f>Tabela2[[#This Row],[Coluna5]]</f>
        <v>01/2026</v>
      </c>
      <c r="R2101" s="10" t="str">
        <f>IF(Tabela2[[#This Row],[Coluna9]]&gt;0,"Entrada","Saída")</f>
        <v>Saída</v>
      </c>
      <c r="S2101" s="10" t="str">
        <f>Tabela2[[#This Row],[Coluna8]]</f>
        <v>JASILA</v>
      </c>
      <c r="T2101" s="10" t="e">
        <f>Tabela2[[#This Row],[Coluna72]]</f>
        <v>#REF!</v>
      </c>
      <c r="U2101" s="10">
        <f>SUM(Tabela2[[#This Row],[Coluna9]],Tabela2[[#This Row],[Coluna10]])</f>
        <v>371</v>
      </c>
      <c r="V2101" s="2" t="str">
        <f>Tabela2[[#This Row],[Coluna4]]</f>
        <v>15/01/2026</v>
      </c>
      <c r="W2101" s="2" t="str">
        <f>Tabela2[[#This Row],[Coluna6]]</f>
        <v>15/01/2026</v>
      </c>
    </row>
    <row r="2102" spans="2:23" x14ac:dyDescent="0.2">
      <c r="B2102" t="s">
        <v>18</v>
      </c>
      <c r="C2102" t="s">
        <v>95</v>
      </c>
      <c r="D2102" t="s">
        <v>13</v>
      </c>
      <c r="E2102" s="8" t="s">
        <v>352</v>
      </c>
      <c r="F2102" t="s">
        <v>84</v>
      </c>
      <c r="G2102" s="8" t="s">
        <v>352</v>
      </c>
      <c r="H2102" t="s">
        <v>580</v>
      </c>
      <c r="I2102" t="e">
        <f>VLOOKUP(Tabela2[[#This Row],[Coluna7]],[1]!Tabela1[#All],2,0)</f>
        <v>#REF!</v>
      </c>
      <c r="L2102">
        <v>1400</v>
      </c>
      <c r="N2102" t="s">
        <v>583</v>
      </c>
      <c r="Q2102" s="10" t="str">
        <f>Tabela2[[#This Row],[Coluna5]]</f>
        <v>01/2026</v>
      </c>
      <c r="R2102" s="10" t="str">
        <f>IF(Tabela2[[#This Row],[Coluna9]]&gt;0,"Entrada","Saída")</f>
        <v>Saída</v>
      </c>
      <c r="S2102" s="10">
        <f>Tabela2[[#This Row],[Coluna8]]</f>
        <v>0</v>
      </c>
      <c r="T2102" s="10" t="e">
        <f>Tabela2[[#This Row],[Coluna72]]</f>
        <v>#REF!</v>
      </c>
      <c r="U2102" s="10">
        <f>SUM(Tabela2[[#This Row],[Coluna9]],Tabela2[[#This Row],[Coluna10]])</f>
        <v>1400</v>
      </c>
      <c r="V2102" s="2" t="str">
        <f>Tabela2[[#This Row],[Coluna4]]</f>
        <v>16/01/2026</v>
      </c>
      <c r="W2102" s="2" t="str">
        <f>Tabela2[[#This Row],[Coluna6]]</f>
        <v>16/01/2026</v>
      </c>
    </row>
    <row r="2103" spans="2:23" x14ac:dyDescent="0.2">
      <c r="B2103" t="s">
        <v>18</v>
      </c>
      <c r="C2103" t="s">
        <v>95</v>
      </c>
      <c r="D2103" t="s">
        <v>13</v>
      </c>
      <c r="E2103" s="8" t="s">
        <v>352</v>
      </c>
      <c r="F2103" t="s">
        <v>84</v>
      </c>
      <c r="G2103" s="8" t="s">
        <v>352</v>
      </c>
      <c r="H2103" t="s">
        <v>546</v>
      </c>
      <c r="I2103" t="e">
        <f>VLOOKUP(Tabela2[[#This Row],[Coluna7]],[1]!Tabela1[#All],2,0)</f>
        <v>#REF!</v>
      </c>
      <c r="J2103" t="s">
        <v>584</v>
      </c>
      <c r="L2103">
        <v>210</v>
      </c>
      <c r="Q2103" s="10" t="str">
        <f>Tabela2[[#This Row],[Coluna5]]</f>
        <v>01/2026</v>
      </c>
      <c r="R2103" s="10" t="str">
        <f>IF(Tabela2[[#This Row],[Coluna9]]&gt;0,"Entrada","Saída")</f>
        <v>Saída</v>
      </c>
      <c r="S2103" s="10" t="str">
        <f>Tabela2[[#This Row],[Coluna8]]</f>
        <v>ELIEL ANTONIO DA SILVA</v>
      </c>
      <c r="T2103" s="10" t="e">
        <f>Tabela2[[#This Row],[Coluna72]]</f>
        <v>#REF!</v>
      </c>
      <c r="U2103" s="10">
        <f>SUM(Tabela2[[#This Row],[Coluna9]],Tabela2[[#This Row],[Coluna10]])</f>
        <v>210</v>
      </c>
      <c r="V2103" s="2" t="str">
        <f>Tabela2[[#This Row],[Coluna4]]</f>
        <v>16/01/2026</v>
      </c>
      <c r="W2103" s="2" t="str">
        <f>Tabela2[[#This Row],[Coluna6]]</f>
        <v>16/01/2026</v>
      </c>
    </row>
    <row r="2104" spans="2:23" x14ac:dyDescent="0.2">
      <c r="B2104" t="s">
        <v>18</v>
      </c>
      <c r="C2104" t="s">
        <v>95</v>
      </c>
      <c r="D2104" t="s">
        <v>13</v>
      </c>
      <c r="E2104" s="8" t="s">
        <v>352</v>
      </c>
      <c r="F2104" t="s">
        <v>84</v>
      </c>
      <c r="G2104" s="8" t="s">
        <v>352</v>
      </c>
      <c r="H2104" t="s">
        <v>546</v>
      </c>
      <c r="I2104" t="e">
        <f>VLOOKUP(Tabela2[[#This Row],[Coluna7]],[1]!Tabela1[#All],2,0)</f>
        <v>#REF!</v>
      </c>
      <c r="J2104" t="s">
        <v>547</v>
      </c>
      <c r="L2104">
        <v>100</v>
      </c>
      <c r="Q2104" s="10" t="str">
        <f>Tabela2[[#This Row],[Coluna5]]</f>
        <v>01/2026</v>
      </c>
      <c r="R2104" s="10" t="str">
        <f>IF(Tabela2[[#This Row],[Coluna9]]&gt;0,"Entrada","Saída")</f>
        <v>Saída</v>
      </c>
      <c r="S2104" s="10" t="str">
        <f>Tabela2[[#This Row],[Coluna8]]</f>
        <v>LEANDRO JOAO BATISTA DOS SANTOS</v>
      </c>
      <c r="T2104" s="10" t="e">
        <f>Tabela2[[#This Row],[Coluna72]]</f>
        <v>#REF!</v>
      </c>
      <c r="U2104" s="10">
        <f>SUM(Tabela2[[#This Row],[Coluna9]],Tabela2[[#This Row],[Coluna10]])</f>
        <v>100</v>
      </c>
      <c r="V2104" s="2" t="str">
        <f>Tabela2[[#This Row],[Coluna4]]</f>
        <v>16/01/2026</v>
      </c>
      <c r="W2104" s="2" t="str">
        <f>Tabela2[[#This Row],[Coluna6]]</f>
        <v>16/01/2026</v>
      </c>
    </row>
    <row r="2105" spans="2:23" x14ac:dyDescent="0.2">
      <c r="B2105" t="s">
        <v>18</v>
      </c>
      <c r="C2105" t="s">
        <v>95</v>
      </c>
      <c r="D2105" t="s">
        <v>13</v>
      </c>
      <c r="E2105" s="8" t="s">
        <v>352</v>
      </c>
      <c r="F2105" t="s">
        <v>84</v>
      </c>
      <c r="G2105" s="8" t="s">
        <v>352</v>
      </c>
      <c r="H2105" t="s">
        <v>538</v>
      </c>
      <c r="I2105" t="e">
        <f>VLOOKUP(Tabela2[[#This Row],[Coluna7]],[1]!Tabela1[#All],2,0)</f>
        <v>#REF!</v>
      </c>
      <c r="J2105" t="s">
        <v>674</v>
      </c>
      <c r="L2105">
        <v>426.1</v>
      </c>
      <c r="Q2105" s="10" t="str">
        <f>Tabela2[[#This Row],[Coluna5]]</f>
        <v>01/2026</v>
      </c>
      <c r="R2105" s="10" t="str">
        <f>IF(Tabela2[[#This Row],[Coluna9]]&gt;0,"Entrada","Saída")</f>
        <v>Saída</v>
      </c>
      <c r="S2105" s="10" t="str">
        <f>Tabela2[[#This Row],[Coluna8]]</f>
        <v>PANELA | PRATO | TAÇA</v>
      </c>
      <c r="T2105" s="10" t="e">
        <f>Tabela2[[#This Row],[Coluna72]]</f>
        <v>#REF!</v>
      </c>
      <c r="U2105" s="10">
        <f>SUM(Tabela2[[#This Row],[Coluna9]],Tabela2[[#This Row],[Coluna10]])</f>
        <v>426.1</v>
      </c>
      <c r="V2105" s="2" t="str">
        <f>Tabela2[[#This Row],[Coluna4]]</f>
        <v>16/01/2026</v>
      </c>
      <c r="W2105" s="2" t="str">
        <f>Tabela2[[#This Row],[Coluna6]]</f>
        <v>16/01/2026</v>
      </c>
    </row>
    <row r="2106" spans="2:23" x14ac:dyDescent="0.2">
      <c r="B2106" t="s">
        <v>18</v>
      </c>
      <c r="C2106" t="s">
        <v>95</v>
      </c>
      <c r="D2106" t="s">
        <v>13</v>
      </c>
      <c r="E2106" s="8" t="s">
        <v>515</v>
      </c>
      <c r="F2106" t="s">
        <v>84</v>
      </c>
      <c r="G2106" s="8" t="s">
        <v>515</v>
      </c>
      <c r="H2106" t="s">
        <v>546</v>
      </c>
      <c r="I2106" t="e">
        <f>VLOOKUP(Tabela2[[#This Row],[Coluna7]],[1]!Tabela1[#All],2,0)</f>
        <v>#REF!</v>
      </c>
      <c r="J2106" t="s">
        <v>547</v>
      </c>
      <c r="L2106">
        <v>485</v>
      </c>
      <c r="Q2106" s="10" t="str">
        <f>Tabela2[[#This Row],[Coluna5]]</f>
        <v>01/2026</v>
      </c>
      <c r="R2106" s="10" t="str">
        <f>IF(Tabela2[[#This Row],[Coluna9]]&gt;0,"Entrada","Saída")</f>
        <v>Saída</v>
      </c>
      <c r="S2106" s="10" t="str">
        <f>Tabela2[[#This Row],[Coluna8]]</f>
        <v>LEANDRO JOAO BATISTA DOS SANTOS</v>
      </c>
      <c r="T2106" s="10" t="e">
        <f>Tabela2[[#This Row],[Coluna72]]</f>
        <v>#REF!</v>
      </c>
      <c r="U2106" s="10">
        <f>SUM(Tabela2[[#This Row],[Coluna9]],Tabela2[[#This Row],[Coluna10]])</f>
        <v>485</v>
      </c>
      <c r="V2106" s="2" t="str">
        <f>Tabela2[[#This Row],[Coluna4]]</f>
        <v>17/01/2026</v>
      </c>
      <c r="W2106" s="2" t="str">
        <f>Tabela2[[#This Row],[Coluna6]]</f>
        <v>17/01/2026</v>
      </c>
    </row>
    <row r="2107" spans="2:23" x14ac:dyDescent="0.2">
      <c r="B2107" t="s">
        <v>18</v>
      </c>
      <c r="C2107" t="s">
        <v>95</v>
      </c>
      <c r="D2107" t="s">
        <v>13</v>
      </c>
      <c r="E2107" s="8" t="s">
        <v>515</v>
      </c>
      <c r="F2107" t="s">
        <v>84</v>
      </c>
      <c r="G2107" s="8" t="s">
        <v>515</v>
      </c>
      <c r="H2107" t="s">
        <v>538</v>
      </c>
      <c r="I2107" t="e">
        <f>VLOOKUP(Tabela2[[#This Row],[Coluna7]],[1]!Tabela1[#All],2,0)</f>
        <v>#REF!</v>
      </c>
      <c r="J2107" t="s">
        <v>675</v>
      </c>
      <c r="L2107">
        <v>130</v>
      </c>
      <c r="Q2107" s="10" t="str">
        <f>Tabela2[[#This Row],[Coluna5]]</f>
        <v>01/2026</v>
      </c>
      <c r="R2107" s="10" t="str">
        <f>IF(Tabela2[[#This Row],[Coluna9]]&gt;0,"Entrada","Saída")</f>
        <v>Saída</v>
      </c>
      <c r="S2107" s="10" t="str">
        <f>Tabela2[[#This Row],[Coluna8]]</f>
        <v>LUCIANA DA SILVA SOUZA - CONFIRMAR CATEGORIA</v>
      </c>
      <c r="T2107" s="10" t="e">
        <f>Tabela2[[#This Row],[Coluna72]]</f>
        <v>#REF!</v>
      </c>
      <c r="U2107" s="10">
        <f>SUM(Tabela2[[#This Row],[Coluna9]],Tabela2[[#This Row],[Coluna10]])</f>
        <v>130</v>
      </c>
      <c r="V2107" s="2" t="str">
        <f>Tabela2[[#This Row],[Coluna4]]</f>
        <v>17/01/2026</v>
      </c>
      <c r="W2107" s="2" t="str">
        <f>Tabela2[[#This Row],[Coluna6]]</f>
        <v>17/01/2026</v>
      </c>
    </row>
    <row r="2108" spans="2:23" x14ac:dyDescent="0.2">
      <c r="B2108" t="s">
        <v>18</v>
      </c>
      <c r="C2108" t="s">
        <v>95</v>
      </c>
      <c r="D2108" t="s">
        <v>13</v>
      </c>
      <c r="E2108" s="8" t="s">
        <v>515</v>
      </c>
      <c r="F2108" t="s">
        <v>84</v>
      </c>
      <c r="G2108" s="8" t="s">
        <v>515</v>
      </c>
      <c r="H2108" t="s">
        <v>546</v>
      </c>
      <c r="I2108" t="e">
        <f>VLOOKUP(Tabela2[[#This Row],[Coluna7]],[1]!Tabela1[#All],2,0)</f>
        <v>#REF!</v>
      </c>
      <c r="J2108" t="s">
        <v>584</v>
      </c>
      <c r="L2108">
        <v>1000</v>
      </c>
      <c r="Q2108" s="10" t="str">
        <f>Tabela2[[#This Row],[Coluna5]]</f>
        <v>01/2026</v>
      </c>
      <c r="R2108" s="10" t="str">
        <f>IF(Tabela2[[#This Row],[Coluna9]]&gt;0,"Entrada","Saída")</f>
        <v>Saída</v>
      </c>
      <c r="S2108" s="10" t="str">
        <f>Tabela2[[#This Row],[Coluna8]]</f>
        <v>ELIEL ANTONIO DA SILVA</v>
      </c>
      <c r="T2108" s="10" t="e">
        <f>Tabela2[[#This Row],[Coluna72]]</f>
        <v>#REF!</v>
      </c>
      <c r="U2108" s="10">
        <f>SUM(Tabela2[[#This Row],[Coluna9]],Tabela2[[#This Row],[Coluna10]])</f>
        <v>1000</v>
      </c>
      <c r="V2108" s="2" t="str">
        <f>Tabela2[[#This Row],[Coluna4]]</f>
        <v>17/01/2026</v>
      </c>
      <c r="W2108" s="2" t="str">
        <f>Tabela2[[#This Row],[Coluna6]]</f>
        <v>17/01/2026</v>
      </c>
    </row>
    <row r="2109" spans="2:23" x14ac:dyDescent="0.2">
      <c r="B2109" t="s">
        <v>18</v>
      </c>
      <c r="C2109" t="s">
        <v>95</v>
      </c>
      <c r="D2109" t="s">
        <v>13</v>
      </c>
      <c r="E2109" s="8" t="s">
        <v>676</v>
      </c>
      <c r="F2109" t="s">
        <v>84</v>
      </c>
      <c r="G2109" s="8" t="s">
        <v>676</v>
      </c>
      <c r="H2109" t="s">
        <v>580</v>
      </c>
      <c r="I2109" t="e">
        <f>VLOOKUP(Tabela2[[#This Row],[Coluna7]],[1]!Tabela1[#All],2,0)</f>
        <v>#REF!</v>
      </c>
      <c r="L2109">
        <v>150</v>
      </c>
      <c r="N2109" t="s">
        <v>583</v>
      </c>
      <c r="Q2109" s="10" t="str">
        <f>Tabela2[[#This Row],[Coluna5]]</f>
        <v>01/2026</v>
      </c>
      <c r="R2109" s="10" t="str">
        <f>IF(Tabela2[[#This Row],[Coluna9]]&gt;0,"Entrada","Saída")</f>
        <v>Saída</v>
      </c>
      <c r="S2109" s="10">
        <f>Tabela2[[#This Row],[Coluna8]]</f>
        <v>0</v>
      </c>
      <c r="T2109" s="10" t="e">
        <f>Tabela2[[#This Row],[Coluna72]]</f>
        <v>#REF!</v>
      </c>
      <c r="U2109" s="10">
        <f>SUM(Tabela2[[#This Row],[Coluna9]],Tabela2[[#This Row],[Coluna10]])</f>
        <v>150</v>
      </c>
      <c r="V2109" s="2" t="str">
        <f>Tabela2[[#This Row],[Coluna4]]</f>
        <v>18/01/2026</v>
      </c>
      <c r="W2109" s="2" t="str">
        <f>Tabela2[[#This Row],[Coluna6]]</f>
        <v>18/01/2026</v>
      </c>
    </row>
    <row r="2110" spans="2:23" x14ac:dyDescent="0.2">
      <c r="B2110" t="s">
        <v>18</v>
      </c>
      <c r="C2110" t="s">
        <v>95</v>
      </c>
      <c r="D2110" t="s">
        <v>13</v>
      </c>
      <c r="E2110" s="8" t="s">
        <v>90</v>
      </c>
      <c r="F2110" t="s">
        <v>84</v>
      </c>
      <c r="G2110" s="8" t="s">
        <v>90</v>
      </c>
      <c r="H2110" t="s">
        <v>580</v>
      </c>
      <c r="I2110" t="e">
        <f>VLOOKUP(Tabela2[[#This Row],[Coluna7]],[1]!Tabela1[#All],2,0)</f>
        <v>#REF!</v>
      </c>
      <c r="L2110">
        <v>300</v>
      </c>
      <c r="N2110" t="s">
        <v>499</v>
      </c>
      <c r="Q2110" s="10" t="str">
        <f>Tabela2[[#This Row],[Coluna5]]</f>
        <v>01/2026</v>
      </c>
      <c r="R2110" s="10" t="str">
        <f>IF(Tabela2[[#This Row],[Coluna9]]&gt;0,"Entrada","Saída")</f>
        <v>Saída</v>
      </c>
      <c r="S2110" s="10">
        <f>Tabela2[[#This Row],[Coluna8]]</f>
        <v>0</v>
      </c>
      <c r="T2110" s="10" t="e">
        <f>Tabela2[[#This Row],[Coluna72]]</f>
        <v>#REF!</v>
      </c>
      <c r="U2110" s="10">
        <f>SUM(Tabela2[[#This Row],[Coluna9]],Tabela2[[#This Row],[Coluna10]])</f>
        <v>300</v>
      </c>
      <c r="V2110" s="2" t="str">
        <f>Tabela2[[#This Row],[Coluna4]]</f>
        <v>19/01/2026</v>
      </c>
      <c r="W2110" s="2" t="str">
        <f>Tabela2[[#This Row],[Coluna6]]</f>
        <v>19/01/2026</v>
      </c>
    </row>
    <row r="2111" spans="2:23" x14ac:dyDescent="0.2">
      <c r="B2111" t="s">
        <v>27</v>
      </c>
      <c r="C2111" t="s">
        <v>95</v>
      </c>
      <c r="D2111" t="s">
        <v>13</v>
      </c>
      <c r="E2111" s="8" t="s">
        <v>90</v>
      </c>
      <c r="F2111" t="s">
        <v>84</v>
      </c>
      <c r="G2111" s="8" t="s">
        <v>90</v>
      </c>
      <c r="H2111" t="s">
        <v>538</v>
      </c>
      <c r="I2111" t="e">
        <f>VLOOKUP(Tabela2[[#This Row],[Coluna7]],[1]!Tabela1[#All],2,0)</f>
        <v>#REF!</v>
      </c>
      <c r="J2111" t="s">
        <v>677</v>
      </c>
      <c r="L2111">
        <v>1700</v>
      </c>
      <c r="Q2111" s="10" t="str">
        <f>Tabela2[[#This Row],[Coluna5]]</f>
        <v>01/2026</v>
      </c>
      <c r="R2111" s="10" t="str">
        <f>IF(Tabela2[[#This Row],[Coluna9]]&gt;0,"Entrada","Saída")</f>
        <v>Saída</v>
      </c>
      <c r="S2111" s="10" t="str">
        <f>Tabela2[[#This Row],[Coluna8]]</f>
        <v>LUCIANO SILVA DE ALBU</v>
      </c>
      <c r="T2111" s="10" t="e">
        <f>Tabela2[[#This Row],[Coluna72]]</f>
        <v>#REF!</v>
      </c>
      <c r="U2111" s="10">
        <f>SUM(Tabela2[[#This Row],[Coluna9]],Tabela2[[#This Row],[Coluna10]])</f>
        <v>1700</v>
      </c>
      <c r="V2111" s="2" t="str">
        <f>Tabela2[[#This Row],[Coluna4]]</f>
        <v>19/01/2026</v>
      </c>
      <c r="W2111" s="2" t="str">
        <f>Tabela2[[#This Row],[Coluna6]]</f>
        <v>19/01/2026</v>
      </c>
    </row>
    <row r="2112" spans="2:23" x14ac:dyDescent="0.2">
      <c r="B2112" t="s">
        <v>748</v>
      </c>
      <c r="C2112" t="s">
        <v>95</v>
      </c>
      <c r="D2112" t="s">
        <v>13</v>
      </c>
      <c r="E2112" s="8" t="s">
        <v>90</v>
      </c>
      <c r="F2112" t="s">
        <v>84</v>
      </c>
      <c r="G2112" s="8" t="s">
        <v>90</v>
      </c>
      <c r="H2112" t="s">
        <v>580</v>
      </c>
      <c r="I2112" t="e">
        <f>VLOOKUP(Tabela2[[#This Row],[Coluna7]],[1]!Tabela1[#All],2,0)</f>
        <v>#REF!</v>
      </c>
      <c r="L2112">
        <v>300</v>
      </c>
      <c r="N2112" t="s">
        <v>517</v>
      </c>
      <c r="Q2112" s="10" t="str">
        <f>Tabela2[[#This Row],[Coluna5]]</f>
        <v>01/2026</v>
      </c>
      <c r="R2112" s="10" t="str">
        <f>IF(Tabela2[[#This Row],[Coluna9]]&gt;0,"Entrada","Saída")</f>
        <v>Saída</v>
      </c>
      <c r="S2112" s="10">
        <f>Tabela2[[#This Row],[Coluna8]]</f>
        <v>0</v>
      </c>
      <c r="T2112" s="10" t="e">
        <f>Tabela2[[#This Row],[Coluna72]]</f>
        <v>#REF!</v>
      </c>
      <c r="U2112" s="10">
        <f>SUM(Tabela2[[#This Row],[Coluna9]],Tabela2[[#This Row],[Coluna10]])</f>
        <v>300</v>
      </c>
      <c r="V2112" s="2" t="str">
        <f>Tabela2[[#This Row],[Coluna4]]</f>
        <v>19/01/2026</v>
      </c>
      <c r="W2112" s="2" t="str">
        <f>Tabela2[[#This Row],[Coluna6]]</f>
        <v>19/01/2026</v>
      </c>
    </row>
    <row r="2113" spans="2:23" x14ac:dyDescent="0.2">
      <c r="B2113" t="s">
        <v>18</v>
      </c>
      <c r="C2113" t="s">
        <v>125</v>
      </c>
      <c r="D2113" t="s">
        <v>13</v>
      </c>
      <c r="E2113" s="8" t="s">
        <v>91</v>
      </c>
      <c r="F2113" t="s">
        <v>84</v>
      </c>
      <c r="G2113" s="8" t="s">
        <v>356</v>
      </c>
      <c r="H2113" t="s">
        <v>551</v>
      </c>
      <c r="I2113" t="e">
        <f>VLOOKUP(Tabela2[[#This Row],[Coluna7]],[1]!Tabela1[#All],2,0)</f>
        <v>#REF!</v>
      </c>
      <c r="L2113">
        <v>237.91</v>
      </c>
      <c r="N2113" t="s">
        <v>678</v>
      </c>
      <c r="Q2113" s="10" t="str">
        <f>Tabela2[[#This Row],[Coluna5]]</f>
        <v>01/2026</v>
      </c>
      <c r="R2113" s="10" t="str">
        <f>IF(Tabela2[[#This Row],[Coluna9]]&gt;0,"Entrada","Saída")</f>
        <v>Saída</v>
      </c>
      <c r="S2113" s="10">
        <f>Tabela2[[#This Row],[Coluna8]]</f>
        <v>0</v>
      </c>
      <c r="T2113" s="10" t="e">
        <f>Tabela2[[#This Row],[Coluna72]]</f>
        <v>#REF!</v>
      </c>
      <c r="U2113" s="10">
        <f>SUM(Tabela2[[#This Row],[Coluna9]],Tabela2[[#This Row],[Coluna10]])</f>
        <v>237.91</v>
      </c>
      <c r="V2113" s="2" t="str">
        <f>Tabela2[[#This Row],[Coluna4]]</f>
        <v>20/01/2026</v>
      </c>
      <c r="W2113" s="2" t="str">
        <f>Tabela2[[#This Row],[Coluna6]]</f>
        <v>21/01/2026</v>
      </c>
    </row>
    <row r="2114" spans="2:23" x14ac:dyDescent="0.2">
      <c r="B2114" t="s">
        <v>18</v>
      </c>
      <c r="C2114" t="s">
        <v>95</v>
      </c>
      <c r="D2114" t="s">
        <v>13</v>
      </c>
      <c r="E2114" s="8" t="s">
        <v>91</v>
      </c>
      <c r="F2114" t="s">
        <v>84</v>
      </c>
      <c r="G2114" s="8" t="s">
        <v>91</v>
      </c>
      <c r="H2114" t="s">
        <v>595</v>
      </c>
      <c r="I2114" t="e">
        <f>VLOOKUP(Tabela2[[#This Row],[Coluna7]],[1]!Tabela1[#All],2,0)</f>
        <v>#REF!</v>
      </c>
      <c r="L2114">
        <v>613.16999999999996</v>
      </c>
      <c r="N2114" t="s">
        <v>420</v>
      </c>
      <c r="Q2114" s="10" t="str">
        <f>Tabela2[[#This Row],[Coluna5]]</f>
        <v>01/2026</v>
      </c>
      <c r="R2114" s="10" t="str">
        <f>IF(Tabela2[[#This Row],[Coluna9]]&gt;0,"Entrada","Saída")</f>
        <v>Saída</v>
      </c>
      <c r="S2114" s="10">
        <f>Tabela2[[#This Row],[Coluna8]]</f>
        <v>0</v>
      </c>
      <c r="T2114" s="10" t="e">
        <f>Tabela2[[#This Row],[Coluna72]]</f>
        <v>#REF!</v>
      </c>
      <c r="U2114" s="10">
        <f>SUM(Tabela2[[#This Row],[Coluna9]],Tabela2[[#This Row],[Coluna10]])</f>
        <v>613.16999999999996</v>
      </c>
      <c r="V2114" s="2" t="str">
        <f>Tabela2[[#This Row],[Coluna4]]</f>
        <v>20/01/2026</v>
      </c>
      <c r="W2114" s="2" t="str">
        <f>Tabela2[[#This Row],[Coluna6]]</f>
        <v>20/01/2026</v>
      </c>
    </row>
    <row r="2115" spans="2:23" x14ac:dyDescent="0.2">
      <c r="B2115" t="s">
        <v>18</v>
      </c>
      <c r="C2115" t="s">
        <v>95</v>
      </c>
      <c r="D2115" t="s">
        <v>13</v>
      </c>
      <c r="E2115" s="8" t="s">
        <v>91</v>
      </c>
      <c r="F2115" t="s">
        <v>84</v>
      </c>
      <c r="G2115" s="8" t="s">
        <v>91</v>
      </c>
      <c r="H2115" t="s">
        <v>595</v>
      </c>
      <c r="I2115" t="e">
        <f>VLOOKUP(Tabela2[[#This Row],[Coluna7]],[1]!Tabela1[#All],2,0)</f>
        <v>#REF!</v>
      </c>
      <c r="L2115">
        <v>3265.46</v>
      </c>
      <c r="N2115" t="s">
        <v>396</v>
      </c>
      <c r="Q2115" s="10" t="str">
        <f>Tabela2[[#This Row],[Coluna5]]</f>
        <v>01/2026</v>
      </c>
      <c r="R2115" s="10" t="str">
        <f>IF(Tabela2[[#This Row],[Coluna9]]&gt;0,"Entrada","Saída")</f>
        <v>Saída</v>
      </c>
      <c r="S2115" s="10">
        <f>Tabela2[[#This Row],[Coluna8]]</f>
        <v>0</v>
      </c>
      <c r="T2115" s="10" t="e">
        <f>Tabela2[[#This Row],[Coluna72]]</f>
        <v>#REF!</v>
      </c>
      <c r="U2115" s="10">
        <f>SUM(Tabela2[[#This Row],[Coluna9]],Tabela2[[#This Row],[Coluna10]])</f>
        <v>3265.46</v>
      </c>
      <c r="V2115" s="2" t="str">
        <f>Tabela2[[#This Row],[Coluna4]]</f>
        <v>20/01/2026</v>
      </c>
      <c r="W2115" s="2" t="str">
        <f>Tabela2[[#This Row],[Coluna6]]</f>
        <v>20/01/2026</v>
      </c>
    </row>
    <row r="2116" spans="2:23" x14ac:dyDescent="0.2">
      <c r="B2116" t="s">
        <v>748</v>
      </c>
      <c r="C2116" t="s">
        <v>95</v>
      </c>
      <c r="D2116" t="s">
        <v>13</v>
      </c>
      <c r="E2116" s="8" t="s">
        <v>91</v>
      </c>
      <c r="F2116" t="s">
        <v>84</v>
      </c>
      <c r="G2116" s="8" t="s">
        <v>91</v>
      </c>
      <c r="H2116" t="s">
        <v>580</v>
      </c>
      <c r="I2116" t="e">
        <f>VLOOKUP(Tabela2[[#This Row],[Coluna7]],[1]!Tabela1[#All],2,0)</f>
        <v>#REF!</v>
      </c>
      <c r="L2116">
        <v>63.55</v>
      </c>
      <c r="N2116" t="s">
        <v>517</v>
      </c>
      <c r="Q2116" s="10" t="str">
        <f>Tabela2[[#This Row],[Coluna5]]</f>
        <v>01/2026</v>
      </c>
      <c r="R2116" s="10" t="str">
        <f>IF(Tabela2[[#This Row],[Coluna9]]&gt;0,"Entrada","Saída")</f>
        <v>Saída</v>
      </c>
      <c r="S2116" s="10">
        <f>Tabela2[[#This Row],[Coluna8]]</f>
        <v>0</v>
      </c>
      <c r="T2116" s="10" t="e">
        <f>Tabela2[[#This Row],[Coluna72]]</f>
        <v>#REF!</v>
      </c>
      <c r="U2116" s="10">
        <f>SUM(Tabela2[[#This Row],[Coluna9]],Tabela2[[#This Row],[Coluna10]])</f>
        <v>63.55</v>
      </c>
      <c r="V2116" s="2" t="str">
        <f>Tabela2[[#This Row],[Coluna4]]</f>
        <v>20/01/2026</v>
      </c>
      <c r="W2116" s="2" t="str">
        <f>Tabela2[[#This Row],[Coluna6]]</f>
        <v>20/01/2026</v>
      </c>
    </row>
    <row r="2117" spans="2:23" x14ac:dyDescent="0.2">
      <c r="B2117" t="s">
        <v>18</v>
      </c>
      <c r="C2117" t="s">
        <v>95</v>
      </c>
      <c r="D2117" t="s">
        <v>13</v>
      </c>
      <c r="E2117" s="8" t="s">
        <v>356</v>
      </c>
      <c r="F2117" t="s">
        <v>84</v>
      </c>
      <c r="G2117" s="8" t="s">
        <v>356</v>
      </c>
      <c r="H2117" t="s">
        <v>580</v>
      </c>
      <c r="I2117" t="e">
        <f>VLOOKUP(Tabela2[[#This Row],[Coluna7]],[1]!Tabela1[#All],2,0)</f>
        <v>#REF!</v>
      </c>
      <c r="L2117">
        <v>120</v>
      </c>
      <c r="N2117" t="s">
        <v>583</v>
      </c>
      <c r="Q2117" s="10" t="str">
        <f>Tabela2[[#This Row],[Coluna5]]</f>
        <v>01/2026</v>
      </c>
      <c r="R2117" s="10" t="str">
        <f>IF(Tabela2[[#This Row],[Coluna9]]&gt;0,"Entrada","Saída")</f>
        <v>Saída</v>
      </c>
      <c r="S2117" s="10">
        <f>Tabela2[[#This Row],[Coluna8]]</f>
        <v>0</v>
      </c>
      <c r="T2117" s="10" t="e">
        <f>Tabela2[[#This Row],[Coluna72]]</f>
        <v>#REF!</v>
      </c>
      <c r="U2117" s="10">
        <f>SUM(Tabela2[[#This Row],[Coluna9]],Tabela2[[#This Row],[Coluna10]])</f>
        <v>120</v>
      </c>
      <c r="V2117" s="2" t="str">
        <f>Tabela2[[#This Row],[Coluna4]]</f>
        <v>21/01/2026</v>
      </c>
      <c r="W2117" s="2" t="str">
        <f>Tabela2[[#This Row],[Coluna6]]</f>
        <v>21/01/2026</v>
      </c>
    </row>
    <row r="2118" spans="2:23" x14ac:dyDescent="0.2">
      <c r="B2118" t="s">
        <v>18</v>
      </c>
      <c r="C2118" t="s">
        <v>95</v>
      </c>
      <c r="D2118" t="s">
        <v>13</v>
      </c>
      <c r="E2118" s="8" t="s">
        <v>356</v>
      </c>
      <c r="F2118" t="s">
        <v>84</v>
      </c>
      <c r="G2118" s="8" t="s">
        <v>356</v>
      </c>
      <c r="H2118" t="s">
        <v>570</v>
      </c>
      <c r="I2118" t="e">
        <f>VLOOKUP(Tabela2[[#This Row],[Coluna7]],[1]!Tabela1[#All],2,0)</f>
        <v>#REF!</v>
      </c>
      <c r="J2118" t="s">
        <v>679</v>
      </c>
      <c r="L2118">
        <v>195.08</v>
      </c>
      <c r="Q2118" s="10" t="str">
        <f>Tabela2[[#This Row],[Coluna5]]</f>
        <v>01/2026</v>
      </c>
      <c r="R2118" s="10" t="str">
        <f>IF(Tabela2[[#This Row],[Coluna9]]&gt;0,"Entrada","Saída")</f>
        <v>Saída</v>
      </c>
      <c r="S2118" s="10" t="str">
        <f>Tabela2[[#This Row],[Coluna8]]</f>
        <v>ILUMINAÇÃO</v>
      </c>
      <c r="T2118" s="10" t="e">
        <f>Tabela2[[#This Row],[Coluna72]]</f>
        <v>#REF!</v>
      </c>
      <c r="U2118" s="10">
        <f>SUM(Tabela2[[#This Row],[Coluna9]],Tabela2[[#This Row],[Coluna10]])</f>
        <v>195.08</v>
      </c>
      <c r="V2118" s="2" t="str">
        <f>Tabela2[[#This Row],[Coluna4]]</f>
        <v>21/01/2026</v>
      </c>
      <c r="W2118" s="2" t="str">
        <f>Tabela2[[#This Row],[Coluna6]]</f>
        <v>21/01/2026</v>
      </c>
    </row>
    <row r="2119" spans="2:23" x14ac:dyDescent="0.2">
      <c r="B2119" t="s">
        <v>18</v>
      </c>
      <c r="C2119" t="s">
        <v>95</v>
      </c>
      <c r="D2119" t="s">
        <v>13</v>
      </c>
      <c r="E2119" s="8" t="s">
        <v>356</v>
      </c>
      <c r="F2119" t="s">
        <v>84</v>
      </c>
      <c r="G2119" s="8" t="s">
        <v>356</v>
      </c>
      <c r="H2119" t="s">
        <v>580</v>
      </c>
      <c r="I2119" t="e">
        <f>VLOOKUP(Tabela2[[#This Row],[Coluna7]],[1]!Tabela1[#All],2,0)</f>
        <v>#REF!</v>
      </c>
      <c r="L2119">
        <v>1700</v>
      </c>
      <c r="N2119" t="s">
        <v>583</v>
      </c>
      <c r="Q2119" s="10" t="str">
        <f>Tabela2[[#This Row],[Coluna5]]</f>
        <v>01/2026</v>
      </c>
      <c r="R2119" s="10" t="str">
        <f>IF(Tabela2[[#This Row],[Coluna9]]&gt;0,"Entrada","Saída")</f>
        <v>Saída</v>
      </c>
      <c r="S2119" s="10">
        <f>Tabela2[[#This Row],[Coluna8]]</f>
        <v>0</v>
      </c>
      <c r="T2119" s="10" t="e">
        <f>Tabela2[[#This Row],[Coluna72]]</f>
        <v>#REF!</v>
      </c>
      <c r="U2119" s="10">
        <f>SUM(Tabela2[[#This Row],[Coluna9]],Tabela2[[#This Row],[Coluna10]])</f>
        <v>1700</v>
      </c>
      <c r="V2119" s="2" t="str">
        <f>Tabela2[[#This Row],[Coluna4]]</f>
        <v>21/01/2026</v>
      </c>
      <c r="W2119" s="2" t="str">
        <f>Tabela2[[#This Row],[Coluna6]]</f>
        <v>21/01/2026</v>
      </c>
    </row>
    <row r="2120" spans="2:23" x14ac:dyDescent="0.2">
      <c r="B2120" t="s">
        <v>748</v>
      </c>
      <c r="C2120" t="s">
        <v>95</v>
      </c>
      <c r="D2120" t="s">
        <v>13</v>
      </c>
      <c r="E2120" s="8" t="s">
        <v>356</v>
      </c>
      <c r="F2120" t="s">
        <v>84</v>
      </c>
      <c r="G2120" s="8" t="s">
        <v>356</v>
      </c>
      <c r="H2120" t="s">
        <v>595</v>
      </c>
      <c r="I2120" t="e">
        <f>VLOOKUP(Tabela2[[#This Row],[Coluna7]],[1]!Tabela1[#All],2,0)</f>
        <v>#REF!</v>
      </c>
      <c r="L2120">
        <v>1438.61</v>
      </c>
      <c r="N2120" t="s">
        <v>596</v>
      </c>
      <c r="Q2120" s="10" t="str">
        <f>Tabela2[[#This Row],[Coluna5]]</f>
        <v>01/2026</v>
      </c>
      <c r="R2120" s="10" t="str">
        <f>IF(Tabela2[[#This Row],[Coluna9]]&gt;0,"Entrada","Saída")</f>
        <v>Saída</v>
      </c>
      <c r="S2120" s="10">
        <f>Tabela2[[#This Row],[Coluna8]]</f>
        <v>0</v>
      </c>
      <c r="T2120" s="10" t="e">
        <f>Tabela2[[#This Row],[Coluna72]]</f>
        <v>#REF!</v>
      </c>
      <c r="U2120" s="10">
        <f>SUM(Tabela2[[#This Row],[Coluna9]],Tabela2[[#This Row],[Coluna10]])</f>
        <v>1438.61</v>
      </c>
      <c r="V2120" s="2" t="str">
        <f>Tabela2[[#This Row],[Coluna4]]</f>
        <v>21/01/2026</v>
      </c>
      <c r="W2120" s="2" t="str">
        <f>Tabela2[[#This Row],[Coluna6]]</f>
        <v>21/01/2026</v>
      </c>
    </row>
    <row r="2121" spans="2:23" x14ac:dyDescent="0.2">
      <c r="B2121" t="s">
        <v>748</v>
      </c>
      <c r="C2121" t="s">
        <v>95</v>
      </c>
      <c r="D2121" t="s">
        <v>13</v>
      </c>
      <c r="E2121" s="8" t="s">
        <v>92</v>
      </c>
      <c r="F2121" t="s">
        <v>84</v>
      </c>
      <c r="G2121" s="8" t="s">
        <v>92</v>
      </c>
      <c r="H2121" t="s">
        <v>580</v>
      </c>
      <c r="I2121" t="e">
        <f>VLOOKUP(Tabela2[[#This Row],[Coluna7]],[1]!Tabela1[#All],2,0)</f>
        <v>#REF!</v>
      </c>
      <c r="L2121">
        <v>220</v>
      </c>
      <c r="N2121" t="s">
        <v>583</v>
      </c>
      <c r="Q2121" s="10" t="str">
        <f>Tabela2[[#This Row],[Coluna5]]</f>
        <v>01/2026</v>
      </c>
      <c r="R2121" s="10" t="str">
        <f>IF(Tabela2[[#This Row],[Coluna9]]&gt;0,"Entrada","Saída")</f>
        <v>Saída</v>
      </c>
      <c r="S2121" s="10">
        <f>Tabela2[[#This Row],[Coluna8]]</f>
        <v>0</v>
      </c>
      <c r="T2121" s="10" t="e">
        <f>Tabela2[[#This Row],[Coluna72]]</f>
        <v>#REF!</v>
      </c>
      <c r="U2121" s="10">
        <f>SUM(Tabela2[[#This Row],[Coluna9]],Tabela2[[#This Row],[Coluna10]])</f>
        <v>220</v>
      </c>
      <c r="V2121" s="2" t="str">
        <f>Tabela2[[#This Row],[Coluna4]]</f>
        <v>22/01/2026</v>
      </c>
      <c r="W2121" s="2" t="str">
        <f>Tabela2[[#This Row],[Coluna6]]</f>
        <v>22/01/2026</v>
      </c>
    </row>
    <row r="2122" spans="2:23" x14ac:dyDescent="0.2">
      <c r="B2122" t="s">
        <v>18</v>
      </c>
      <c r="C2122" t="s">
        <v>95</v>
      </c>
      <c r="D2122" t="s">
        <v>13</v>
      </c>
      <c r="E2122" s="8" t="s">
        <v>357</v>
      </c>
      <c r="F2122" t="s">
        <v>84</v>
      </c>
      <c r="G2122" s="8" t="s">
        <v>357</v>
      </c>
      <c r="H2122" t="s">
        <v>580</v>
      </c>
      <c r="I2122" t="e">
        <f>VLOOKUP(Tabela2[[#This Row],[Coluna7]],[1]!Tabela1[#All],2,0)</f>
        <v>#REF!</v>
      </c>
      <c r="J2122" t="s">
        <v>680</v>
      </c>
      <c r="L2122">
        <v>3477.14</v>
      </c>
      <c r="N2122" t="s">
        <v>681</v>
      </c>
      <c r="Q2122" s="10" t="str">
        <f>Tabela2[[#This Row],[Coluna5]]</f>
        <v>01/2026</v>
      </c>
      <c r="R2122" s="10" t="str">
        <f>IF(Tabela2[[#This Row],[Coluna9]]&gt;0,"Entrada","Saída")</f>
        <v>Saída</v>
      </c>
      <c r="S2122" s="10" t="str">
        <f>Tabela2[[#This Row],[Coluna8]]</f>
        <v>OUT | NOV | DEZ</v>
      </c>
      <c r="T2122" s="10" t="e">
        <f>Tabela2[[#This Row],[Coluna72]]</f>
        <v>#REF!</v>
      </c>
      <c r="U2122" s="10">
        <f>SUM(Tabela2[[#This Row],[Coluna9]],Tabela2[[#This Row],[Coluna10]])</f>
        <v>3477.14</v>
      </c>
      <c r="V2122" s="2" t="str">
        <f>Tabela2[[#This Row],[Coluna4]]</f>
        <v>23/01/2026</v>
      </c>
      <c r="W2122" s="2" t="str">
        <f>Tabela2[[#This Row],[Coluna6]]</f>
        <v>23/01/2026</v>
      </c>
    </row>
    <row r="2123" spans="2:23" x14ac:dyDescent="0.2">
      <c r="B2123" t="s">
        <v>18</v>
      </c>
      <c r="C2123" t="s">
        <v>95</v>
      </c>
      <c r="D2123" t="s">
        <v>13</v>
      </c>
      <c r="E2123" s="8" t="s">
        <v>357</v>
      </c>
      <c r="F2123" t="s">
        <v>84</v>
      </c>
      <c r="G2123" s="8" t="s">
        <v>357</v>
      </c>
      <c r="H2123" t="s">
        <v>580</v>
      </c>
      <c r="I2123" t="e">
        <f>VLOOKUP(Tabela2[[#This Row],[Coluna7]],[1]!Tabela1[#All],2,0)</f>
        <v>#REF!</v>
      </c>
      <c r="J2123" t="s">
        <v>682</v>
      </c>
      <c r="L2123">
        <v>531.70000000000005</v>
      </c>
      <c r="Q2123" s="10" t="str">
        <f>Tabela2[[#This Row],[Coluna5]]</f>
        <v>01/2026</v>
      </c>
      <c r="R2123" s="10" t="str">
        <f>IF(Tabela2[[#This Row],[Coluna9]]&gt;0,"Entrada","Saída")</f>
        <v>Saída</v>
      </c>
      <c r="S2123" s="10" t="str">
        <f>Tabela2[[#This Row],[Coluna8]]</f>
        <v>IGOR GUSTAVO LOPES</v>
      </c>
      <c r="T2123" s="10" t="e">
        <f>Tabela2[[#This Row],[Coluna72]]</f>
        <v>#REF!</v>
      </c>
      <c r="U2123" s="10">
        <f>SUM(Tabela2[[#This Row],[Coluna9]],Tabela2[[#This Row],[Coluna10]])</f>
        <v>531.70000000000005</v>
      </c>
      <c r="V2123" s="2" t="str">
        <f>Tabela2[[#This Row],[Coluna4]]</f>
        <v>23/01/2026</v>
      </c>
      <c r="W2123" s="2" t="str">
        <f>Tabela2[[#This Row],[Coluna6]]</f>
        <v>23/01/2026</v>
      </c>
    </row>
    <row r="2124" spans="2:23" x14ac:dyDescent="0.2">
      <c r="B2124" t="s">
        <v>18</v>
      </c>
      <c r="C2124" t="s">
        <v>95</v>
      </c>
      <c r="D2124" t="s">
        <v>13</v>
      </c>
      <c r="E2124" s="8" t="s">
        <v>357</v>
      </c>
      <c r="F2124" t="s">
        <v>84</v>
      </c>
      <c r="G2124" s="8" t="s">
        <v>357</v>
      </c>
      <c r="H2124" t="s">
        <v>538</v>
      </c>
      <c r="I2124" t="e">
        <f>VLOOKUP(Tabela2[[#This Row],[Coluna7]],[1]!Tabela1[#All],2,0)</f>
        <v>#REF!</v>
      </c>
      <c r="J2124" t="s">
        <v>683</v>
      </c>
      <c r="L2124">
        <v>399.99</v>
      </c>
      <c r="Q2124" s="10" t="str">
        <f>Tabela2[[#This Row],[Coluna5]]</f>
        <v>01/2026</v>
      </c>
      <c r="R2124" s="10" t="str">
        <f>IF(Tabela2[[#This Row],[Coluna9]]&gt;0,"Entrada","Saída")</f>
        <v>Saída</v>
      </c>
      <c r="S2124" s="10" t="str">
        <f>Tabela2[[#This Row],[Coluna8]]</f>
        <v>CURSO ALISSON - DEVOLUÇÃO DE THIAGO PARA ALISSON</v>
      </c>
      <c r="T2124" s="10" t="e">
        <f>Tabela2[[#This Row],[Coluna72]]</f>
        <v>#REF!</v>
      </c>
      <c r="U2124" s="10">
        <f>SUM(Tabela2[[#This Row],[Coluna9]],Tabela2[[#This Row],[Coluna10]])</f>
        <v>399.99</v>
      </c>
      <c r="V2124" s="2" t="str">
        <f>Tabela2[[#This Row],[Coluna4]]</f>
        <v>23/01/2026</v>
      </c>
      <c r="W2124" s="2" t="str">
        <f>Tabela2[[#This Row],[Coluna6]]</f>
        <v>23/01/2026</v>
      </c>
    </row>
    <row r="2125" spans="2:23" x14ac:dyDescent="0.2">
      <c r="B2125" t="s">
        <v>748</v>
      </c>
      <c r="C2125" t="s">
        <v>95</v>
      </c>
      <c r="D2125" t="s">
        <v>13</v>
      </c>
      <c r="E2125" s="8" t="s">
        <v>357</v>
      </c>
      <c r="F2125" t="s">
        <v>84</v>
      </c>
      <c r="G2125" s="8" t="s">
        <v>357</v>
      </c>
      <c r="H2125" t="s">
        <v>546</v>
      </c>
      <c r="I2125" t="e">
        <f>VLOOKUP(Tabela2[[#This Row],[Coluna7]],[1]!Tabela1[#All],2,0)</f>
        <v>#REF!</v>
      </c>
      <c r="J2125" t="s">
        <v>584</v>
      </c>
      <c r="L2125">
        <v>100</v>
      </c>
      <c r="Q2125" s="10" t="str">
        <f>Tabela2[[#This Row],[Coluna5]]</f>
        <v>01/2026</v>
      </c>
      <c r="R2125" s="10" t="str">
        <f>IF(Tabela2[[#This Row],[Coluna9]]&gt;0,"Entrada","Saída")</f>
        <v>Saída</v>
      </c>
      <c r="S2125" s="10" t="str">
        <f>Tabela2[[#This Row],[Coluna8]]</f>
        <v>ELIEL ANTONIO DA SILVA</v>
      </c>
      <c r="T2125" s="10" t="e">
        <f>Tabela2[[#This Row],[Coluna72]]</f>
        <v>#REF!</v>
      </c>
      <c r="U2125" s="10">
        <f>SUM(Tabela2[[#This Row],[Coluna9]],Tabela2[[#This Row],[Coluna10]])</f>
        <v>100</v>
      </c>
      <c r="V2125" s="2" t="str">
        <f>Tabela2[[#This Row],[Coluna4]]</f>
        <v>23/01/2026</v>
      </c>
      <c r="W2125" s="2" t="str">
        <f>Tabela2[[#This Row],[Coluna6]]</f>
        <v>23/01/2026</v>
      </c>
    </row>
    <row r="2126" spans="2:23" x14ac:dyDescent="0.2">
      <c r="B2126" t="s">
        <v>748</v>
      </c>
      <c r="C2126" t="s">
        <v>95</v>
      </c>
      <c r="D2126" t="s">
        <v>13</v>
      </c>
      <c r="E2126" s="8" t="s">
        <v>532</v>
      </c>
      <c r="F2126" t="s">
        <v>84</v>
      </c>
      <c r="G2126" s="8" t="s">
        <v>532</v>
      </c>
      <c r="H2126" t="s">
        <v>570</v>
      </c>
      <c r="I2126" t="e">
        <f>VLOOKUP(Tabela2[[#This Row],[Coluna7]],[1]!Tabela1[#All],2,0)</f>
        <v>#REF!</v>
      </c>
      <c r="J2126" t="s">
        <v>685</v>
      </c>
      <c r="L2126">
        <v>24</v>
      </c>
      <c r="Q2126" s="10" t="str">
        <f>Tabela2[[#This Row],[Coluna5]]</f>
        <v>01/2026</v>
      </c>
      <c r="R2126" s="10" t="str">
        <f>IF(Tabela2[[#This Row],[Coluna9]]&gt;0,"Entrada","Saída")</f>
        <v>Saída</v>
      </c>
      <c r="S2126" s="10" t="str">
        <f>Tabela2[[#This Row],[Coluna8]]</f>
        <v>CENTER LED</v>
      </c>
      <c r="T2126" s="10" t="e">
        <f>Tabela2[[#This Row],[Coluna72]]</f>
        <v>#REF!</v>
      </c>
      <c r="U2126" s="10">
        <f>SUM(Tabela2[[#This Row],[Coluna9]],Tabela2[[#This Row],[Coluna10]])</f>
        <v>24</v>
      </c>
      <c r="V2126" s="2" t="str">
        <f>Tabela2[[#This Row],[Coluna4]]</f>
        <v>24/01/2026</v>
      </c>
      <c r="W2126" s="2" t="str">
        <f>Tabela2[[#This Row],[Coluna6]]</f>
        <v>24/01/2026</v>
      </c>
    </row>
    <row r="2127" spans="2:23" x14ac:dyDescent="0.2">
      <c r="B2127" t="s">
        <v>748</v>
      </c>
      <c r="C2127" t="s">
        <v>95</v>
      </c>
      <c r="D2127" t="s">
        <v>13</v>
      </c>
      <c r="E2127" s="8" t="s">
        <v>532</v>
      </c>
      <c r="F2127" t="s">
        <v>84</v>
      </c>
      <c r="G2127" s="8" t="s">
        <v>532</v>
      </c>
      <c r="H2127" t="s">
        <v>546</v>
      </c>
      <c r="I2127" t="e">
        <f>VLOOKUP(Tabela2[[#This Row],[Coluna7]],[1]!Tabela1[#All],2,0)</f>
        <v>#REF!</v>
      </c>
      <c r="J2127" t="s">
        <v>584</v>
      </c>
      <c r="L2127">
        <v>800</v>
      </c>
      <c r="Q2127" s="10" t="str">
        <f>Tabela2[[#This Row],[Coluna5]]</f>
        <v>01/2026</v>
      </c>
      <c r="R2127" s="10" t="str">
        <f>IF(Tabela2[[#This Row],[Coluna9]]&gt;0,"Entrada","Saída")</f>
        <v>Saída</v>
      </c>
      <c r="S2127" s="10" t="str">
        <f>Tabela2[[#This Row],[Coluna8]]</f>
        <v>ELIEL ANTONIO DA SILVA</v>
      </c>
      <c r="T2127" s="10" t="e">
        <f>Tabela2[[#This Row],[Coluna72]]</f>
        <v>#REF!</v>
      </c>
      <c r="U2127" s="10">
        <f>SUM(Tabela2[[#This Row],[Coluna9]],Tabela2[[#This Row],[Coluna10]])</f>
        <v>800</v>
      </c>
      <c r="V2127" s="2" t="str">
        <f>Tabela2[[#This Row],[Coluna4]]</f>
        <v>24/01/2026</v>
      </c>
      <c r="W2127" s="2" t="str">
        <f>Tabela2[[#This Row],[Coluna6]]</f>
        <v>24/01/2026</v>
      </c>
    </row>
    <row r="2128" spans="2:23" x14ac:dyDescent="0.2">
      <c r="B2128" t="s">
        <v>748</v>
      </c>
      <c r="C2128" t="s">
        <v>95</v>
      </c>
      <c r="D2128" t="s">
        <v>13</v>
      </c>
      <c r="E2128" s="8" t="s">
        <v>532</v>
      </c>
      <c r="F2128" t="s">
        <v>84</v>
      </c>
      <c r="G2128" s="8" t="s">
        <v>532</v>
      </c>
      <c r="H2128" t="s">
        <v>546</v>
      </c>
      <c r="I2128" t="e">
        <f>VLOOKUP(Tabela2[[#This Row],[Coluna7]],[1]!Tabela1[#All],2,0)</f>
        <v>#REF!</v>
      </c>
      <c r="J2128" t="s">
        <v>569</v>
      </c>
      <c r="L2128">
        <v>500</v>
      </c>
      <c r="Q2128" s="10" t="str">
        <f>Tabela2[[#This Row],[Coluna5]]</f>
        <v>01/2026</v>
      </c>
      <c r="R2128" s="10" t="str">
        <f>IF(Tabela2[[#This Row],[Coluna9]]&gt;0,"Entrada","Saída")</f>
        <v>Saída</v>
      </c>
      <c r="S2128" s="10" t="str">
        <f>Tabela2[[#This Row],[Coluna8]]</f>
        <v>LEANDRO JOÃO BATISTA</v>
      </c>
      <c r="T2128" s="10" t="e">
        <f>Tabela2[[#This Row],[Coluna72]]</f>
        <v>#REF!</v>
      </c>
      <c r="U2128" s="10">
        <f>SUM(Tabela2[[#This Row],[Coluna9]],Tabela2[[#This Row],[Coluna10]])</f>
        <v>500</v>
      </c>
      <c r="V2128" s="2" t="str">
        <f>Tabela2[[#This Row],[Coluna4]]</f>
        <v>24/01/2026</v>
      </c>
      <c r="W2128" s="2" t="str">
        <f>Tabela2[[#This Row],[Coluna6]]</f>
        <v>24/01/2026</v>
      </c>
    </row>
    <row r="2129" spans="2:23" x14ac:dyDescent="0.2">
      <c r="B2129" t="s">
        <v>18</v>
      </c>
      <c r="C2129" t="s">
        <v>95</v>
      </c>
      <c r="D2129" t="s">
        <v>13</v>
      </c>
      <c r="E2129" s="8" t="s">
        <v>93</v>
      </c>
      <c r="F2129" t="s">
        <v>84</v>
      </c>
      <c r="G2129" s="8" t="s">
        <v>93</v>
      </c>
      <c r="H2129" t="s">
        <v>580</v>
      </c>
      <c r="I2129" t="e">
        <f>VLOOKUP(Tabela2[[#This Row],[Coluna7]],[1]!Tabela1[#All],2,0)</f>
        <v>#REF!</v>
      </c>
      <c r="J2129" t="s">
        <v>686</v>
      </c>
      <c r="L2129">
        <v>325.93</v>
      </c>
      <c r="Q2129" s="10" t="str">
        <f>Tabela2[[#This Row],[Coluna5]]</f>
        <v>01/2026</v>
      </c>
      <c r="R2129" s="10" t="str">
        <f>IF(Tabela2[[#This Row],[Coluna9]]&gt;0,"Entrada","Saída")</f>
        <v>Saída</v>
      </c>
      <c r="S2129" s="10" t="str">
        <f>Tabela2[[#This Row],[Coluna8]]</f>
        <v>LUZINALDO CUNHA LIRA</v>
      </c>
      <c r="T2129" s="10" t="e">
        <f>Tabela2[[#This Row],[Coluna72]]</f>
        <v>#REF!</v>
      </c>
      <c r="U2129" s="10">
        <f>SUM(Tabela2[[#This Row],[Coluna9]],Tabela2[[#This Row],[Coluna10]])</f>
        <v>325.93</v>
      </c>
      <c r="V2129" s="2" t="str">
        <f>Tabela2[[#This Row],[Coluna4]]</f>
        <v>26/01/2026</v>
      </c>
      <c r="W2129" s="2" t="str">
        <f>Tabela2[[#This Row],[Coluna6]]</f>
        <v>26/01/2026</v>
      </c>
    </row>
    <row r="2130" spans="2:23" x14ac:dyDescent="0.2">
      <c r="B2130" t="s">
        <v>18</v>
      </c>
      <c r="C2130" t="s">
        <v>95</v>
      </c>
      <c r="D2130" t="s">
        <v>13</v>
      </c>
      <c r="E2130" s="8" t="s">
        <v>93</v>
      </c>
      <c r="F2130" t="s">
        <v>84</v>
      </c>
      <c r="G2130" s="8" t="s">
        <v>93</v>
      </c>
      <c r="H2130" t="s">
        <v>580</v>
      </c>
      <c r="I2130" t="e">
        <f>VLOOKUP(Tabela2[[#This Row],[Coluna7]],[1]!Tabela1[#All],2,0)</f>
        <v>#REF!</v>
      </c>
      <c r="J2130" t="s">
        <v>602</v>
      </c>
      <c r="L2130">
        <v>516</v>
      </c>
      <c r="Q2130" s="10" t="str">
        <f>Tabela2[[#This Row],[Coluna5]]</f>
        <v>01/2026</v>
      </c>
      <c r="R2130" s="10" t="str">
        <f>IF(Tabela2[[#This Row],[Coluna9]]&gt;0,"Entrada","Saída")</f>
        <v>Saída</v>
      </c>
      <c r="S2130" s="10" t="str">
        <f>Tabela2[[#This Row],[Coluna8]]</f>
        <v>REINALDO SANTANA CABRAL</v>
      </c>
      <c r="T2130" s="10" t="e">
        <f>Tabela2[[#This Row],[Coluna72]]</f>
        <v>#REF!</v>
      </c>
      <c r="U2130" s="10">
        <f>SUM(Tabela2[[#This Row],[Coluna9]],Tabela2[[#This Row],[Coluna10]])</f>
        <v>516</v>
      </c>
      <c r="V2130" s="2" t="str">
        <f>Tabela2[[#This Row],[Coluna4]]</f>
        <v>26/01/2026</v>
      </c>
      <c r="W2130" s="2" t="str">
        <f>Tabela2[[#This Row],[Coluna6]]</f>
        <v>26/01/2026</v>
      </c>
    </row>
    <row r="2131" spans="2:23" x14ac:dyDescent="0.2">
      <c r="B2131" t="s">
        <v>18</v>
      </c>
      <c r="C2131" t="s">
        <v>95</v>
      </c>
      <c r="D2131" t="s">
        <v>13</v>
      </c>
      <c r="E2131" s="8" t="s">
        <v>93</v>
      </c>
      <c r="F2131" t="s">
        <v>84</v>
      </c>
      <c r="G2131" s="8" t="s">
        <v>93</v>
      </c>
      <c r="H2131" t="s">
        <v>580</v>
      </c>
      <c r="I2131" t="e">
        <f>VLOOKUP(Tabela2[[#This Row],[Coluna7]],[1]!Tabela1[#All],2,0)</f>
        <v>#REF!</v>
      </c>
      <c r="J2131" t="s">
        <v>687</v>
      </c>
      <c r="L2131">
        <v>114.16</v>
      </c>
      <c r="Q2131" s="10" t="str">
        <f>Tabela2[[#This Row],[Coluna5]]</f>
        <v>01/2026</v>
      </c>
      <c r="R2131" s="10" t="str">
        <f>IF(Tabela2[[#This Row],[Coluna9]]&gt;0,"Entrada","Saída")</f>
        <v>Saída</v>
      </c>
      <c r="S2131" s="10" t="str">
        <f>Tabela2[[#This Row],[Coluna8]]</f>
        <v>FABIO DO SINDICATO</v>
      </c>
      <c r="T2131" s="10" t="e">
        <f>Tabela2[[#This Row],[Coluna72]]</f>
        <v>#REF!</v>
      </c>
      <c r="U2131" s="10">
        <f>SUM(Tabela2[[#This Row],[Coluna9]],Tabela2[[#This Row],[Coluna10]])</f>
        <v>114.16</v>
      </c>
      <c r="V2131" s="2" t="str">
        <f>Tabela2[[#This Row],[Coluna4]]</f>
        <v>26/01/2026</v>
      </c>
      <c r="W2131" s="2" t="str">
        <f>Tabela2[[#This Row],[Coluna6]]</f>
        <v>26/01/2026</v>
      </c>
    </row>
    <row r="2132" spans="2:23" x14ac:dyDescent="0.2">
      <c r="B2132" t="s">
        <v>18</v>
      </c>
      <c r="C2132" t="s">
        <v>95</v>
      </c>
      <c r="D2132" t="s">
        <v>13</v>
      </c>
      <c r="E2132" s="8" t="s">
        <v>93</v>
      </c>
      <c r="F2132" t="s">
        <v>84</v>
      </c>
      <c r="G2132" s="8" t="s">
        <v>93</v>
      </c>
      <c r="H2132" t="s">
        <v>546</v>
      </c>
      <c r="I2132" t="e">
        <f>VLOOKUP(Tabela2[[#This Row],[Coluna7]],[1]!Tabela1[#All],2,0)</f>
        <v>#REF!</v>
      </c>
      <c r="J2132" t="s">
        <v>584</v>
      </c>
      <c r="L2132">
        <v>400</v>
      </c>
      <c r="Q2132" s="10" t="str">
        <f>Tabela2[[#This Row],[Coluna5]]</f>
        <v>01/2026</v>
      </c>
      <c r="R2132" s="10" t="str">
        <f>IF(Tabela2[[#This Row],[Coluna9]]&gt;0,"Entrada","Saída")</f>
        <v>Saída</v>
      </c>
      <c r="S2132" s="10" t="str">
        <f>Tabela2[[#This Row],[Coluna8]]</f>
        <v>ELIEL ANTONIO DA SILVA</v>
      </c>
      <c r="T2132" s="10" t="e">
        <f>Tabela2[[#This Row],[Coluna72]]</f>
        <v>#REF!</v>
      </c>
      <c r="U2132" s="10">
        <f>SUM(Tabela2[[#This Row],[Coluna9]],Tabela2[[#This Row],[Coluna10]])</f>
        <v>400</v>
      </c>
      <c r="V2132" s="2" t="str">
        <f>Tabela2[[#This Row],[Coluna4]]</f>
        <v>26/01/2026</v>
      </c>
      <c r="W2132" s="2" t="str">
        <f>Tabela2[[#This Row],[Coluna6]]</f>
        <v>26/01/2026</v>
      </c>
    </row>
    <row r="2133" spans="2:23" x14ac:dyDescent="0.2">
      <c r="B2133" t="s">
        <v>18</v>
      </c>
      <c r="C2133" t="s">
        <v>95</v>
      </c>
      <c r="D2133" t="s">
        <v>13</v>
      </c>
      <c r="E2133" s="8" t="s">
        <v>93</v>
      </c>
      <c r="F2133" t="s">
        <v>84</v>
      </c>
      <c r="G2133" s="8" t="s">
        <v>93</v>
      </c>
      <c r="H2133" t="s">
        <v>580</v>
      </c>
      <c r="I2133" t="e">
        <f>VLOOKUP(Tabela2[[#This Row],[Coluna7]],[1]!Tabela1[#All],2,0)</f>
        <v>#REF!</v>
      </c>
      <c r="J2133" t="s">
        <v>688</v>
      </c>
      <c r="L2133">
        <v>959.24</v>
      </c>
      <c r="N2133" t="s">
        <v>523</v>
      </c>
      <c r="Q2133" s="10" t="str">
        <f>Tabela2[[#This Row],[Coluna5]]</f>
        <v>01/2026</v>
      </c>
      <c r="R2133" s="10" t="str">
        <f>IF(Tabela2[[#This Row],[Coluna9]]&gt;0,"Entrada","Saída")</f>
        <v>Saída</v>
      </c>
      <c r="S2133" s="10" t="str">
        <f>Tabela2[[#This Row],[Coluna8]]</f>
        <v>DEZ</v>
      </c>
      <c r="T2133" s="10" t="e">
        <f>Tabela2[[#This Row],[Coluna72]]</f>
        <v>#REF!</v>
      </c>
      <c r="U2133" s="10">
        <f>SUM(Tabela2[[#This Row],[Coluna9]],Tabela2[[#This Row],[Coluna10]])</f>
        <v>959.24</v>
      </c>
      <c r="V2133" s="2" t="str">
        <f>Tabela2[[#This Row],[Coluna4]]</f>
        <v>26/01/2026</v>
      </c>
      <c r="W2133" s="2" t="str">
        <f>Tabela2[[#This Row],[Coluna6]]</f>
        <v>26/01/2026</v>
      </c>
    </row>
    <row r="2134" spans="2:23" x14ac:dyDescent="0.2">
      <c r="B2134" t="s">
        <v>18</v>
      </c>
      <c r="C2134" t="s">
        <v>95</v>
      </c>
      <c r="D2134" t="s">
        <v>13</v>
      </c>
      <c r="E2134" s="8" t="s">
        <v>93</v>
      </c>
      <c r="F2134" t="s">
        <v>84</v>
      </c>
      <c r="G2134" s="8" t="s">
        <v>93</v>
      </c>
      <c r="H2134" t="s">
        <v>580</v>
      </c>
      <c r="I2134" t="e">
        <f>VLOOKUP(Tabela2[[#This Row],[Coluna7]],[1]!Tabela1[#All],2,0)</f>
        <v>#REF!</v>
      </c>
      <c r="J2134" t="s">
        <v>689</v>
      </c>
      <c r="L2134">
        <v>354.49</v>
      </c>
      <c r="Q2134" s="10" t="str">
        <f>Tabela2[[#This Row],[Coluna5]]</f>
        <v>01/2026</v>
      </c>
      <c r="R2134" s="10" t="str">
        <f>IF(Tabela2[[#This Row],[Coluna9]]&gt;0,"Entrada","Saída")</f>
        <v>Saída</v>
      </c>
      <c r="S2134" s="10" t="str">
        <f>Tabela2[[#This Row],[Coluna8]]</f>
        <v>ZÉ LUIZ  - LUIZ HENRIQUE DA SILVA</v>
      </c>
      <c r="T2134" s="10" t="e">
        <f>Tabela2[[#This Row],[Coluna72]]</f>
        <v>#REF!</v>
      </c>
      <c r="U2134" s="10">
        <f>SUM(Tabela2[[#This Row],[Coluna9]],Tabela2[[#This Row],[Coluna10]])</f>
        <v>354.49</v>
      </c>
      <c r="V2134" s="2" t="str">
        <f>Tabela2[[#This Row],[Coluna4]]</f>
        <v>26/01/2026</v>
      </c>
      <c r="W2134" s="2" t="str">
        <f>Tabela2[[#This Row],[Coluna6]]</f>
        <v>26/01/2026</v>
      </c>
    </row>
    <row r="2135" spans="2:23" x14ac:dyDescent="0.2">
      <c r="B2135" t="s">
        <v>18</v>
      </c>
      <c r="C2135" t="s">
        <v>95</v>
      </c>
      <c r="D2135" t="s">
        <v>13</v>
      </c>
      <c r="E2135" s="8" t="s">
        <v>93</v>
      </c>
      <c r="F2135" t="s">
        <v>84</v>
      </c>
      <c r="G2135" s="8" t="s">
        <v>93</v>
      </c>
      <c r="H2135" t="s">
        <v>546</v>
      </c>
      <c r="I2135" t="e">
        <f>VLOOKUP(Tabela2[[#This Row],[Coluna7]],[1]!Tabela1[#All],2,0)</f>
        <v>#REF!</v>
      </c>
      <c r="J2135" t="s">
        <v>584</v>
      </c>
      <c r="L2135">
        <v>5000</v>
      </c>
      <c r="Q2135" s="10" t="str">
        <f>Tabela2[[#This Row],[Coluna5]]</f>
        <v>01/2026</v>
      </c>
      <c r="R2135" s="10" t="str">
        <f>IF(Tabela2[[#This Row],[Coluna9]]&gt;0,"Entrada","Saída")</f>
        <v>Saída</v>
      </c>
      <c r="S2135" s="10" t="str">
        <f>Tabela2[[#This Row],[Coluna8]]</f>
        <v>ELIEL ANTONIO DA SILVA</v>
      </c>
      <c r="T2135" s="10" t="e">
        <f>Tabela2[[#This Row],[Coluna72]]</f>
        <v>#REF!</v>
      </c>
      <c r="U2135" s="10">
        <f>SUM(Tabela2[[#This Row],[Coluna9]],Tabela2[[#This Row],[Coluna10]])</f>
        <v>5000</v>
      </c>
      <c r="V2135" s="2" t="str">
        <f>Tabela2[[#This Row],[Coluna4]]</f>
        <v>26/01/2026</v>
      </c>
      <c r="W2135" s="2" t="str">
        <f>Tabela2[[#This Row],[Coluna6]]</f>
        <v>26/01/2026</v>
      </c>
    </row>
    <row r="2136" spans="2:23" x14ac:dyDescent="0.2">
      <c r="B2136" t="s">
        <v>18</v>
      </c>
      <c r="C2136" t="s">
        <v>95</v>
      </c>
      <c r="D2136" t="s">
        <v>13</v>
      </c>
      <c r="E2136" s="8" t="s">
        <v>358</v>
      </c>
      <c r="F2136" t="s">
        <v>84</v>
      </c>
      <c r="G2136" s="8" t="s">
        <v>358</v>
      </c>
      <c r="H2136" t="s">
        <v>580</v>
      </c>
      <c r="I2136" t="e">
        <f>VLOOKUP(Tabela2[[#This Row],[Coluna7]],[1]!Tabela1[#All],2,0)</f>
        <v>#REF!</v>
      </c>
      <c r="L2136">
        <v>250</v>
      </c>
      <c r="N2136" t="s">
        <v>499</v>
      </c>
      <c r="Q2136" s="10" t="str">
        <f>Tabela2[[#This Row],[Coluna5]]</f>
        <v>01/2026</v>
      </c>
      <c r="R2136" s="10" t="str">
        <f>IF(Tabela2[[#This Row],[Coluna9]]&gt;0,"Entrada","Saída")</f>
        <v>Saída</v>
      </c>
      <c r="S2136" s="10">
        <f>Tabela2[[#This Row],[Coluna8]]</f>
        <v>0</v>
      </c>
      <c r="T2136" s="10" t="e">
        <f>Tabela2[[#This Row],[Coluna72]]</f>
        <v>#REF!</v>
      </c>
      <c r="U2136" s="10">
        <f>SUM(Tabela2[[#This Row],[Coluna9]],Tabela2[[#This Row],[Coluna10]])</f>
        <v>250</v>
      </c>
      <c r="V2136" s="2" t="str">
        <f>Tabela2[[#This Row],[Coluna4]]</f>
        <v>27/01/2026</v>
      </c>
      <c r="W2136" s="2" t="str">
        <f>Tabela2[[#This Row],[Coluna6]]</f>
        <v>27/01/2026</v>
      </c>
    </row>
    <row r="2137" spans="2:23" x14ac:dyDescent="0.2">
      <c r="B2137" t="s">
        <v>748</v>
      </c>
      <c r="C2137" t="s">
        <v>95</v>
      </c>
      <c r="D2137" t="s">
        <v>13</v>
      </c>
      <c r="E2137" s="8" t="s">
        <v>359</v>
      </c>
      <c r="F2137" t="s">
        <v>84</v>
      </c>
      <c r="G2137" s="8" t="s">
        <v>359</v>
      </c>
      <c r="H2137" t="s">
        <v>570</v>
      </c>
      <c r="I2137" t="e">
        <f>VLOOKUP(Tabela2[[#This Row],[Coluna7]],[1]!Tabela1[#All],2,0)</f>
        <v>#REF!</v>
      </c>
      <c r="J2137" t="s">
        <v>679</v>
      </c>
      <c r="L2137">
        <v>19</v>
      </c>
      <c r="Q2137" s="10" t="str">
        <f>Tabela2[[#This Row],[Coluna5]]</f>
        <v>01/2026</v>
      </c>
      <c r="R2137" s="10" t="str">
        <f>IF(Tabela2[[#This Row],[Coluna9]]&gt;0,"Entrada","Saída")</f>
        <v>Saída</v>
      </c>
      <c r="S2137" s="10" t="str">
        <f>Tabela2[[#This Row],[Coluna8]]</f>
        <v>ILUMINAÇÃO</v>
      </c>
      <c r="T2137" s="10" t="e">
        <f>Tabela2[[#This Row],[Coluna72]]</f>
        <v>#REF!</v>
      </c>
      <c r="U2137" s="10">
        <f>SUM(Tabela2[[#This Row],[Coluna9]],Tabela2[[#This Row],[Coluna10]])</f>
        <v>19</v>
      </c>
      <c r="V2137" s="2" t="str">
        <f>Tabela2[[#This Row],[Coluna4]]</f>
        <v>28/01/2026</v>
      </c>
      <c r="W2137" s="2" t="str">
        <f>Tabela2[[#This Row],[Coluna6]]</f>
        <v>28/01/2026</v>
      </c>
    </row>
    <row r="2138" spans="2:23" x14ac:dyDescent="0.2">
      <c r="B2138" t="s">
        <v>18</v>
      </c>
      <c r="C2138" t="s">
        <v>95</v>
      </c>
      <c r="D2138" t="s">
        <v>13</v>
      </c>
      <c r="E2138" s="8" t="s">
        <v>359</v>
      </c>
      <c r="F2138" t="s">
        <v>84</v>
      </c>
      <c r="G2138" s="8" t="s">
        <v>359</v>
      </c>
      <c r="H2138" t="s">
        <v>538</v>
      </c>
      <c r="I2138" t="e">
        <f>VLOOKUP(Tabela2[[#This Row],[Coluna7]],[1]!Tabela1[#All],2,0)</f>
        <v>#REF!</v>
      </c>
      <c r="J2138" t="s">
        <v>690</v>
      </c>
      <c r="L2138">
        <v>87.98</v>
      </c>
      <c r="Q2138" s="10" t="str">
        <f>Tabela2[[#This Row],[Coluna5]]</f>
        <v>01/2026</v>
      </c>
      <c r="R2138" s="10" t="str">
        <f>IF(Tabela2[[#This Row],[Coluna9]]&gt;0,"Entrada","Saída")</f>
        <v>Saída</v>
      </c>
      <c r="S2138" s="10" t="str">
        <f>Tabela2[[#This Row],[Coluna8]]</f>
        <v>PAGAMENTO DE FATURA CARREFOUR</v>
      </c>
      <c r="T2138" s="10" t="e">
        <f>Tabela2[[#This Row],[Coluna72]]</f>
        <v>#REF!</v>
      </c>
      <c r="U2138" s="10">
        <f>SUM(Tabela2[[#This Row],[Coluna9]],Tabela2[[#This Row],[Coluna10]])</f>
        <v>87.98</v>
      </c>
      <c r="V2138" s="2" t="str">
        <f>Tabela2[[#This Row],[Coluna4]]</f>
        <v>28/01/2026</v>
      </c>
      <c r="W2138" s="2" t="str">
        <f>Tabela2[[#This Row],[Coluna6]]</f>
        <v>28/01/2026</v>
      </c>
    </row>
    <row r="2139" spans="2:23" x14ac:dyDescent="0.2">
      <c r="B2139" t="s">
        <v>27</v>
      </c>
      <c r="C2139" t="s">
        <v>95</v>
      </c>
      <c r="D2139" t="s">
        <v>13</v>
      </c>
      <c r="E2139" s="8" t="s">
        <v>534</v>
      </c>
      <c r="F2139" t="s">
        <v>84</v>
      </c>
      <c r="G2139" s="8" t="s">
        <v>359</v>
      </c>
      <c r="H2139" t="s">
        <v>600</v>
      </c>
      <c r="I2139" t="e">
        <f>VLOOKUP(Tabela2[[#This Row],[Coluna7]],[1]!Tabela1[#All],2,0)</f>
        <v>#REF!</v>
      </c>
      <c r="J2139" t="s">
        <v>601</v>
      </c>
      <c r="L2139">
        <v>250</v>
      </c>
      <c r="Q2139" s="10" t="str">
        <f>Tabela2[[#This Row],[Coluna5]]</f>
        <v>01/2026</v>
      </c>
      <c r="R2139" s="10" t="str">
        <f>IF(Tabela2[[#This Row],[Coluna9]]&gt;0,"Entrada","Saída")</f>
        <v>Saída</v>
      </c>
      <c r="S2139" s="10" t="str">
        <f>Tabela2[[#This Row],[Coluna8]]</f>
        <v>FALCÃO</v>
      </c>
      <c r="T2139" s="10" t="e">
        <f>Tabela2[[#This Row],[Coluna72]]</f>
        <v>#REF!</v>
      </c>
      <c r="U2139" s="10">
        <f>SUM(Tabela2[[#This Row],[Coluna9]],Tabela2[[#This Row],[Coluna10]])</f>
        <v>250</v>
      </c>
      <c r="V2139" s="2" t="str">
        <f>Tabela2[[#This Row],[Coluna4]]</f>
        <v>31/01/2026</v>
      </c>
      <c r="W2139" s="2" t="str">
        <f>Tabela2[[#This Row],[Coluna6]]</f>
        <v>28/01/2026</v>
      </c>
    </row>
    <row r="2140" spans="2:23" x14ac:dyDescent="0.2">
      <c r="B2140" t="s">
        <v>18</v>
      </c>
      <c r="C2140" t="s">
        <v>95</v>
      </c>
      <c r="D2140" t="s">
        <v>13</v>
      </c>
      <c r="E2140" s="8" t="s">
        <v>534</v>
      </c>
      <c r="F2140" t="s">
        <v>84</v>
      </c>
      <c r="G2140" s="8" t="s">
        <v>534</v>
      </c>
      <c r="H2140" t="s">
        <v>580</v>
      </c>
      <c r="I2140" t="e">
        <f>VLOOKUP(Tabela2[[#This Row],[Coluna7]],[1]!Tabela1[#All],2,0)</f>
        <v>#REF!</v>
      </c>
      <c r="L2140">
        <v>650</v>
      </c>
      <c r="N2140" t="s">
        <v>499</v>
      </c>
      <c r="Q2140" s="10" t="str">
        <f>Tabela2[[#This Row],[Coluna5]]</f>
        <v>01/2026</v>
      </c>
      <c r="R2140" s="10" t="str">
        <f>IF(Tabela2[[#This Row],[Coluna9]]&gt;0,"Entrada","Saída")</f>
        <v>Saída</v>
      </c>
      <c r="S2140" s="10">
        <f>Tabela2[[#This Row],[Coluna8]]</f>
        <v>0</v>
      </c>
      <c r="T2140" s="10" t="e">
        <f>Tabela2[[#This Row],[Coluna72]]</f>
        <v>#REF!</v>
      </c>
      <c r="U2140" s="10">
        <f>SUM(Tabela2[[#This Row],[Coluna9]],Tabela2[[#This Row],[Coluna10]])</f>
        <v>650</v>
      </c>
      <c r="V2140" s="2" t="str">
        <f>Tabela2[[#This Row],[Coluna4]]</f>
        <v>31/01/2026</v>
      </c>
      <c r="W2140" s="2" t="str">
        <f>Tabela2[[#This Row],[Coluna6]]</f>
        <v>31/01/2026</v>
      </c>
    </row>
    <row r="2141" spans="2:23" x14ac:dyDescent="0.2">
      <c r="B2141" t="s">
        <v>18</v>
      </c>
      <c r="C2141" t="s">
        <v>95</v>
      </c>
      <c r="D2141" t="s">
        <v>13</v>
      </c>
      <c r="E2141" s="8" t="s">
        <v>534</v>
      </c>
      <c r="F2141" t="s">
        <v>84</v>
      </c>
      <c r="G2141" s="8" t="s">
        <v>534</v>
      </c>
      <c r="H2141" t="s">
        <v>546</v>
      </c>
      <c r="I2141" t="e">
        <f>VLOOKUP(Tabela2[[#This Row],[Coluna7]],[1]!Tabela1[#All],2,0)</f>
        <v>#REF!</v>
      </c>
      <c r="J2141" t="s">
        <v>584</v>
      </c>
      <c r="L2141">
        <v>800</v>
      </c>
      <c r="Q2141" s="10" t="str">
        <f>Tabela2[[#This Row],[Coluna5]]</f>
        <v>01/2026</v>
      </c>
      <c r="R2141" s="10" t="str">
        <f>IF(Tabela2[[#This Row],[Coluna9]]&gt;0,"Entrada","Saída")</f>
        <v>Saída</v>
      </c>
      <c r="S2141" s="10" t="str">
        <f>Tabela2[[#This Row],[Coluna8]]</f>
        <v>ELIEL ANTONIO DA SILVA</v>
      </c>
      <c r="T2141" s="10" t="e">
        <f>Tabela2[[#This Row],[Coluna72]]</f>
        <v>#REF!</v>
      </c>
      <c r="U2141" s="10">
        <f>SUM(Tabela2[[#This Row],[Coluna9]],Tabela2[[#This Row],[Coluna10]])</f>
        <v>800</v>
      </c>
      <c r="V2141" s="2" t="str">
        <f>Tabela2[[#This Row],[Coluna4]]</f>
        <v>31/01/2026</v>
      </c>
      <c r="W2141" s="2" t="str">
        <f>Tabela2[[#This Row],[Coluna6]]</f>
        <v>31/01/2026</v>
      </c>
    </row>
    <row r="2142" spans="2:23" x14ac:dyDescent="0.2">
      <c r="B2142" t="s">
        <v>18</v>
      </c>
      <c r="C2142" t="s">
        <v>95</v>
      </c>
      <c r="D2142" t="s">
        <v>13</v>
      </c>
      <c r="E2142" s="8" t="s">
        <v>534</v>
      </c>
      <c r="F2142" t="s">
        <v>84</v>
      </c>
      <c r="G2142" s="8" t="s">
        <v>534</v>
      </c>
      <c r="H2142" t="s">
        <v>546</v>
      </c>
      <c r="I2142" t="e">
        <f>VLOOKUP(Tabela2[[#This Row],[Coluna7]],[1]!Tabela1[#All],2,0)</f>
        <v>#REF!</v>
      </c>
      <c r="J2142" t="s">
        <v>547</v>
      </c>
      <c r="L2142">
        <v>500</v>
      </c>
      <c r="Q2142" s="10" t="str">
        <f>Tabela2[[#This Row],[Coluna5]]</f>
        <v>01/2026</v>
      </c>
      <c r="R2142" s="10" t="str">
        <f>IF(Tabela2[[#This Row],[Coluna9]]&gt;0,"Entrada","Saída")</f>
        <v>Saída</v>
      </c>
      <c r="S2142" s="10" t="str">
        <f>Tabela2[[#This Row],[Coluna8]]</f>
        <v>LEANDRO JOAO BATISTA DOS SANTOS</v>
      </c>
      <c r="T2142" s="10" t="e">
        <f>Tabela2[[#This Row],[Coluna72]]</f>
        <v>#REF!</v>
      </c>
      <c r="U2142" s="10">
        <f>SUM(Tabela2[[#This Row],[Coluna9]],Tabela2[[#This Row],[Coluna10]])</f>
        <v>500</v>
      </c>
      <c r="V2142" s="2" t="str">
        <f>Tabela2[[#This Row],[Coluna4]]</f>
        <v>31/01/2026</v>
      </c>
      <c r="W2142" s="2" t="str">
        <f>Tabela2[[#This Row],[Coluna6]]</f>
        <v>31/01/2026</v>
      </c>
    </row>
    <row r="2143" spans="2:23" x14ac:dyDescent="0.2">
      <c r="B2143" t="s">
        <v>748</v>
      </c>
      <c r="C2143" t="s">
        <v>95</v>
      </c>
      <c r="D2143" t="s">
        <v>13</v>
      </c>
      <c r="E2143" s="8" t="s">
        <v>810</v>
      </c>
      <c r="F2143" t="s">
        <v>750</v>
      </c>
      <c r="G2143" s="8" t="s">
        <v>810</v>
      </c>
      <c r="H2143" t="s">
        <v>546</v>
      </c>
      <c r="I2143" t="e">
        <f>VLOOKUP(Tabela2[[#This Row],[Coluna7]],[1]!Tabela1[#All],2,0)</f>
        <v>#REF!</v>
      </c>
      <c r="J2143" t="s">
        <v>584</v>
      </c>
      <c r="L2143">
        <v>120</v>
      </c>
      <c r="N2143" t="s">
        <v>584</v>
      </c>
      <c r="Q2143" s="10" t="str">
        <f>Tabela2[[#This Row],[Coluna5]]</f>
        <v>02/2026</v>
      </c>
      <c r="R2143" s="10" t="str">
        <f>IF(Tabela2[[#This Row],[Coluna9]]&gt;0,"Entrada","Saída")</f>
        <v>Saída</v>
      </c>
      <c r="S2143" s="10" t="str">
        <f>Tabela2[[#This Row],[Coluna8]]</f>
        <v>ELIEL ANTONIO DA SILVA</v>
      </c>
      <c r="T2143" s="10" t="e">
        <f>Tabela2[[#This Row],[Coluna72]]</f>
        <v>#REF!</v>
      </c>
      <c r="U2143" s="10">
        <f>SUM(Tabela2[[#This Row],[Coluna9]],Tabela2[[#This Row],[Coluna10]])</f>
        <v>120</v>
      </c>
      <c r="V2143" s="2" t="str">
        <f>Tabela2[[#This Row],[Coluna4]]</f>
        <v>02/02/2026</v>
      </c>
      <c r="W2143" s="2" t="str">
        <f>Tabela2[[#This Row],[Coluna6]]</f>
        <v>02/02/2026</v>
      </c>
    </row>
    <row r="2144" spans="2:23" x14ac:dyDescent="0.2">
      <c r="B2144" t="s">
        <v>18</v>
      </c>
      <c r="C2144" t="s">
        <v>95</v>
      </c>
      <c r="D2144" t="s">
        <v>13</v>
      </c>
      <c r="E2144" s="8" t="s">
        <v>817</v>
      </c>
      <c r="F2144" t="s">
        <v>42</v>
      </c>
      <c r="G2144" s="8" t="s">
        <v>817</v>
      </c>
      <c r="H2144" t="s">
        <v>538</v>
      </c>
      <c r="I2144" t="e">
        <f>VLOOKUP(Tabela2[[#This Row],[Coluna7]],[1]!Tabela1[#All],2,0)</f>
        <v>#REF!</v>
      </c>
      <c r="J2144" t="s">
        <v>895</v>
      </c>
      <c r="L2144">
        <v>447</v>
      </c>
      <c r="Q2144" s="10" t="str">
        <f>Tabela2[[#This Row],[Coluna5]]</f>
        <v>11/2025</v>
      </c>
      <c r="R2144" s="10" t="str">
        <f>IF(Tabela2[[#This Row],[Coluna9]]&gt;0,"Entrada","Saída")</f>
        <v>Saída</v>
      </c>
      <c r="S2144" s="10" t="str">
        <f>Tabela2[[#This Row],[Coluna8]]</f>
        <v>4/10 GELADEIRA LUZIMAR</v>
      </c>
      <c r="T2144" s="10" t="e">
        <f>Tabela2[[#This Row],[Coluna72]]</f>
        <v>#REF!</v>
      </c>
      <c r="U2144" s="10">
        <f>SUM(Tabela2[[#This Row],[Coluna9]],Tabela2[[#This Row],[Coluna10]])</f>
        <v>447</v>
      </c>
      <c r="V2144" s="2" t="str">
        <f>Tabela2[[#This Row],[Coluna4]]</f>
        <v>03/02/2026</v>
      </c>
      <c r="W2144" s="2" t="str">
        <f>Tabela2[[#This Row],[Coluna6]]</f>
        <v>03/02/2026</v>
      </c>
    </row>
    <row r="2145" spans="2:23" x14ac:dyDescent="0.2">
      <c r="B2145" t="s">
        <v>18</v>
      </c>
      <c r="C2145" t="s">
        <v>125</v>
      </c>
      <c r="D2145" t="s">
        <v>13</v>
      </c>
      <c r="E2145" s="8" t="s">
        <v>817</v>
      </c>
      <c r="F2145" t="s">
        <v>750</v>
      </c>
      <c r="G2145" s="8" t="s">
        <v>817</v>
      </c>
      <c r="H2145" t="s">
        <v>551</v>
      </c>
      <c r="I2145" t="e">
        <f>VLOOKUP(Tabela2[[#This Row],[Coluna7]],[1]!Tabela1[#All],2,0)</f>
        <v>#REF!</v>
      </c>
      <c r="J2145" t="s">
        <v>896</v>
      </c>
      <c r="L2145">
        <v>60</v>
      </c>
      <c r="M2145" t="s">
        <v>235</v>
      </c>
      <c r="N2145" t="s">
        <v>236</v>
      </c>
      <c r="Q2145" s="10" t="str">
        <f>Tabela2[[#This Row],[Coluna5]]</f>
        <v>02/2026</v>
      </c>
      <c r="R2145" s="10" t="str">
        <f>IF(Tabela2[[#This Row],[Coluna9]]&gt;0,"Entrada","Saída")</f>
        <v>Saída</v>
      </c>
      <c r="S2145" s="10" t="str">
        <f>Tabela2[[#This Row],[Coluna8]]</f>
        <v>PIX PARA FRANCIELE CALIXTO</v>
      </c>
      <c r="T2145" s="10" t="e">
        <f>Tabela2[[#This Row],[Coluna72]]</f>
        <v>#REF!</v>
      </c>
      <c r="U2145" s="10">
        <f>SUM(Tabela2[[#This Row],[Coluna9]],Tabela2[[#This Row],[Coluna10]])</f>
        <v>60</v>
      </c>
      <c r="V2145" s="2" t="str">
        <f>Tabela2[[#This Row],[Coluna4]]</f>
        <v>03/02/2026</v>
      </c>
      <c r="W2145" s="2" t="str">
        <f>Tabela2[[#This Row],[Coluna6]]</f>
        <v>03/02/2026</v>
      </c>
    </row>
    <row r="2146" spans="2:23" x14ac:dyDescent="0.2">
      <c r="B2146" t="s">
        <v>18</v>
      </c>
      <c r="C2146" t="s">
        <v>95</v>
      </c>
      <c r="D2146" t="s">
        <v>13</v>
      </c>
      <c r="E2146" s="8" t="s">
        <v>754</v>
      </c>
      <c r="F2146" t="s">
        <v>750</v>
      </c>
      <c r="G2146" s="8" t="s">
        <v>754</v>
      </c>
      <c r="H2146" t="s">
        <v>570</v>
      </c>
      <c r="I2146" t="e">
        <f>VLOOKUP(Tabela2[[#This Row],[Coluna7]],[1]!Tabela1[#All],2,0)</f>
        <v>#REF!</v>
      </c>
      <c r="L2146">
        <v>27</v>
      </c>
      <c r="Q2146" s="10" t="str">
        <f>Tabela2[[#This Row],[Coluna5]]</f>
        <v>02/2026</v>
      </c>
      <c r="R2146" s="10" t="str">
        <f>IF(Tabela2[[#This Row],[Coluna9]]&gt;0,"Entrada","Saída")</f>
        <v>Saída</v>
      </c>
      <c r="S2146" s="10">
        <f>Tabela2[[#This Row],[Coluna8]]</f>
        <v>0</v>
      </c>
      <c r="T2146" s="10" t="e">
        <f>Tabela2[[#This Row],[Coluna72]]</f>
        <v>#REF!</v>
      </c>
      <c r="U2146" s="10">
        <f>SUM(Tabela2[[#This Row],[Coluna9]],Tabela2[[#This Row],[Coluna10]])</f>
        <v>27</v>
      </c>
      <c r="V2146" s="2" t="str">
        <f>Tabela2[[#This Row],[Coluna4]]</f>
        <v>04/02/2026</v>
      </c>
      <c r="W2146" s="2" t="str">
        <f>Tabela2[[#This Row],[Coluna6]]</f>
        <v>04/02/2026</v>
      </c>
    </row>
    <row r="2147" spans="2:23" x14ac:dyDescent="0.2">
      <c r="B2147" t="s">
        <v>18</v>
      </c>
      <c r="C2147" t="s">
        <v>95</v>
      </c>
      <c r="D2147" t="s">
        <v>13</v>
      </c>
      <c r="E2147" s="8" t="s">
        <v>754</v>
      </c>
      <c r="F2147" t="s">
        <v>750</v>
      </c>
      <c r="G2147" s="8" t="s">
        <v>754</v>
      </c>
      <c r="H2147" t="s">
        <v>546</v>
      </c>
      <c r="I2147" t="e">
        <f>VLOOKUP(Tabela2[[#This Row],[Coluna7]],[1]!Tabela1[#All],2,0)</f>
        <v>#REF!</v>
      </c>
      <c r="L2147">
        <v>100</v>
      </c>
      <c r="N2147" t="s">
        <v>547</v>
      </c>
      <c r="Q2147" s="10" t="str">
        <f>Tabela2[[#This Row],[Coluna5]]</f>
        <v>02/2026</v>
      </c>
      <c r="R2147" s="10" t="str">
        <f>IF(Tabela2[[#This Row],[Coluna9]]&gt;0,"Entrada","Saída")</f>
        <v>Saída</v>
      </c>
      <c r="S2147" s="10">
        <f>Tabela2[[#This Row],[Coluna8]]</f>
        <v>0</v>
      </c>
      <c r="T2147" s="10" t="e">
        <f>Tabela2[[#This Row],[Coluna72]]</f>
        <v>#REF!</v>
      </c>
      <c r="U2147" s="10">
        <f>SUM(Tabela2[[#This Row],[Coluna9]],Tabela2[[#This Row],[Coluna10]])</f>
        <v>100</v>
      </c>
      <c r="V2147" s="2" t="str">
        <f>Tabela2[[#This Row],[Coluna4]]</f>
        <v>04/02/2026</v>
      </c>
      <c r="W2147" s="2" t="str">
        <f>Tabela2[[#This Row],[Coluna6]]</f>
        <v>04/02/2026</v>
      </c>
    </row>
    <row r="2148" spans="2:23" x14ac:dyDescent="0.2">
      <c r="B2148" t="s">
        <v>18</v>
      </c>
      <c r="C2148" t="s">
        <v>95</v>
      </c>
      <c r="D2148" t="s">
        <v>13</v>
      </c>
      <c r="E2148" s="8" t="s">
        <v>754</v>
      </c>
      <c r="F2148" t="s">
        <v>750</v>
      </c>
      <c r="G2148" s="8" t="s">
        <v>754</v>
      </c>
      <c r="H2148" t="s">
        <v>546</v>
      </c>
      <c r="I2148" t="e">
        <f>VLOOKUP(Tabela2[[#This Row],[Coluna7]],[1]!Tabela1[#All],2,0)</f>
        <v>#REF!</v>
      </c>
      <c r="L2148">
        <v>100</v>
      </c>
      <c r="N2148" t="s">
        <v>584</v>
      </c>
      <c r="Q2148" s="10" t="str">
        <f>Tabela2[[#This Row],[Coluna5]]</f>
        <v>02/2026</v>
      </c>
      <c r="R2148" s="10" t="str">
        <f>IF(Tabela2[[#This Row],[Coluna9]]&gt;0,"Entrada","Saída")</f>
        <v>Saída</v>
      </c>
      <c r="S2148" s="10">
        <f>Tabela2[[#This Row],[Coluna8]]</f>
        <v>0</v>
      </c>
      <c r="T2148" s="10" t="e">
        <f>Tabela2[[#This Row],[Coluna72]]</f>
        <v>#REF!</v>
      </c>
      <c r="U2148" s="10">
        <f>SUM(Tabela2[[#This Row],[Coluna9]],Tabela2[[#This Row],[Coluna10]])</f>
        <v>100</v>
      </c>
      <c r="V2148" s="2" t="str">
        <f>Tabela2[[#This Row],[Coluna4]]</f>
        <v>04/02/2026</v>
      </c>
      <c r="W2148" s="2" t="str">
        <f>Tabela2[[#This Row],[Coluna6]]</f>
        <v>04/02/2026</v>
      </c>
    </row>
    <row r="2149" spans="2:23" x14ac:dyDescent="0.2">
      <c r="B2149" t="s">
        <v>18</v>
      </c>
      <c r="C2149" t="s">
        <v>95</v>
      </c>
      <c r="D2149" t="s">
        <v>13</v>
      </c>
      <c r="E2149" s="8" t="s">
        <v>754</v>
      </c>
      <c r="F2149" t="s">
        <v>750</v>
      </c>
      <c r="G2149" s="8" t="s">
        <v>754</v>
      </c>
      <c r="H2149" t="s">
        <v>551</v>
      </c>
      <c r="I2149" t="e">
        <f>VLOOKUP(Tabela2[[#This Row],[Coluna7]],[1]!Tabela1[#All],2,0)</f>
        <v>#REF!</v>
      </c>
      <c r="J2149" t="s">
        <v>897</v>
      </c>
      <c r="L2149">
        <v>22.45</v>
      </c>
      <c r="Q2149" s="10" t="str">
        <f>Tabela2[[#This Row],[Coluna5]]</f>
        <v>02/2026</v>
      </c>
      <c r="R2149" s="10" t="str">
        <f>IF(Tabela2[[#This Row],[Coluna9]]&gt;0,"Entrada","Saída")</f>
        <v>Saída</v>
      </c>
      <c r="S2149" s="10" t="str">
        <f>Tabela2[[#This Row],[Coluna8]]</f>
        <v>REEMBOLSO UBER - CARINA</v>
      </c>
      <c r="T2149" s="10" t="e">
        <f>Tabela2[[#This Row],[Coluna72]]</f>
        <v>#REF!</v>
      </c>
      <c r="U2149" s="10">
        <f>SUM(Tabela2[[#This Row],[Coluna9]],Tabela2[[#This Row],[Coluna10]])</f>
        <v>22.45</v>
      </c>
      <c r="V2149" s="2" t="str">
        <f>Tabela2[[#This Row],[Coluna4]]</f>
        <v>04/02/2026</v>
      </c>
      <c r="W2149" s="2" t="str">
        <f>Tabela2[[#This Row],[Coluna6]]</f>
        <v>04/02/2026</v>
      </c>
    </row>
    <row r="2150" spans="2:23" x14ac:dyDescent="0.2">
      <c r="B2150" t="s">
        <v>18</v>
      </c>
      <c r="C2150" t="s">
        <v>95</v>
      </c>
      <c r="D2150" t="s">
        <v>13</v>
      </c>
      <c r="E2150" s="8" t="s">
        <v>821</v>
      </c>
      <c r="F2150" t="s">
        <v>750</v>
      </c>
      <c r="G2150" s="8" t="s">
        <v>754</v>
      </c>
      <c r="H2150" t="s">
        <v>538</v>
      </c>
      <c r="I2150" t="e">
        <f>VLOOKUP(Tabela2[[#This Row],[Coluna7]],[1]!Tabela1[#All],2,0)</f>
        <v>#REF!</v>
      </c>
      <c r="J2150" t="s">
        <v>619</v>
      </c>
      <c r="L2150">
        <v>150</v>
      </c>
      <c r="N2150" t="s">
        <v>640</v>
      </c>
      <c r="Q2150" s="10" t="str">
        <f>Tabela2[[#This Row],[Coluna5]]</f>
        <v>02/2026</v>
      </c>
      <c r="R2150" s="10" t="str">
        <f>IF(Tabela2[[#This Row],[Coluna9]]&gt;0,"Entrada","Saída")</f>
        <v>Saída</v>
      </c>
      <c r="S2150" s="10" t="str">
        <f>Tabela2[[#This Row],[Coluna8]]</f>
        <v>NOTAS FISCAIS</v>
      </c>
      <c r="T2150" s="10" t="e">
        <f>Tabela2[[#This Row],[Coluna72]]</f>
        <v>#REF!</v>
      </c>
      <c r="U2150" s="10">
        <f>SUM(Tabela2[[#This Row],[Coluna9]],Tabela2[[#This Row],[Coluna10]])</f>
        <v>150</v>
      </c>
      <c r="V2150" s="2" t="str">
        <f>Tabela2[[#This Row],[Coluna4]]</f>
        <v>05/02/2026</v>
      </c>
      <c r="W2150" s="2" t="str">
        <f>Tabela2[[#This Row],[Coluna6]]</f>
        <v>04/02/2026</v>
      </c>
    </row>
    <row r="2151" spans="2:23" x14ac:dyDescent="0.2">
      <c r="B2151" t="s">
        <v>18</v>
      </c>
      <c r="C2151" t="s">
        <v>95</v>
      </c>
      <c r="D2151" t="s">
        <v>13</v>
      </c>
      <c r="E2151" s="8" t="s">
        <v>821</v>
      </c>
      <c r="F2151" t="s">
        <v>750</v>
      </c>
      <c r="G2151" s="8" t="s">
        <v>821</v>
      </c>
      <c r="H2151" t="s">
        <v>546</v>
      </c>
      <c r="I2151" t="e">
        <f>VLOOKUP(Tabela2[[#This Row],[Coluna7]],[1]!Tabela1[#All],2,0)</f>
        <v>#REF!</v>
      </c>
      <c r="L2151">
        <v>3000</v>
      </c>
      <c r="N2151" t="s">
        <v>898</v>
      </c>
      <c r="Q2151" s="10" t="str">
        <f>Tabela2[[#This Row],[Coluna5]]</f>
        <v>02/2026</v>
      </c>
      <c r="R2151" s="10" t="str">
        <f>IF(Tabela2[[#This Row],[Coluna9]]&gt;0,"Entrada","Saída")</f>
        <v>Saída</v>
      </c>
      <c r="S2151" s="10">
        <f>Tabela2[[#This Row],[Coluna8]]</f>
        <v>0</v>
      </c>
      <c r="T2151" s="10" t="e">
        <f>Tabela2[[#This Row],[Coluna72]]</f>
        <v>#REF!</v>
      </c>
      <c r="U2151" s="10">
        <f>SUM(Tabela2[[#This Row],[Coluna9]],Tabela2[[#This Row],[Coluna10]])</f>
        <v>3000</v>
      </c>
      <c r="V2151" s="2" t="str">
        <f>Tabela2[[#This Row],[Coluna4]]</f>
        <v>05/02/2026</v>
      </c>
      <c r="W2151" s="2" t="str">
        <f>Tabela2[[#This Row],[Coluna6]]</f>
        <v>05/02/2026</v>
      </c>
    </row>
    <row r="2152" spans="2:23" x14ac:dyDescent="0.2">
      <c r="B2152" t="s">
        <v>18</v>
      </c>
      <c r="C2152" t="s">
        <v>95</v>
      </c>
      <c r="D2152" t="s">
        <v>13</v>
      </c>
      <c r="E2152" s="8" t="s">
        <v>821</v>
      </c>
      <c r="F2152" t="s">
        <v>750</v>
      </c>
      <c r="G2152" s="8" t="s">
        <v>821</v>
      </c>
      <c r="H2152" t="s">
        <v>570</v>
      </c>
      <c r="I2152" t="e">
        <f>VLOOKUP(Tabela2[[#This Row],[Coluna7]],[1]!Tabela1[#All],2,0)</f>
        <v>#REF!</v>
      </c>
      <c r="L2152">
        <v>78</v>
      </c>
      <c r="Q2152" s="10" t="str">
        <f>Tabela2[[#This Row],[Coluna5]]</f>
        <v>02/2026</v>
      </c>
      <c r="R2152" s="10" t="str">
        <f>IF(Tabela2[[#This Row],[Coluna9]]&gt;0,"Entrada","Saída")</f>
        <v>Saída</v>
      </c>
      <c r="S2152" s="10">
        <f>Tabela2[[#This Row],[Coluna8]]</f>
        <v>0</v>
      </c>
      <c r="T2152" s="10" t="e">
        <f>Tabela2[[#This Row],[Coluna72]]</f>
        <v>#REF!</v>
      </c>
      <c r="U2152" s="10">
        <f>SUM(Tabela2[[#This Row],[Coluna9]],Tabela2[[#This Row],[Coluna10]])</f>
        <v>78</v>
      </c>
      <c r="V2152" s="2" t="str">
        <f>Tabela2[[#This Row],[Coluna4]]</f>
        <v>05/02/2026</v>
      </c>
      <c r="W2152" s="2" t="str">
        <f>Tabela2[[#This Row],[Coluna6]]</f>
        <v>05/02/2026</v>
      </c>
    </row>
    <row r="2153" spans="2:23" x14ac:dyDescent="0.2">
      <c r="B2153" t="s">
        <v>748</v>
      </c>
      <c r="C2153" t="s">
        <v>95</v>
      </c>
      <c r="D2153" t="s">
        <v>13</v>
      </c>
      <c r="E2153" s="8" t="s">
        <v>821</v>
      </c>
      <c r="F2153" t="s">
        <v>750</v>
      </c>
      <c r="G2153" s="8" t="s">
        <v>821</v>
      </c>
      <c r="H2153" t="s">
        <v>570</v>
      </c>
      <c r="I2153" t="e">
        <f>VLOOKUP(Tabela2[[#This Row],[Coluna7]],[1]!Tabela1[#All],2,0)</f>
        <v>#REF!</v>
      </c>
      <c r="J2153" t="s">
        <v>899</v>
      </c>
      <c r="L2153">
        <v>670.04</v>
      </c>
      <c r="Q2153" s="10" t="str">
        <f>Tabela2[[#This Row],[Coluna5]]</f>
        <v>02/2026</v>
      </c>
      <c r="R2153" s="10" t="str">
        <f>IF(Tabela2[[#This Row],[Coluna9]]&gt;0,"Entrada","Saída")</f>
        <v>Saída</v>
      </c>
      <c r="S2153" s="10" t="str">
        <f>Tabela2[[#This Row],[Coluna8]]</f>
        <v>TINTAS</v>
      </c>
      <c r="T2153" s="10" t="e">
        <f>Tabela2[[#This Row],[Coluna72]]</f>
        <v>#REF!</v>
      </c>
      <c r="U2153" s="10">
        <f>SUM(Tabela2[[#This Row],[Coluna9]],Tabela2[[#This Row],[Coluna10]])</f>
        <v>670.04</v>
      </c>
      <c r="V2153" s="2" t="str">
        <f>Tabela2[[#This Row],[Coluna4]]</f>
        <v>05/02/2026</v>
      </c>
      <c r="W2153" s="2" t="str">
        <f>Tabela2[[#This Row],[Coluna6]]</f>
        <v>05/02/2026</v>
      </c>
    </row>
    <row r="2154" spans="2:23" x14ac:dyDescent="0.2">
      <c r="B2154" t="s">
        <v>71</v>
      </c>
      <c r="C2154" t="s">
        <v>95</v>
      </c>
      <c r="D2154" t="s">
        <v>13</v>
      </c>
      <c r="E2154" s="8" t="s">
        <v>361</v>
      </c>
      <c r="F2154" t="s">
        <v>750</v>
      </c>
      <c r="G2154" s="8" t="s">
        <v>361</v>
      </c>
      <c r="H2154" t="s">
        <v>580</v>
      </c>
      <c r="I2154" t="e">
        <f>VLOOKUP(Tabela2[[#This Row],[Coluna7]],[1]!Tabela1[#All],2,0)</f>
        <v>#REF!</v>
      </c>
      <c r="L2154">
        <v>2250</v>
      </c>
      <c r="N2154" t="s">
        <v>583</v>
      </c>
      <c r="Q2154" s="10" t="str">
        <f>Tabela2[[#This Row],[Coluna5]]</f>
        <v>02/2026</v>
      </c>
      <c r="R2154" s="10" t="str">
        <f>IF(Tabela2[[#This Row],[Coluna9]]&gt;0,"Entrada","Saída")</f>
        <v>Saída</v>
      </c>
      <c r="S2154" s="10">
        <f>Tabela2[[#This Row],[Coluna8]]</f>
        <v>0</v>
      </c>
      <c r="T2154" s="10" t="e">
        <f>Tabela2[[#This Row],[Coluna72]]</f>
        <v>#REF!</v>
      </c>
      <c r="U2154" s="10">
        <f>SUM(Tabela2[[#This Row],[Coluna9]],Tabela2[[#This Row],[Coluna10]])</f>
        <v>2250</v>
      </c>
      <c r="V2154" s="2" t="str">
        <f>Tabela2[[#This Row],[Coluna4]]</f>
        <v>06/02/2026</v>
      </c>
      <c r="W2154" s="2" t="str">
        <f>Tabela2[[#This Row],[Coluna6]]</f>
        <v>06/02/2026</v>
      </c>
    </row>
    <row r="2155" spans="2:23" x14ac:dyDescent="0.2">
      <c r="B2155" t="s">
        <v>748</v>
      </c>
      <c r="C2155" t="s">
        <v>95</v>
      </c>
      <c r="D2155" t="s">
        <v>13</v>
      </c>
      <c r="E2155" s="8" t="s">
        <v>361</v>
      </c>
      <c r="F2155" t="s">
        <v>750</v>
      </c>
      <c r="G2155" s="8" t="s">
        <v>361</v>
      </c>
      <c r="H2155" t="s">
        <v>546</v>
      </c>
      <c r="I2155" t="e">
        <f>VLOOKUP(Tabela2[[#This Row],[Coluna7]],[1]!Tabela1[#All],2,0)</f>
        <v>#REF!</v>
      </c>
      <c r="J2155" t="s">
        <v>569</v>
      </c>
      <c r="L2155">
        <v>500</v>
      </c>
      <c r="Q2155" s="10" t="str">
        <f>Tabela2[[#This Row],[Coluna5]]</f>
        <v>02/2026</v>
      </c>
      <c r="R2155" s="10" t="str">
        <f>IF(Tabela2[[#This Row],[Coluna9]]&gt;0,"Entrada","Saída")</f>
        <v>Saída</v>
      </c>
      <c r="S2155" s="10" t="str">
        <f>Tabela2[[#This Row],[Coluna8]]</f>
        <v>LEANDRO JOÃO BATISTA</v>
      </c>
      <c r="T2155" s="10" t="e">
        <f>Tabela2[[#This Row],[Coluna72]]</f>
        <v>#REF!</v>
      </c>
      <c r="U2155" s="10">
        <f>SUM(Tabela2[[#This Row],[Coluna9]],Tabela2[[#This Row],[Coluna10]])</f>
        <v>500</v>
      </c>
      <c r="V2155" s="2" t="str">
        <f>Tabela2[[#This Row],[Coluna4]]</f>
        <v>06/02/2026</v>
      </c>
      <c r="W2155" s="2" t="str">
        <f>Tabela2[[#This Row],[Coluna6]]</f>
        <v>06/02/2026</v>
      </c>
    </row>
    <row r="2156" spans="2:23" x14ac:dyDescent="0.2">
      <c r="B2156" t="s">
        <v>748</v>
      </c>
      <c r="C2156" t="s">
        <v>95</v>
      </c>
      <c r="D2156" t="s">
        <v>13</v>
      </c>
      <c r="E2156" s="8" t="s">
        <v>361</v>
      </c>
      <c r="F2156" t="s">
        <v>750</v>
      </c>
      <c r="G2156" s="8" t="s">
        <v>361</v>
      </c>
      <c r="H2156" t="s">
        <v>570</v>
      </c>
      <c r="I2156" t="e">
        <f>VLOOKUP(Tabela2[[#This Row],[Coluna7]],[1]!Tabela1[#All],2,0)</f>
        <v>#REF!</v>
      </c>
      <c r="J2156" t="s">
        <v>900</v>
      </c>
      <c r="L2156">
        <v>20</v>
      </c>
      <c r="Q2156" s="10" t="str">
        <f>Tabela2[[#This Row],[Coluna5]]</f>
        <v>02/2026</v>
      </c>
      <c r="R2156" s="10" t="str">
        <f>IF(Tabela2[[#This Row],[Coluna9]]&gt;0,"Entrada","Saída")</f>
        <v>Saída</v>
      </c>
      <c r="S2156" s="10" t="str">
        <f>Tabela2[[#This Row],[Coluna8]]</f>
        <v>IZABELLI</v>
      </c>
      <c r="T2156" s="10" t="e">
        <f>Tabela2[[#This Row],[Coluna72]]</f>
        <v>#REF!</v>
      </c>
      <c r="U2156" s="10">
        <f>SUM(Tabela2[[#This Row],[Coluna9]],Tabela2[[#This Row],[Coluna10]])</f>
        <v>20</v>
      </c>
      <c r="V2156" s="2" t="str">
        <f>Tabela2[[#This Row],[Coluna4]]</f>
        <v>06/02/2026</v>
      </c>
      <c r="W2156" s="2" t="str">
        <f>Tabela2[[#This Row],[Coluna6]]</f>
        <v>06/02/2026</v>
      </c>
    </row>
    <row r="2157" spans="2:23" x14ac:dyDescent="0.2">
      <c r="B2157" t="s">
        <v>748</v>
      </c>
      <c r="C2157" t="s">
        <v>95</v>
      </c>
      <c r="D2157" t="s">
        <v>13</v>
      </c>
      <c r="E2157" s="8" t="s">
        <v>830</v>
      </c>
      <c r="F2157" t="s">
        <v>750</v>
      </c>
      <c r="G2157" s="8" t="s">
        <v>830</v>
      </c>
      <c r="H2157" t="s">
        <v>546</v>
      </c>
      <c r="I2157" t="e">
        <f>VLOOKUP(Tabela2[[#This Row],[Coluna7]],[1]!Tabela1[#All],2,0)</f>
        <v>#REF!</v>
      </c>
      <c r="J2157" t="s">
        <v>569</v>
      </c>
      <c r="L2157">
        <v>150</v>
      </c>
      <c r="Q2157" s="10" t="str">
        <f>Tabela2[[#This Row],[Coluna5]]</f>
        <v>02/2026</v>
      </c>
      <c r="R2157" s="10" t="str">
        <f>IF(Tabela2[[#This Row],[Coluna9]]&gt;0,"Entrada","Saída")</f>
        <v>Saída</v>
      </c>
      <c r="S2157" s="10" t="str">
        <f>Tabela2[[#This Row],[Coluna8]]</f>
        <v>LEANDRO JOÃO BATISTA</v>
      </c>
      <c r="T2157" s="10" t="e">
        <f>Tabela2[[#This Row],[Coluna72]]</f>
        <v>#REF!</v>
      </c>
      <c r="U2157" s="10">
        <f>SUM(Tabela2[[#This Row],[Coluna9]],Tabela2[[#This Row],[Coluna10]])</f>
        <v>150</v>
      </c>
      <c r="V2157" s="2" t="str">
        <f>Tabela2[[#This Row],[Coluna4]]</f>
        <v>07/02/2026</v>
      </c>
      <c r="W2157" s="2" t="str">
        <f>Tabela2[[#This Row],[Coluna6]]</f>
        <v>07/02/2026</v>
      </c>
    </row>
    <row r="2158" spans="2:23" x14ac:dyDescent="0.2">
      <c r="B2158" t="s">
        <v>748</v>
      </c>
      <c r="C2158" t="s">
        <v>95</v>
      </c>
      <c r="D2158" t="s">
        <v>13</v>
      </c>
      <c r="E2158" s="8" t="s">
        <v>830</v>
      </c>
      <c r="F2158" t="s">
        <v>750</v>
      </c>
      <c r="G2158" s="8" t="s">
        <v>830</v>
      </c>
      <c r="H2158" t="s">
        <v>546</v>
      </c>
      <c r="I2158" t="e">
        <f>VLOOKUP(Tabela2[[#This Row],[Coluna7]],[1]!Tabela1[#All],2,0)</f>
        <v>#REF!</v>
      </c>
      <c r="J2158" t="s">
        <v>584</v>
      </c>
      <c r="L2158">
        <v>1000</v>
      </c>
      <c r="N2158" t="s">
        <v>584</v>
      </c>
      <c r="Q2158" s="10" t="str">
        <f>Tabela2[[#This Row],[Coluna5]]</f>
        <v>02/2026</v>
      </c>
      <c r="R2158" s="10" t="str">
        <f>IF(Tabela2[[#This Row],[Coluna9]]&gt;0,"Entrada","Saída")</f>
        <v>Saída</v>
      </c>
      <c r="S2158" s="10" t="str">
        <f>Tabela2[[#This Row],[Coluna8]]</f>
        <v>ELIEL ANTONIO DA SILVA</v>
      </c>
      <c r="T2158" s="10" t="e">
        <f>Tabela2[[#This Row],[Coluna72]]</f>
        <v>#REF!</v>
      </c>
      <c r="U2158" s="10">
        <f>SUM(Tabela2[[#This Row],[Coluna9]],Tabela2[[#This Row],[Coluna10]])</f>
        <v>1000</v>
      </c>
      <c r="V2158" s="2" t="str">
        <f>Tabela2[[#This Row],[Coluna4]]</f>
        <v>07/02/2026</v>
      </c>
      <c r="W2158" s="2" t="str">
        <f>Tabela2[[#This Row],[Coluna6]]</f>
        <v>07/02/2026</v>
      </c>
    </row>
    <row r="2159" spans="2:23" x14ac:dyDescent="0.2">
      <c r="B2159" t="s">
        <v>18</v>
      </c>
      <c r="C2159" t="s">
        <v>95</v>
      </c>
      <c r="D2159" t="s">
        <v>13</v>
      </c>
      <c r="E2159" s="8" t="s">
        <v>751</v>
      </c>
      <c r="F2159" t="s">
        <v>750</v>
      </c>
      <c r="G2159" s="8" t="s">
        <v>751</v>
      </c>
      <c r="H2159" t="s">
        <v>580</v>
      </c>
      <c r="I2159" t="e">
        <f>VLOOKUP(Tabela2[[#This Row],[Coluna7]],[1]!Tabela1[#All],2,0)</f>
        <v>#REF!</v>
      </c>
      <c r="L2159">
        <v>1000</v>
      </c>
      <c r="N2159" t="s">
        <v>583</v>
      </c>
      <c r="Q2159" s="10" t="str">
        <f>Tabela2[[#This Row],[Coluna5]]</f>
        <v>02/2026</v>
      </c>
      <c r="R2159" s="10" t="str">
        <f>IF(Tabela2[[#This Row],[Coluna9]]&gt;0,"Entrada","Saída")</f>
        <v>Saída</v>
      </c>
      <c r="S2159" s="10">
        <f>Tabela2[[#This Row],[Coluna8]]</f>
        <v>0</v>
      </c>
      <c r="T2159" s="10" t="e">
        <f>Tabela2[[#This Row],[Coluna72]]</f>
        <v>#REF!</v>
      </c>
      <c r="U2159" s="10">
        <f>SUM(Tabela2[[#This Row],[Coluna9]],Tabela2[[#This Row],[Coluna10]])</f>
        <v>1000</v>
      </c>
      <c r="V2159" s="2" t="str">
        <f>Tabela2[[#This Row],[Coluna4]]</f>
        <v>09/02/2026</v>
      </c>
      <c r="W2159" s="2" t="str">
        <f>Tabela2[[#This Row],[Coluna6]]</f>
        <v>09/02/2026</v>
      </c>
    </row>
    <row r="2160" spans="2:23" x14ac:dyDescent="0.2">
      <c r="B2160" t="s">
        <v>18</v>
      </c>
      <c r="C2160" t="s">
        <v>95</v>
      </c>
      <c r="D2160" t="s">
        <v>13</v>
      </c>
      <c r="E2160" s="8" t="s">
        <v>751</v>
      </c>
      <c r="F2160" t="s">
        <v>750</v>
      </c>
      <c r="G2160" s="8" t="s">
        <v>751</v>
      </c>
      <c r="H2160" t="s">
        <v>546</v>
      </c>
      <c r="I2160" t="e">
        <f>VLOOKUP(Tabela2[[#This Row],[Coluna7]],[1]!Tabela1[#All],2,0)</f>
        <v>#REF!</v>
      </c>
      <c r="J2160" t="s">
        <v>584</v>
      </c>
      <c r="L2160">
        <v>800</v>
      </c>
      <c r="N2160" t="s">
        <v>584</v>
      </c>
      <c r="Q2160" s="10" t="str">
        <f>Tabela2[[#This Row],[Coluna5]]</f>
        <v>02/2026</v>
      </c>
      <c r="R2160" s="10" t="str">
        <f>IF(Tabela2[[#This Row],[Coluna9]]&gt;0,"Entrada","Saída")</f>
        <v>Saída</v>
      </c>
      <c r="S2160" s="10" t="str">
        <f>Tabela2[[#This Row],[Coluna8]]</f>
        <v>ELIEL ANTONIO DA SILVA</v>
      </c>
      <c r="T2160" s="10" t="e">
        <f>Tabela2[[#This Row],[Coluna72]]</f>
        <v>#REF!</v>
      </c>
      <c r="U2160" s="10">
        <f>SUM(Tabela2[[#This Row],[Coluna9]],Tabela2[[#This Row],[Coluna10]])</f>
        <v>800</v>
      </c>
      <c r="V2160" s="2" t="str">
        <f>Tabela2[[#This Row],[Coluna4]]</f>
        <v>09/02/2026</v>
      </c>
      <c r="W2160" s="2" t="str">
        <f>Tabela2[[#This Row],[Coluna6]]</f>
        <v>09/02/2026</v>
      </c>
    </row>
    <row r="2161" spans="2:23" x14ac:dyDescent="0.2">
      <c r="B2161" t="s">
        <v>18</v>
      </c>
      <c r="C2161" t="s">
        <v>95</v>
      </c>
      <c r="D2161" t="s">
        <v>13</v>
      </c>
      <c r="E2161" s="8" t="s">
        <v>751</v>
      </c>
      <c r="F2161" t="s">
        <v>750</v>
      </c>
      <c r="G2161" s="8" t="s">
        <v>751</v>
      </c>
      <c r="H2161" t="s">
        <v>570</v>
      </c>
      <c r="I2161" t="e">
        <f>VLOOKUP(Tabela2[[#This Row],[Coluna7]],[1]!Tabela1[#All],2,0)</f>
        <v>#REF!</v>
      </c>
      <c r="L2161">
        <v>17</v>
      </c>
      <c r="Q2161" s="10" t="str">
        <f>Tabela2[[#This Row],[Coluna5]]</f>
        <v>02/2026</v>
      </c>
      <c r="R2161" s="10" t="str">
        <f>IF(Tabela2[[#This Row],[Coluna9]]&gt;0,"Entrada","Saída")</f>
        <v>Saída</v>
      </c>
      <c r="S2161" s="10">
        <f>Tabela2[[#This Row],[Coluna8]]</f>
        <v>0</v>
      </c>
      <c r="T2161" s="10" t="e">
        <f>Tabela2[[#This Row],[Coluna72]]</f>
        <v>#REF!</v>
      </c>
      <c r="U2161" s="10">
        <f>SUM(Tabela2[[#This Row],[Coluna9]],Tabela2[[#This Row],[Coluna10]])</f>
        <v>17</v>
      </c>
      <c r="V2161" s="2" t="str">
        <f>Tabela2[[#This Row],[Coluna4]]</f>
        <v>09/02/2026</v>
      </c>
      <c r="W2161" s="2" t="str">
        <f>Tabela2[[#This Row],[Coluna6]]</f>
        <v>09/02/2026</v>
      </c>
    </row>
    <row r="2162" spans="2:23" x14ac:dyDescent="0.2">
      <c r="B2162" t="s">
        <v>18</v>
      </c>
      <c r="C2162" t="s">
        <v>95</v>
      </c>
      <c r="D2162" t="s">
        <v>13</v>
      </c>
      <c r="E2162" s="8" t="s">
        <v>834</v>
      </c>
      <c r="F2162" t="s">
        <v>750</v>
      </c>
      <c r="G2162" s="8" t="s">
        <v>756</v>
      </c>
      <c r="H2162" t="s">
        <v>901</v>
      </c>
      <c r="I2162" t="e">
        <f>VLOOKUP(Tabela2[[#This Row],[Coluna7]],[1]!Tabela1[#All],2,0)</f>
        <v>#REF!</v>
      </c>
      <c r="J2162" t="s">
        <v>731</v>
      </c>
      <c r="L2162">
        <v>1000</v>
      </c>
      <c r="Q2162" s="10" t="str">
        <f>Tabela2[[#This Row],[Coluna5]]</f>
        <v>02/2026</v>
      </c>
      <c r="R2162" s="10" t="str">
        <f>IF(Tabela2[[#This Row],[Coluna9]]&gt;0,"Entrada","Saída")</f>
        <v>Saída</v>
      </c>
      <c r="S2162" s="10" t="str">
        <f>Tabela2[[#This Row],[Coluna8]]</f>
        <v>MARCOS URQUIZA HERCULANO</v>
      </c>
      <c r="T2162" s="10" t="e">
        <f>Tabela2[[#This Row],[Coluna72]]</f>
        <v>#REF!</v>
      </c>
      <c r="U2162" s="10">
        <f>SUM(Tabela2[[#This Row],[Coluna9]],Tabela2[[#This Row],[Coluna10]])</f>
        <v>1000</v>
      </c>
      <c r="V2162" s="2" t="str">
        <f>Tabela2[[#This Row],[Coluna4]]</f>
        <v>10/02/2026</v>
      </c>
      <c r="W2162" s="2" t="str">
        <f>Tabela2[[#This Row],[Coluna6]]</f>
        <v>20/02/2026</v>
      </c>
    </row>
    <row r="2163" spans="2:23" x14ac:dyDescent="0.2">
      <c r="B2163" t="s">
        <v>18</v>
      </c>
      <c r="C2163" t="s">
        <v>95</v>
      </c>
      <c r="D2163" t="s">
        <v>13</v>
      </c>
      <c r="E2163" s="8" t="s">
        <v>834</v>
      </c>
      <c r="F2163" t="s">
        <v>750</v>
      </c>
      <c r="G2163" s="8" t="s">
        <v>834</v>
      </c>
      <c r="H2163" t="s">
        <v>546</v>
      </c>
      <c r="I2163" t="e">
        <f>VLOOKUP(Tabela2[[#This Row],[Coluna7]],[1]!Tabela1[#All],2,0)</f>
        <v>#REF!</v>
      </c>
      <c r="J2163" t="s">
        <v>902</v>
      </c>
      <c r="L2163">
        <v>22</v>
      </c>
      <c r="Q2163" s="10" t="str">
        <f>Tabela2[[#This Row],[Coluna5]]</f>
        <v>02/2026</v>
      </c>
      <c r="R2163" s="10" t="str">
        <f>IF(Tabela2[[#This Row],[Coluna9]]&gt;0,"Entrada","Saída")</f>
        <v>Saída</v>
      </c>
      <c r="S2163" s="10" t="str">
        <f>Tabela2[[#This Row],[Coluna8]]</f>
        <v>ALMOÇO JOÃO</v>
      </c>
      <c r="T2163" s="10" t="e">
        <f>Tabela2[[#This Row],[Coluna72]]</f>
        <v>#REF!</v>
      </c>
      <c r="U2163" s="10">
        <f>SUM(Tabela2[[#This Row],[Coluna9]],Tabela2[[#This Row],[Coluna10]])</f>
        <v>22</v>
      </c>
      <c r="V2163" s="2" t="str">
        <f>Tabela2[[#This Row],[Coluna4]]</f>
        <v>10/02/2026</v>
      </c>
      <c r="W2163" s="2" t="str">
        <f>Tabela2[[#This Row],[Coluna6]]</f>
        <v>10/02/2026</v>
      </c>
    </row>
    <row r="2164" spans="2:23" x14ac:dyDescent="0.2">
      <c r="B2164" t="s">
        <v>18</v>
      </c>
      <c r="C2164" t="s">
        <v>95</v>
      </c>
      <c r="D2164" t="s">
        <v>13</v>
      </c>
      <c r="E2164" s="8" t="s">
        <v>834</v>
      </c>
      <c r="F2164" t="s">
        <v>750</v>
      </c>
      <c r="G2164" s="8" t="s">
        <v>834</v>
      </c>
      <c r="H2164" t="s">
        <v>551</v>
      </c>
      <c r="I2164" t="e">
        <f>VLOOKUP(Tabela2[[#This Row],[Coluna7]],[1]!Tabela1[#All],2,0)</f>
        <v>#REF!</v>
      </c>
      <c r="J2164" t="s">
        <v>903</v>
      </c>
      <c r="L2164">
        <v>19.3</v>
      </c>
      <c r="M2164" t="s">
        <v>828</v>
      </c>
      <c r="N2164" t="s">
        <v>829</v>
      </c>
      <c r="Q2164" s="10" t="str">
        <f>Tabela2[[#This Row],[Coluna5]]</f>
        <v>02/2026</v>
      </c>
      <c r="R2164" s="10" t="str">
        <f>IF(Tabela2[[#This Row],[Coluna9]]&gt;0,"Entrada","Saída")</f>
        <v>Saída</v>
      </c>
      <c r="S2164" s="10" t="str">
        <f>Tabela2[[#This Row],[Coluna8]]</f>
        <v>UBER</v>
      </c>
      <c r="T2164" s="10" t="e">
        <f>Tabela2[[#This Row],[Coluna72]]</f>
        <v>#REF!</v>
      </c>
      <c r="U2164" s="10">
        <f>SUM(Tabela2[[#This Row],[Coluna9]],Tabela2[[#This Row],[Coluna10]])</f>
        <v>19.3</v>
      </c>
      <c r="V2164" s="2" t="str">
        <f>Tabela2[[#This Row],[Coluna4]]</f>
        <v>10/02/2026</v>
      </c>
      <c r="W2164" s="2" t="str">
        <f>Tabela2[[#This Row],[Coluna6]]</f>
        <v>10/02/2026</v>
      </c>
    </row>
    <row r="2165" spans="2:23" x14ac:dyDescent="0.2">
      <c r="B2165" t="s">
        <v>748</v>
      </c>
      <c r="C2165" t="s">
        <v>95</v>
      </c>
      <c r="D2165" t="s">
        <v>13</v>
      </c>
      <c r="E2165" s="8" t="s">
        <v>834</v>
      </c>
      <c r="F2165" t="s">
        <v>750</v>
      </c>
      <c r="G2165" s="8" t="s">
        <v>834</v>
      </c>
      <c r="H2165" t="s">
        <v>538</v>
      </c>
      <c r="I2165" t="e">
        <f>VLOOKUP(Tabela2[[#This Row],[Coluna7]],[1]!Tabela1[#All],2,0)</f>
        <v>#REF!</v>
      </c>
      <c r="J2165" t="s">
        <v>904</v>
      </c>
      <c r="L2165">
        <v>1700</v>
      </c>
      <c r="Q2165" s="10" t="str">
        <f>Tabela2[[#This Row],[Coluna5]]</f>
        <v>02/2026</v>
      </c>
      <c r="R2165" s="10" t="str">
        <f>IF(Tabela2[[#This Row],[Coluna9]]&gt;0,"Entrada","Saída")</f>
        <v>Saída</v>
      </c>
      <c r="S2165" s="10" t="str">
        <f>Tabela2[[#This Row],[Coluna8]]</f>
        <v>LUCIANO SILVA DE ALBUQUERQUE</v>
      </c>
      <c r="T2165" s="10" t="e">
        <f>Tabela2[[#This Row],[Coluna72]]</f>
        <v>#REF!</v>
      </c>
      <c r="U2165" s="10">
        <f>SUM(Tabela2[[#This Row],[Coluna9]],Tabela2[[#This Row],[Coluna10]])</f>
        <v>1700</v>
      </c>
      <c r="V2165" s="2" t="str">
        <f>Tabela2[[#This Row],[Coluna4]]</f>
        <v>10/02/2026</v>
      </c>
      <c r="W2165" s="2" t="str">
        <f>Tabela2[[#This Row],[Coluna6]]</f>
        <v>10/02/2026</v>
      </c>
    </row>
    <row r="2166" spans="2:23" x14ac:dyDescent="0.2">
      <c r="B2166" t="s">
        <v>18</v>
      </c>
      <c r="C2166" t="s">
        <v>95</v>
      </c>
      <c r="D2166" t="s">
        <v>13</v>
      </c>
      <c r="E2166" s="8" t="s">
        <v>835</v>
      </c>
      <c r="F2166" t="s">
        <v>750</v>
      </c>
      <c r="G2166" s="8" t="s">
        <v>835</v>
      </c>
      <c r="H2166" t="s">
        <v>542</v>
      </c>
      <c r="I2166" t="e">
        <f>VLOOKUP(Tabela2[[#This Row],[Coluna7]],[1]!Tabela1[#All],2,0)</f>
        <v>#REF!</v>
      </c>
      <c r="L2166">
        <v>400</v>
      </c>
      <c r="N2166" t="s">
        <v>499</v>
      </c>
      <c r="Q2166" s="10" t="str">
        <f>Tabela2[[#This Row],[Coluna5]]</f>
        <v>02/2026</v>
      </c>
      <c r="R2166" s="10" t="str">
        <f>IF(Tabela2[[#This Row],[Coluna9]]&gt;0,"Entrada","Saída")</f>
        <v>Saída</v>
      </c>
      <c r="S2166" s="10">
        <f>Tabela2[[#This Row],[Coluna8]]</f>
        <v>0</v>
      </c>
      <c r="T2166" s="10" t="e">
        <f>Tabela2[[#This Row],[Coluna72]]</f>
        <v>#REF!</v>
      </c>
      <c r="U2166" s="10">
        <f>SUM(Tabela2[[#This Row],[Coluna9]],Tabela2[[#This Row],[Coluna10]])</f>
        <v>400</v>
      </c>
      <c r="V2166" s="2" t="str">
        <f>Tabela2[[#This Row],[Coluna4]]</f>
        <v>11/02/2026</v>
      </c>
      <c r="W2166" s="2" t="str">
        <f>Tabela2[[#This Row],[Coluna6]]</f>
        <v>11/02/2026</v>
      </c>
    </row>
    <row r="2167" spans="2:23" x14ac:dyDescent="0.2">
      <c r="B2167" t="s">
        <v>748</v>
      </c>
      <c r="C2167" t="s">
        <v>95</v>
      </c>
      <c r="D2167" t="s">
        <v>13</v>
      </c>
      <c r="E2167" s="8" t="s">
        <v>839</v>
      </c>
      <c r="F2167" t="s">
        <v>750</v>
      </c>
      <c r="G2167" s="8" t="s">
        <v>839</v>
      </c>
      <c r="H2167" t="s">
        <v>546</v>
      </c>
      <c r="I2167" t="e">
        <f>VLOOKUP(Tabela2[[#This Row],[Coluna7]],[1]!Tabela1[#All],2,0)</f>
        <v>#REF!</v>
      </c>
      <c r="J2167" t="s">
        <v>565</v>
      </c>
      <c r="L2167">
        <v>100</v>
      </c>
      <c r="Q2167" s="10" t="str">
        <f>Tabela2[[#This Row],[Coluna5]]</f>
        <v>02/2026</v>
      </c>
      <c r="R2167" s="10" t="str">
        <f>IF(Tabela2[[#This Row],[Coluna9]]&gt;0,"Entrada","Saída")</f>
        <v>Saída</v>
      </c>
      <c r="S2167" s="10" t="str">
        <f>Tabela2[[#This Row],[Coluna8]]</f>
        <v>LEANDRO JOAO BATISTA</v>
      </c>
      <c r="T2167" s="10" t="e">
        <f>Tabela2[[#This Row],[Coluna72]]</f>
        <v>#REF!</v>
      </c>
      <c r="U2167" s="10">
        <f>SUM(Tabela2[[#This Row],[Coluna9]],Tabela2[[#This Row],[Coluna10]])</f>
        <v>100</v>
      </c>
      <c r="V2167" s="2" t="str">
        <f>Tabela2[[#This Row],[Coluna4]]</f>
        <v>12/02/2026</v>
      </c>
      <c r="W2167" s="2" t="str">
        <f>Tabela2[[#This Row],[Coluna6]]</f>
        <v>12/02/2026</v>
      </c>
    </row>
    <row r="2168" spans="2:23" x14ac:dyDescent="0.2">
      <c r="B2168" t="s">
        <v>748</v>
      </c>
      <c r="C2168" t="s">
        <v>95</v>
      </c>
      <c r="D2168" t="s">
        <v>13</v>
      </c>
      <c r="E2168" s="8" t="s">
        <v>839</v>
      </c>
      <c r="F2168" t="s">
        <v>750</v>
      </c>
      <c r="G2168" s="8" t="s">
        <v>839</v>
      </c>
      <c r="H2168" t="s">
        <v>542</v>
      </c>
      <c r="I2168" t="e">
        <f>VLOOKUP(Tabela2[[#This Row],[Coluna7]],[1]!Tabela1[#All],2,0)</f>
        <v>#REF!</v>
      </c>
      <c r="L2168">
        <v>400</v>
      </c>
      <c r="N2168" t="s">
        <v>583</v>
      </c>
      <c r="Q2168" s="10" t="str">
        <f>Tabela2[[#This Row],[Coluna5]]</f>
        <v>02/2026</v>
      </c>
      <c r="R2168" s="10" t="str">
        <f>IF(Tabela2[[#This Row],[Coluna9]]&gt;0,"Entrada","Saída")</f>
        <v>Saída</v>
      </c>
      <c r="S2168" s="10">
        <f>Tabela2[[#This Row],[Coluna8]]</f>
        <v>0</v>
      </c>
      <c r="T2168" s="10" t="e">
        <f>Tabela2[[#This Row],[Coluna72]]</f>
        <v>#REF!</v>
      </c>
      <c r="U2168" s="10">
        <f>SUM(Tabela2[[#This Row],[Coluna9]],Tabela2[[#This Row],[Coluna10]])</f>
        <v>400</v>
      </c>
      <c r="V2168" s="2" t="str">
        <f>Tabela2[[#This Row],[Coluna4]]</f>
        <v>12/02/2026</v>
      </c>
      <c r="W2168" s="2" t="str">
        <f>Tabela2[[#This Row],[Coluna6]]</f>
        <v>12/02/2026</v>
      </c>
    </row>
    <row r="2169" spans="2:23" x14ac:dyDescent="0.2">
      <c r="B2169" t="s">
        <v>748</v>
      </c>
      <c r="C2169" t="s">
        <v>95</v>
      </c>
      <c r="D2169" t="s">
        <v>13</v>
      </c>
      <c r="E2169" s="8" t="s">
        <v>839</v>
      </c>
      <c r="F2169" t="s">
        <v>750</v>
      </c>
      <c r="G2169" s="8" t="s">
        <v>839</v>
      </c>
      <c r="H2169" t="s">
        <v>570</v>
      </c>
      <c r="I2169" t="e">
        <f>VLOOKUP(Tabela2[[#This Row],[Coluna7]],[1]!Tabela1[#All],2,0)</f>
        <v>#REF!</v>
      </c>
      <c r="J2169" t="s">
        <v>905</v>
      </c>
      <c r="L2169">
        <v>613.59</v>
      </c>
      <c r="Q2169" s="10" t="str">
        <f>Tabela2[[#This Row],[Coluna5]]</f>
        <v>02/2026</v>
      </c>
      <c r="R2169" s="10" t="str">
        <f>IF(Tabela2[[#This Row],[Coluna9]]&gt;0,"Entrada","Saída")</f>
        <v>Saída</v>
      </c>
      <c r="S2169" s="10" t="str">
        <f>Tabela2[[#This Row],[Coluna8]]</f>
        <v>CARAJAS</v>
      </c>
      <c r="T2169" s="10" t="e">
        <f>Tabela2[[#This Row],[Coluna72]]</f>
        <v>#REF!</v>
      </c>
      <c r="U2169" s="10">
        <f>SUM(Tabela2[[#This Row],[Coluna9]],Tabela2[[#This Row],[Coluna10]])</f>
        <v>613.59</v>
      </c>
      <c r="V2169" s="2" t="str">
        <f>Tabela2[[#This Row],[Coluna4]]</f>
        <v>12/02/2026</v>
      </c>
      <c r="W2169" s="2" t="str">
        <f>Tabela2[[#This Row],[Coluna6]]</f>
        <v>12/02/2026</v>
      </c>
    </row>
    <row r="2170" spans="2:23" x14ac:dyDescent="0.2">
      <c r="B2170" t="s">
        <v>18</v>
      </c>
      <c r="C2170" t="s">
        <v>95</v>
      </c>
      <c r="D2170" t="s">
        <v>13</v>
      </c>
      <c r="E2170" s="8" t="s">
        <v>753</v>
      </c>
      <c r="F2170" t="s">
        <v>750</v>
      </c>
      <c r="G2170" s="8" t="s">
        <v>753</v>
      </c>
      <c r="H2170" t="s">
        <v>551</v>
      </c>
      <c r="I2170" t="e">
        <f>VLOOKUP(Tabela2[[#This Row],[Coluna7]],[1]!Tabela1[#All],2,0)</f>
        <v>#REF!</v>
      </c>
      <c r="J2170" t="s">
        <v>906</v>
      </c>
      <c r="L2170">
        <v>31.3</v>
      </c>
      <c r="Q2170" s="10" t="str">
        <f>Tabela2[[#This Row],[Coluna5]]</f>
        <v>02/2026</v>
      </c>
      <c r="R2170" s="10" t="str">
        <f>IF(Tabela2[[#This Row],[Coluna9]]&gt;0,"Entrada","Saída")</f>
        <v>Saída</v>
      </c>
      <c r="S2170" s="10" t="str">
        <f>Tabela2[[#This Row],[Coluna8]]</f>
        <v>REEBOLSO DE UBER PARA AUDIENCIA</v>
      </c>
      <c r="T2170" s="10" t="e">
        <f>Tabela2[[#This Row],[Coluna72]]</f>
        <v>#REF!</v>
      </c>
      <c r="U2170" s="10">
        <f>SUM(Tabela2[[#This Row],[Coluna9]],Tabela2[[#This Row],[Coluna10]])</f>
        <v>31.3</v>
      </c>
      <c r="V2170" s="2" t="str">
        <f>Tabela2[[#This Row],[Coluna4]]</f>
        <v>13/02/2026</v>
      </c>
      <c r="W2170" s="2" t="str">
        <f>Tabela2[[#This Row],[Coluna6]]</f>
        <v>13/02/2026</v>
      </c>
    </row>
    <row r="2171" spans="2:23" x14ac:dyDescent="0.2">
      <c r="B2171" t="s">
        <v>18</v>
      </c>
      <c r="C2171" t="s">
        <v>95</v>
      </c>
      <c r="D2171" t="s">
        <v>13</v>
      </c>
      <c r="E2171" s="8" t="s">
        <v>753</v>
      </c>
      <c r="F2171" t="s">
        <v>750</v>
      </c>
      <c r="G2171" s="8" t="s">
        <v>753</v>
      </c>
      <c r="H2171" t="s">
        <v>551</v>
      </c>
      <c r="I2171" t="e">
        <f>VLOOKUP(Tabela2[[#This Row],[Coluna7]],[1]!Tabela1[#All],2,0)</f>
        <v>#REF!</v>
      </c>
      <c r="J2171" t="s">
        <v>637</v>
      </c>
      <c r="L2171">
        <v>11.8</v>
      </c>
      <c r="Q2171" s="10" t="str">
        <f>Tabela2[[#This Row],[Coluna5]]</f>
        <v>02/2026</v>
      </c>
      <c r="R2171" s="10" t="str">
        <f>IF(Tabela2[[#This Row],[Coluna9]]&gt;0,"Entrada","Saída")</f>
        <v>Saída</v>
      </c>
      <c r="S2171" s="10" t="str">
        <f>Tabela2[[#This Row],[Coluna8]]</f>
        <v>INSS</v>
      </c>
      <c r="T2171" s="10" t="e">
        <f>Tabela2[[#This Row],[Coluna72]]</f>
        <v>#REF!</v>
      </c>
      <c r="U2171" s="10">
        <f>SUM(Tabela2[[#This Row],[Coluna9]],Tabela2[[#This Row],[Coluna10]])</f>
        <v>11.8</v>
      </c>
      <c r="V2171" s="2" t="str">
        <f>Tabela2[[#This Row],[Coluna4]]</f>
        <v>13/02/2026</v>
      </c>
      <c r="W2171" s="2" t="str">
        <f>Tabela2[[#This Row],[Coluna6]]</f>
        <v>13/02/2026</v>
      </c>
    </row>
    <row r="2172" spans="2:23" x14ac:dyDescent="0.2">
      <c r="B2172" t="s">
        <v>18</v>
      </c>
      <c r="C2172" t="s">
        <v>95</v>
      </c>
      <c r="D2172" t="s">
        <v>13</v>
      </c>
      <c r="E2172" s="8" t="s">
        <v>753</v>
      </c>
      <c r="F2172" t="s">
        <v>750</v>
      </c>
      <c r="G2172" s="8" t="s">
        <v>753</v>
      </c>
      <c r="H2172" t="s">
        <v>551</v>
      </c>
      <c r="I2172" t="e">
        <f>VLOOKUP(Tabela2[[#This Row],[Coluna7]],[1]!Tabela1[#All],2,0)</f>
        <v>#REF!</v>
      </c>
      <c r="J2172" t="s">
        <v>637</v>
      </c>
      <c r="L2172">
        <v>8.6</v>
      </c>
      <c r="Q2172" s="10" t="str">
        <f>Tabela2[[#This Row],[Coluna5]]</f>
        <v>02/2026</v>
      </c>
      <c r="R2172" s="10" t="str">
        <f>IF(Tabela2[[#This Row],[Coluna9]]&gt;0,"Entrada","Saída")</f>
        <v>Saída</v>
      </c>
      <c r="S2172" s="10" t="str">
        <f>Tabela2[[#This Row],[Coluna8]]</f>
        <v>INSS</v>
      </c>
      <c r="T2172" s="10" t="e">
        <f>Tabela2[[#This Row],[Coluna72]]</f>
        <v>#REF!</v>
      </c>
      <c r="U2172" s="10">
        <f>SUM(Tabela2[[#This Row],[Coluna9]],Tabela2[[#This Row],[Coluna10]])</f>
        <v>8.6</v>
      </c>
      <c r="V2172" s="2" t="str">
        <f>Tabela2[[#This Row],[Coluna4]]</f>
        <v>13/02/2026</v>
      </c>
      <c r="W2172" s="2" t="str">
        <f>Tabela2[[#This Row],[Coluna6]]</f>
        <v>13/02/2026</v>
      </c>
    </row>
    <row r="2173" spans="2:23" x14ac:dyDescent="0.2">
      <c r="B2173" t="s">
        <v>748</v>
      </c>
      <c r="C2173" t="s">
        <v>95</v>
      </c>
      <c r="D2173" t="s">
        <v>13</v>
      </c>
      <c r="E2173" s="8" t="s">
        <v>753</v>
      </c>
      <c r="F2173" t="s">
        <v>750</v>
      </c>
      <c r="G2173" s="8" t="s">
        <v>753</v>
      </c>
      <c r="H2173" t="s">
        <v>546</v>
      </c>
      <c r="I2173" t="e">
        <f>VLOOKUP(Tabela2[[#This Row],[Coluna7]],[1]!Tabela1[#All],2,0)</f>
        <v>#REF!</v>
      </c>
      <c r="J2173" t="s">
        <v>584</v>
      </c>
      <c r="L2173">
        <v>100</v>
      </c>
      <c r="N2173" t="s">
        <v>584</v>
      </c>
      <c r="Q2173" s="10" t="str">
        <f>Tabela2[[#This Row],[Coluna5]]</f>
        <v>02/2026</v>
      </c>
      <c r="R2173" s="10" t="str">
        <f>IF(Tabela2[[#This Row],[Coluna9]]&gt;0,"Entrada","Saída")</f>
        <v>Saída</v>
      </c>
      <c r="S2173" s="10" t="str">
        <f>Tabela2[[#This Row],[Coluna8]]</f>
        <v>ELIEL ANTONIO DA SILVA</v>
      </c>
      <c r="T2173" s="10" t="e">
        <f>Tabela2[[#This Row],[Coluna72]]</f>
        <v>#REF!</v>
      </c>
      <c r="U2173" s="10">
        <f>SUM(Tabela2[[#This Row],[Coluna9]],Tabela2[[#This Row],[Coluna10]])</f>
        <v>100</v>
      </c>
      <c r="V2173" s="2" t="str">
        <f>Tabela2[[#This Row],[Coluna4]]</f>
        <v>13/02/2026</v>
      </c>
      <c r="W2173" s="2" t="str">
        <f>Tabela2[[#This Row],[Coluna6]]</f>
        <v>13/02/2026</v>
      </c>
    </row>
    <row r="2174" spans="2:23" x14ac:dyDescent="0.2">
      <c r="B2174" t="s">
        <v>748</v>
      </c>
      <c r="C2174" t="s">
        <v>95</v>
      </c>
      <c r="D2174" t="s">
        <v>13</v>
      </c>
      <c r="E2174" s="8" t="s">
        <v>753</v>
      </c>
      <c r="F2174" t="s">
        <v>750</v>
      </c>
      <c r="G2174" s="8" t="s">
        <v>753</v>
      </c>
      <c r="H2174" t="s">
        <v>570</v>
      </c>
      <c r="I2174" t="e">
        <f>VLOOKUP(Tabela2[[#This Row],[Coluna7]],[1]!Tabela1[#All],2,0)</f>
        <v>#REF!</v>
      </c>
      <c r="J2174" t="s">
        <v>659</v>
      </c>
      <c r="L2174">
        <v>260.5</v>
      </c>
      <c r="Q2174" s="10" t="str">
        <f>Tabela2[[#This Row],[Coluna5]]</f>
        <v>02/2026</v>
      </c>
      <c r="R2174" s="10" t="str">
        <f>IF(Tabela2[[#This Row],[Coluna9]]&gt;0,"Entrada","Saída")</f>
        <v>Saída</v>
      </c>
      <c r="S2174" s="10" t="str">
        <f>Tabela2[[#This Row],[Coluna8]]</f>
        <v>FERREIRA COSTA</v>
      </c>
      <c r="T2174" s="10" t="e">
        <f>Tabela2[[#This Row],[Coluna72]]</f>
        <v>#REF!</v>
      </c>
      <c r="U2174" s="10">
        <f>SUM(Tabela2[[#This Row],[Coluna9]],Tabela2[[#This Row],[Coluna10]])</f>
        <v>260.5</v>
      </c>
      <c r="V2174" s="2" t="str">
        <f>Tabela2[[#This Row],[Coluna4]]</f>
        <v>13/02/2026</v>
      </c>
      <c r="W2174" s="2" t="str">
        <f>Tabela2[[#This Row],[Coluna6]]</f>
        <v>13/02/2026</v>
      </c>
    </row>
    <row r="2175" spans="2:23" x14ac:dyDescent="0.2">
      <c r="B2175" t="s">
        <v>748</v>
      </c>
      <c r="C2175" t="s">
        <v>95</v>
      </c>
      <c r="D2175" t="s">
        <v>13</v>
      </c>
      <c r="E2175" s="8" t="s">
        <v>753</v>
      </c>
      <c r="F2175" t="s">
        <v>750</v>
      </c>
      <c r="G2175" s="8" t="s">
        <v>753</v>
      </c>
      <c r="H2175" t="s">
        <v>570</v>
      </c>
      <c r="I2175" t="e">
        <f>VLOOKUP(Tabela2[[#This Row],[Coluna7]],[1]!Tabela1[#All],2,0)</f>
        <v>#REF!</v>
      </c>
      <c r="J2175" t="s">
        <v>659</v>
      </c>
      <c r="L2175">
        <v>277.99</v>
      </c>
      <c r="Q2175" s="10" t="str">
        <f>Tabela2[[#This Row],[Coluna5]]</f>
        <v>02/2026</v>
      </c>
      <c r="R2175" s="10" t="str">
        <f>IF(Tabela2[[#This Row],[Coluna9]]&gt;0,"Entrada","Saída")</f>
        <v>Saída</v>
      </c>
      <c r="S2175" s="10" t="str">
        <f>Tabela2[[#This Row],[Coluna8]]</f>
        <v>FERREIRA COSTA</v>
      </c>
      <c r="T2175" s="10" t="e">
        <f>Tabela2[[#This Row],[Coluna72]]</f>
        <v>#REF!</v>
      </c>
      <c r="U2175" s="10">
        <f>SUM(Tabela2[[#This Row],[Coluna9]],Tabela2[[#This Row],[Coluna10]])</f>
        <v>277.99</v>
      </c>
      <c r="V2175" s="2" t="str">
        <f>Tabela2[[#This Row],[Coluna4]]</f>
        <v>13/02/2026</v>
      </c>
      <c r="W2175" s="2" t="str">
        <f>Tabela2[[#This Row],[Coluna6]]</f>
        <v>13/02/2026</v>
      </c>
    </row>
    <row r="2176" spans="2:23" x14ac:dyDescent="0.2">
      <c r="B2176" t="s">
        <v>748</v>
      </c>
      <c r="C2176" t="s">
        <v>95</v>
      </c>
      <c r="D2176" t="s">
        <v>13</v>
      </c>
      <c r="E2176" s="8" t="s">
        <v>875</v>
      </c>
      <c r="F2176" t="s">
        <v>750</v>
      </c>
      <c r="G2176" s="8" t="s">
        <v>875</v>
      </c>
      <c r="H2176" t="s">
        <v>546</v>
      </c>
      <c r="I2176" t="e">
        <f>VLOOKUP(Tabela2[[#This Row],[Coluna7]],[1]!Tabela1[#All],2,0)</f>
        <v>#REF!</v>
      </c>
      <c r="L2176">
        <v>1450</v>
      </c>
      <c r="N2176" t="s">
        <v>584</v>
      </c>
      <c r="Q2176" s="10" t="str">
        <f>Tabela2[[#This Row],[Coluna5]]</f>
        <v>02/2026</v>
      </c>
      <c r="R2176" s="10" t="str">
        <f>IF(Tabela2[[#This Row],[Coluna9]]&gt;0,"Entrada","Saída")</f>
        <v>Saída</v>
      </c>
      <c r="S2176" s="10">
        <f>Tabela2[[#This Row],[Coluna8]]</f>
        <v>0</v>
      </c>
      <c r="T2176" s="10" t="e">
        <f>Tabela2[[#This Row],[Coluna72]]</f>
        <v>#REF!</v>
      </c>
      <c r="U2176" s="10">
        <f>SUM(Tabela2[[#This Row],[Coluna9]],Tabela2[[#This Row],[Coluna10]])</f>
        <v>1450</v>
      </c>
      <c r="V2176" s="2" t="str">
        <f>Tabela2[[#This Row],[Coluna4]]</f>
        <v>14/02/2026</v>
      </c>
      <c r="W2176" s="2" t="str">
        <f>Tabela2[[#This Row],[Coluna6]]</f>
        <v>14/02/2026</v>
      </c>
    </row>
    <row r="2177" spans="2:23" x14ac:dyDescent="0.2">
      <c r="B2177" t="s">
        <v>748</v>
      </c>
      <c r="C2177" t="s">
        <v>95</v>
      </c>
      <c r="D2177" t="s">
        <v>13</v>
      </c>
      <c r="E2177" s="8" t="s">
        <v>875</v>
      </c>
      <c r="F2177" t="s">
        <v>750</v>
      </c>
      <c r="G2177" s="8" t="s">
        <v>875</v>
      </c>
      <c r="H2177" t="s">
        <v>546</v>
      </c>
      <c r="I2177" t="e">
        <f>VLOOKUP(Tabela2[[#This Row],[Coluna7]],[1]!Tabela1[#All],2,0)</f>
        <v>#REF!</v>
      </c>
      <c r="L2177">
        <v>500</v>
      </c>
      <c r="N2177" t="s">
        <v>547</v>
      </c>
      <c r="Q2177" s="10" t="str">
        <f>Tabela2[[#This Row],[Coluna5]]</f>
        <v>02/2026</v>
      </c>
      <c r="R2177" s="10" t="str">
        <f>IF(Tabela2[[#This Row],[Coluna9]]&gt;0,"Entrada","Saída")</f>
        <v>Saída</v>
      </c>
      <c r="S2177" s="10">
        <f>Tabela2[[#This Row],[Coluna8]]</f>
        <v>0</v>
      </c>
      <c r="T2177" s="10" t="e">
        <f>Tabela2[[#This Row],[Coluna72]]</f>
        <v>#REF!</v>
      </c>
      <c r="U2177" s="10">
        <f>SUM(Tabela2[[#This Row],[Coluna9]],Tabela2[[#This Row],[Coluna10]])</f>
        <v>500</v>
      </c>
      <c r="V2177" s="2" t="str">
        <f>Tabela2[[#This Row],[Coluna4]]</f>
        <v>14/02/2026</v>
      </c>
      <c r="W2177" s="2" t="str">
        <f>Tabela2[[#This Row],[Coluna6]]</f>
        <v>14/02/2026</v>
      </c>
    </row>
    <row r="2178" spans="2:23" x14ac:dyDescent="0.2">
      <c r="B2178" t="s">
        <v>748</v>
      </c>
      <c r="C2178" t="s">
        <v>95</v>
      </c>
      <c r="D2178" t="s">
        <v>13</v>
      </c>
      <c r="E2178" s="8" t="s">
        <v>875</v>
      </c>
      <c r="F2178" t="s">
        <v>750</v>
      </c>
      <c r="G2178" s="8" t="s">
        <v>875</v>
      </c>
      <c r="H2178" t="s">
        <v>570</v>
      </c>
      <c r="I2178" t="e">
        <f>VLOOKUP(Tabela2[[#This Row],[Coluna7]],[1]!Tabela1[#All],2,0)</f>
        <v>#REF!</v>
      </c>
      <c r="J2178" t="s">
        <v>907</v>
      </c>
      <c r="L2178">
        <v>229</v>
      </c>
      <c r="Q2178" s="10" t="str">
        <f>Tabela2[[#This Row],[Coluna5]]</f>
        <v>02/2026</v>
      </c>
      <c r="R2178" s="10" t="str">
        <f>IF(Tabela2[[#This Row],[Coluna9]]&gt;0,"Entrada","Saída")</f>
        <v>Saída</v>
      </c>
      <c r="S2178" s="10" t="str">
        <f>Tabela2[[#This Row],[Coluna8]]</f>
        <v>MATERIAL ELETRICO</v>
      </c>
      <c r="T2178" s="10" t="e">
        <f>Tabela2[[#This Row],[Coluna72]]</f>
        <v>#REF!</v>
      </c>
      <c r="U2178" s="10">
        <f>SUM(Tabela2[[#This Row],[Coluna9]],Tabela2[[#This Row],[Coluna10]])</f>
        <v>229</v>
      </c>
      <c r="V2178" s="2" t="str">
        <f>Tabela2[[#This Row],[Coluna4]]</f>
        <v>14/02/2026</v>
      </c>
      <c r="W2178" s="2" t="str">
        <f>Tabela2[[#This Row],[Coluna6]]</f>
        <v>14/02/2026</v>
      </c>
    </row>
    <row r="2179" spans="2:23" x14ac:dyDescent="0.2">
      <c r="B2179" t="s">
        <v>748</v>
      </c>
      <c r="C2179" t="s">
        <v>95</v>
      </c>
      <c r="D2179" t="s">
        <v>13</v>
      </c>
      <c r="E2179" s="8" t="s">
        <v>875</v>
      </c>
      <c r="F2179" t="s">
        <v>750</v>
      </c>
      <c r="G2179" s="8" t="s">
        <v>875</v>
      </c>
      <c r="H2179" t="s">
        <v>570</v>
      </c>
      <c r="I2179" t="e">
        <f>VLOOKUP(Tabela2[[#This Row],[Coluna7]],[1]!Tabela1[#All],2,0)</f>
        <v>#REF!</v>
      </c>
      <c r="J2179" t="s">
        <v>907</v>
      </c>
      <c r="L2179">
        <v>62</v>
      </c>
      <c r="Q2179" s="10" t="str">
        <f>Tabela2[[#This Row],[Coluna5]]</f>
        <v>02/2026</v>
      </c>
      <c r="R2179" s="10" t="str">
        <f>IF(Tabela2[[#This Row],[Coluna9]]&gt;0,"Entrada","Saída")</f>
        <v>Saída</v>
      </c>
      <c r="S2179" s="10" t="str">
        <f>Tabela2[[#This Row],[Coluna8]]</f>
        <v>MATERIAL ELETRICO</v>
      </c>
      <c r="T2179" s="10" t="e">
        <f>Tabela2[[#This Row],[Coluna72]]</f>
        <v>#REF!</v>
      </c>
      <c r="U2179" s="10">
        <f>SUM(Tabela2[[#This Row],[Coluna9]],Tabela2[[#This Row],[Coluna10]])</f>
        <v>62</v>
      </c>
      <c r="V2179" s="2" t="str">
        <f>Tabela2[[#This Row],[Coluna4]]</f>
        <v>14/02/2026</v>
      </c>
      <c r="W2179" s="2" t="str">
        <f>Tabela2[[#This Row],[Coluna6]]</f>
        <v>14/02/2026</v>
      </c>
    </row>
    <row r="2180" spans="2:23" x14ac:dyDescent="0.2">
      <c r="B2180" t="s">
        <v>18</v>
      </c>
      <c r="C2180" t="s">
        <v>125</v>
      </c>
      <c r="D2180" t="s">
        <v>13</v>
      </c>
      <c r="E2180" s="8" t="s">
        <v>691</v>
      </c>
      <c r="F2180" t="s">
        <v>84</v>
      </c>
      <c r="G2180" s="8" t="s">
        <v>352</v>
      </c>
      <c r="H2180" t="s">
        <v>580</v>
      </c>
      <c r="I2180" t="e">
        <f>VLOOKUP(Tabela2[[#This Row],[Coluna7]],[1]!Tabela1[#All],2,0)</f>
        <v>#REF!</v>
      </c>
      <c r="J2180" t="s">
        <v>692</v>
      </c>
      <c r="L2180">
        <v>1454</v>
      </c>
      <c r="M2180" t="s">
        <v>341</v>
      </c>
      <c r="N2180" t="s">
        <v>342</v>
      </c>
      <c r="Q2180" s="10" t="str">
        <f>Tabela2[[#This Row],[Coluna5]]</f>
        <v>01/2026</v>
      </c>
      <c r="R2180" s="10" t="str">
        <f>IF(Tabela2[[#This Row],[Coluna9]]&gt;0,"Entrada","Saída")</f>
        <v>Saída</v>
      </c>
      <c r="S2180" s="10" t="str">
        <f>Tabela2[[#This Row],[Coluna8]]</f>
        <v>DINHO</v>
      </c>
      <c r="T2180" s="10" t="e">
        <f>Tabela2[[#This Row],[Coluna72]]</f>
        <v>#REF!</v>
      </c>
      <c r="U2180" s="10">
        <f>SUM(Tabela2[[#This Row],[Coluna9]],Tabela2[[#This Row],[Coluna10]])</f>
        <v>1454</v>
      </c>
      <c r="V2180" s="2" t="str">
        <f>Tabela2[[#This Row],[Coluna4]]</f>
        <v>15/02/2026</v>
      </c>
      <c r="W2180" s="2" t="str">
        <f>Tabela2[[#This Row],[Coluna6]]</f>
        <v>16/01/2026</v>
      </c>
    </row>
    <row r="2181" spans="2:23" x14ac:dyDescent="0.2">
      <c r="B2181" t="s">
        <v>748</v>
      </c>
      <c r="C2181" t="s">
        <v>95</v>
      </c>
      <c r="D2181" t="s">
        <v>13</v>
      </c>
      <c r="E2181" s="8" t="s">
        <v>843</v>
      </c>
      <c r="F2181" t="s">
        <v>750</v>
      </c>
      <c r="G2181" s="8" t="s">
        <v>843</v>
      </c>
      <c r="H2181" t="s">
        <v>538</v>
      </c>
      <c r="I2181" t="e">
        <f>VLOOKUP(Tabela2[[#This Row],[Coluna7]],[1]!Tabela1[#All],2,0)</f>
        <v>#REF!</v>
      </c>
      <c r="J2181" t="s">
        <v>908</v>
      </c>
      <c r="L2181">
        <v>800</v>
      </c>
      <c r="M2181" t="s">
        <v>909</v>
      </c>
      <c r="N2181" t="s">
        <v>910</v>
      </c>
      <c r="Q2181" s="10" t="str">
        <f>Tabela2[[#This Row],[Coluna5]]</f>
        <v>02/2026</v>
      </c>
      <c r="R2181" s="10" t="str">
        <f>IF(Tabela2[[#This Row],[Coluna9]]&gt;0,"Entrada","Saída")</f>
        <v>Saída</v>
      </c>
      <c r="S2181" s="10" t="str">
        <f>Tabela2[[#This Row],[Coluna8]]</f>
        <v>EMPRESTIMO</v>
      </c>
      <c r="T2181" s="10" t="e">
        <f>Tabela2[[#This Row],[Coluna72]]</f>
        <v>#REF!</v>
      </c>
      <c r="U2181" s="10">
        <f>SUM(Tabela2[[#This Row],[Coluna9]],Tabela2[[#This Row],[Coluna10]])</f>
        <v>800</v>
      </c>
      <c r="V2181" s="2" t="str">
        <f>Tabela2[[#This Row],[Coluna4]]</f>
        <v>16/02/2026</v>
      </c>
      <c r="W2181" s="2" t="str">
        <f>Tabela2[[#This Row],[Coluna6]]</f>
        <v>16/02/2026</v>
      </c>
    </row>
    <row r="2182" spans="2:23" x14ac:dyDescent="0.2">
      <c r="B2182" t="s">
        <v>748</v>
      </c>
      <c r="C2182" t="s">
        <v>95</v>
      </c>
      <c r="D2182" t="s">
        <v>13</v>
      </c>
      <c r="E2182" s="8" t="s">
        <v>911</v>
      </c>
      <c r="F2182" t="s">
        <v>750</v>
      </c>
      <c r="G2182" s="8" t="s">
        <v>911</v>
      </c>
      <c r="H2182" t="s">
        <v>542</v>
      </c>
      <c r="I2182" t="e">
        <f>VLOOKUP(Tabela2[[#This Row],[Coluna7]],[1]!Tabela1[#All],2,0)</f>
        <v>#REF!</v>
      </c>
      <c r="L2182">
        <v>200</v>
      </c>
      <c r="N2182" t="s">
        <v>583</v>
      </c>
      <c r="Q2182" s="10" t="str">
        <f>Tabela2[[#This Row],[Coluna5]]</f>
        <v>02/2026</v>
      </c>
      <c r="R2182" s="10" t="str">
        <f>IF(Tabela2[[#This Row],[Coluna9]]&gt;0,"Entrada","Saída")</f>
        <v>Saída</v>
      </c>
      <c r="S2182" s="10">
        <f>Tabela2[[#This Row],[Coluna8]]</f>
        <v>0</v>
      </c>
      <c r="T2182" s="10" t="e">
        <f>Tabela2[[#This Row],[Coluna72]]</f>
        <v>#REF!</v>
      </c>
      <c r="U2182" s="10">
        <f>SUM(Tabela2[[#This Row],[Coluna9]],Tabela2[[#This Row],[Coluna10]])</f>
        <v>200</v>
      </c>
      <c r="V2182" s="2" t="str">
        <f>Tabela2[[#This Row],[Coluna4]]</f>
        <v>17/02/2026</v>
      </c>
      <c r="W2182" s="2" t="str">
        <f>Tabela2[[#This Row],[Coluna6]]</f>
        <v>17/02/2026</v>
      </c>
    </row>
    <row r="2183" spans="2:23" x14ac:dyDescent="0.2">
      <c r="B2183" t="s">
        <v>71</v>
      </c>
      <c r="C2183" t="s">
        <v>95</v>
      </c>
      <c r="D2183" t="s">
        <v>13</v>
      </c>
      <c r="E2183" s="8" t="s">
        <v>755</v>
      </c>
      <c r="F2183" t="s">
        <v>750</v>
      </c>
      <c r="G2183" s="8" t="s">
        <v>755</v>
      </c>
      <c r="H2183" t="s">
        <v>538</v>
      </c>
      <c r="I2183" t="e">
        <f>VLOOKUP(Tabela2[[#This Row],[Coluna7]],[1]!Tabela1[#All],2,0)</f>
        <v>#REF!</v>
      </c>
      <c r="J2183" t="s">
        <v>912</v>
      </c>
      <c r="L2183">
        <v>50</v>
      </c>
      <c r="Q2183" s="10" t="str">
        <f>Tabela2[[#This Row],[Coluna5]]</f>
        <v>02/2026</v>
      </c>
      <c r="R2183" s="10" t="str">
        <f>IF(Tabela2[[#This Row],[Coluna9]]&gt;0,"Entrada","Saída")</f>
        <v>Saída</v>
      </c>
      <c r="S2183" s="10" t="str">
        <f>Tabela2[[#This Row],[Coluna8]]</f>
        <v>AJUDA PARA GÁS DE SEU SALES</v>
      </c>
      <c r="T2183" s="10" t="e">
        <f>Tabela2[[#This Row],[Coluna72]]</f>
        <v>#REF!</v>
      </c>
      <c r="U2183" s="10">
        <f>SUM(Tabela2[[#This Row],[Coluna9]],Tabela2[[#This Row],[Coluna10]])</f>
        <v>50</v>
      </c>
      <c r="V2183" s="2" t="str">
        <f>Tabela2[[#This Row],[Coluna4]]</f>
        <v>18/02/2026</v>
      </c>
      <c r="W2183" s="2" t="str">
        <f>Tabela2[[#This Row],[Coluna6]]</f>
        <v>18/02/2026</v>
      </c>
    </row>
    <row r="2184" spans="2:23" x14ac:dyDescent="0.2">
      <c r="B2184" t="s">
        <v>18</v>
      </c>
      <c r="C2184" t="s">
        <v>95</v>
      </c>
      <c r="D2184" t="s">
        <v>13</v>
      </c>
      <c r="E2184" s="8" t="s">
        <v>755</v>
      </c>
      <c r="F2184" t="s">
        <v>750</v>
      </c>
      <c r="G2184" s="8" t="s">
        <v>755</v>
      </c>
      <c r="H2184" t="s">
        <v>580</v>
      </c>
      <c r="I2184" t="e">
        <f>VLOOKUP(Tabela2[[#This Row],[Coluna7]],[1]!Tabela1[#All],2,0)</f>
        <v>#REF!</v>
      </c>
      <c r="J2184" t="s">
        <v>913</v>
      </c>
      <c r="L2184">
        <v>673.95</v>
      </c>
      <c r="N2184" t="s">
        <v>657</v>
      </c>
      <c r="Q2184" s="10" t="str">
        <f>Tabela2[[#This Row],[Coluna5]]</f>
        <v>02/2026</v>
      </c>
      <c r="R2184" s="10" t="str">
        <f>IF(Tabela2[[#This Row],[Coluna9]]&gt;0,"Entrada","Saída")</f>
        <v>Saída</v>
      </c>
      <c r="S2184" s="10" t="str">
        <f>Tabela2[[#This Row],[Coluna8]]</f>
        <v>PIX PARA MARIA DO SOCORRO</v>
      </c>
      <c r="T2184" s="10" t="e">
        <f>Tabela2[[#This Row],[Coluna72]]</f>
        <v>#REF!</v>
      </c>
      <c r="U2184" s="10">
        <f>SUM(Tabela2[[#This Row],[Coluna9]],Tabela2[[#This Row],[Coluna10]])</f>
        <v>673.95</v>
      </c>
      <c r="V2184" s="2" t="str">
        <f>Tabela2[[#This Row],[Coluna4]]</f>
        <v>18/02/2026</v>
      </c>
      <c r="W2184" s="2" t="str">
        <f>Tabela2[[#This Row],[Coluna6]]</f>
        <v>18/02/2026</v>
      </c>
    </row>
    <row r="2185" spans="2:23" x14ac:dyDescent="0.2">
      <c r="B2185" t="s">
        <v>18</v>
      </c>
      <c r="C2185" t="s">
        <v>95</v>
      </c>
      <c r="D2185" t="s">
        <v>13</v>
      </c>
      <c r="E2185" s="8" t="s">
        <v>755</v>
      </c>
      <c r="F2185" t="s">
        <v>84</v>
      </c>
      <c r="G2185" s="8" t="s">
        <v>755</v>
      </c>
      <c r="H2185" t="s">
        <v>580</v>
      </c>
      <c r="I2185" t="e">
        <f>VLOOKUP(Tabela2[[#This Row],[Coluna7]],[1]!Tabela1[#All],2,0)</f>
        <v>#REF!</v>
      </c>
      <c r="L2185">
        <v>4485.33</v>
      </c>
      <c r="N2185" t="s">
        <v>523</v>
      </c>
      <c r="Q2185" s="10" t="str">
        <f>Tabela2[[#This Row],[Coluna5]]</f>
        <v>01/2026</v>
      </c>
      <c r="R2185" s="10" t="str">
        <f>IF(Tabela2[[#This Row],[Coluna9]]&gt;0,"Entrada","Saída")</f>
        <v>Saída</v>
      </c>
      <c r="S2185" s="10">
        <f>Tabela2[[#This Row],[Coluna8]]</f>
        <v>0</v>
      </c>
      <c r="T2185" s="10" t="e">
        <f>Tabela2[[#This Row],[Coluna72]]</f>
        <v>#REF!</v>
      </c>
      <c r="U2185" s="10">
        <f>SUM(Tabela2[[#This Row],[Coluna9]],Tabela2[[#This Row],[Coluna10]])</f>
        <v>4485.33</v>
      </c>
      <c r="V2185" s="2" t="str">
        <f>Tabela2[[#This Row],[Coluna4]]</f>
        <v>18/02/2026</v>
      </c>
      <c r="W2185" s="2" t="str">
        <f>Tabela2[[#This Row],[Coluna6]]</f>
        <v>18/02/2026</v>
      </c>
    </row>
    <row r="2186" spans="2:23" x14ac:dyDescent="0.2">
      <c r="B2186" t="s">
        <v>18</v>
      </c>
      <c r="C2186" t="s">
        <v>95</v>
      </c>
      <c r="D2186" t="s">
        <v>13</v>
      </c>
      <c r="E2186" s="8" t="s">
        <v>755</v>
      </c>
      <c r="F2186" t="s">
        <v>750</v>
      </c>
      <c r="G2186" s="8" t="s">
        <v>755</v>
      </c>
      <c r="H2186" t="s">
        <v>580</v>
      </c>
      <c r="I2186" t="e">
        <f>VLOOKUP(Tabela2[[#This Row],[Coluna7]],[1]!Tabela1[#All],2,0)</f>
        <v>#REF!</v>
      </c>
      <c r="J2186" t="s">
        <v>914</v>
      </c>
      <c r="L2186">
        <v>516</v>
      </c>
      <c r="Q2186" s="10" t="str">
        <f>Tabela2[[#This Row],[Coluna5]]</f>
        <v>02/2026</v>
      </c>
      <c r="R2186" s="10" t="str">
        <f>IF(Tabela2[[#This Row],[Coluna9]]&gt;0,"Entrada","Saída")</f>
        <v>Saída</v>
      </c>
      <c r="S2186" s="10" t="str">
        <f>Tabela2[[#This Row],[Coluna8]]</f>
        <v>GILVAN FELIX</v>
      </c>
      <c r="T2186" s="10" t="e">
        <f>Tabela2[[#This Row],[Coluna72]]</f>
        <v>#REF!</v>
      </c>
      <c r="U2186" s="10">
        <f>SUM(Tabela2[[#This Row],[Coluna9]],Tabela2[[#This Row],[Coluna10]])</f>
        <v>516</v>
      </c>
      <c r="V2186" s="2" t="str">
        <f>Tabela2[[#This Row],[Coluna4]]</f>
        <v>18/02/2026</v>
      </c>
      <c r="W2186" s="2" t="str">
        <f>Tabela2[[#This Row],[Coluna6]]</f>
        <v>18/02/2026</v>
      </c>
    </row>
    <row r="2187" spans="2:23" x14ac:dyDescent="0.2">
      <c r="B2187" t="s">
        <v>18</v>
      </c>
      <c r="C2187" t="s">
        <v>95</v>
      </c>
      <c r="D2187" t="s">
        <v>13</v>
      </c>
      <c r="E2187" s="8" t="s">
        <v>755</v>
      </c>
      <c r="F2187" t="s">
        <v>750</v>
      </c>
      <c r="G2187" s="8" t="s">
        <v>755</v>
      </c>
      <c r="H2187" t="s">
        <v>580</v>
      </c>
      <c r="I2187" t="e">
        <f>VLOOKUP(Tabela2[[#This Row],[Coluna7]],[1]!Tabela1[#All],2,0)</f>
        <v>#REF!</v>
      </c>
      <c r="J2187" t="s">
        <v>915</v>
      </c>
      <c r="L2187">
        <v>850.54</v>
      </c>
      <c r="Q2187" s="10" t="str">
        <f>Tabela2[[#This Row],[Coluna5]]</f>
        <v>02/2026</v>
      </c>
      <c r="R2187" s="10" t="str">
        <f>IF(Tabela2[[#This Row],[Coluna9]]&gt;0,"Entrada","Saída")</f>
        <v>Saída</v>
      </c>
      <c r="S2187" s="10" t="str">
        <f>Tabela2[[#This Row],[Coluna8]]</f>
        <v>IGOR LOPES</v>
      </c>
      <c r="T2187" s="10" t="e">
        <f>Tabela2[[#This Row],[Coluna72]]</f>
        <v>#REF!</v>
      </c>
      <c r="U2187" s="10">
        <f>SUM(Tabela2[[#This Row],[Coluna9]],Tabela2[[#This Row],[Coluna10]])</f>
        <v>850.54</v>
      </c>
      <c r="V2187" s="2" t="str">
        <f>Tabela2[[#This Row],[Coluna4]]</f>
        <v>18/02/2026</v>
      </c>
      <c r="W2187" s="2" t="str">
        <f>Tabela2[[#This Row],[Coluna6]]</f>
        <v>18/02/2026</v>
      </c>
    </row>
    <row r="2188" spans="2:23" x14ac:dyDescent="0.2">
      <c r="B2188" t="s">
        <v>18</v>
      </c>
      <c r="C2188" t="s">
        <v>95</v>
      </c>
      <c r="D2188" t="s">
        <v>13</v>
      </c>
      <c r="E2188" s="8" t="s">
        <v>755</v>
      </c>
      <c r="F2188" t="s">
        <v>750</v>
      </c>
      <c r="G2188" s="8" t="s">
        <v>755</v>
      </c>
      <c r="H2188" t="s">
        <v>580</v>
      </c>
      <c r="I2188" t="e">
        <f>VLOOKUP(Tabela2[[#This Row],[Coluna7]],[1]!Tabela1[#All],2,0)</f>
        <v>#REF!</v>
      </c>
      <c r="J2188" t="s">
        <v>686</v>
      </c>
      <c r="L2188">
        <v>425.27</v>
      </c>
      <c r="Q2188" s="10" t="str">
        <f>Tabela2[[#This Row],[Coluna5]]</f>
        <v>02/2026</v>
      </c>
      <c r="R2188" s="10" t="str">
        <f>IF(Tabela2[[#This Row],[Coluna9]]&gt;0,"Entrada","Saída")</f>
        <v>Saída</v>
      </c>
      <c r="S2188" s="10" t="str">
        <f>Tabela2[[#This Row],[Coluna8]]</f>
        <v>LUZINALDO CUNHA LIRA</v>
      </c>
      <c r="T2188" s="10" t="e">
        <f>Tabela2[[#This Row],[Coluna72]]</f>
        <v>#REF!</v>
      </c>
      <c r="U2188" s="10">
        <f>SUM(Tabela2[[#This Row],[Coluna9]],Tabela2[[#This Row],[Coluna10]])</f>
        <v>425.27</v>
      </c>
      <c r="V2188" s="2" t="str">
        <f>Tabela2[[#This Row],[Coluna4]]</f>
        <v>18/02/2026</v>
      </c>
      <c r="W2188" s="2" t="str">
        <f>Tabela2[[#This Row],[Coluna6]]</f>
        <v>18/02/2026</v>
      </c>
    </row>
    <row r="2189" spans="2:23" x14ac:dyDescent="0.2">
      <c r="B2189" t="s">
        <v>18</v>
      </c>
      <c r="C2189" t="s">
        <v>95</v>
      </c>
      <c r="D2189" t="s">
        <v>13</v>
      </c>
      <c r="E2189" s="8" t="s">
        <v>755</v>
      </c>
      <c r="F2189" t="s">
        <v>750</v>
      </c>
      <c r="G2189" s="8" t="s">
        <v>755</v>
      </c>
      <c r="H2189" t="s">
        <v>580</v>
      </c>
      <c r="I2189" t="e">
        <f>VLOOKUP(Tabela2[[#This Row],[Coluna7]],[1]!Tabela1[#All],2,0)</f>
        <v>#REF!</v>
      </c>
      <c r="L2189">
        <v>418.09</v>
      </c>
      <c r="N2189" t="s">
        <v>916</v>
      </c>
      <c r="Q2189" s="10" t="str">
        <f>Tabela2[[#This Row],[Coluna5]]</f>
        <v>02/2026</v>
      </c>
      <c r="R2189" s="10" t="str">
        <f>IF(Tabela2[[#This Row],[Coluna9]]&gt;0,"Entrada","Saída")</f>
        <v>Saída</v>
      </c>
      <c r="S2189" s="10">
        <f>Tabela2[[#This Row],[Coluna8]]</f>
        <v>0</v>
      </c>
      <c r="T2189" s="10" t="e">
        <f>Tabela2[[#This Row],[Coluna72]]</f>
        <v>#REF!</v>
      </c>
      <c r="U2189" s="10">
        <f>SUM(Tabela2[[#This Row],[Coluna9]],Tabela2[[#This Row],[Coluna10]])</f>
        <v>418.09</v>
      </c>
      <c r="V2189" s="2" t="str">
        <f>Tabela2[[#This Row],[Coluna4]]</f>
        <v>18/02/2026</v>
      </c>
      <c r="W2189" s="2" t="str">
        <f>Tabela2[[#This Row],[Coluna6]]</f>
        <v>18/02/2026</v>
      </c>
    </row>
    <row r="2190" spans="2:23" x14ac:dyDescent="0.2">
      <c r="B2190" t="s">
        <v>18</v>
      </c>
      <c r="C2190" t="s">
        <v>95</v>
      </c>
      <c r="D2190" t="s">
        <v>13</v>
      </c>
      <c r="E2190" s="8" t="s">
        <v>846</v>
      </c>
      <c r="F2190" t="s">
        <v>750</v>
      </c>
      <c r="G2190" s="8" t="s">
        <v>846</v>
      </c>
      <c r="H2190" t="s">
        <v>551</v>
      </c>
      <c r="I2190" t="e">
        <f>VLOOKUP(Tabela2[[#This Row],[Coluna7]],[1]!Tabela1[#All],2,0)</f>
        <v>#REF!</v>
      </c>
      <c r="J2190" t="s">
        <v>637</v>
      </c>
      <c r="L2190">
        <v>19.7</v>
      </c>
      <c r="Q2190" s="10" t="str">
        <f>Tabela2[[#This Row],[Coluna5]]</f>
        <v>02/2026</v>
      </c>
      <c r="R2190" s="10" t="str">
        <f>IF(Tabela2[[#This Row],[Coluna9]]&gt;0,"Entrada","Saída")</f>
        <v>Saída</v>
      </c>
      <c r="S2190" s="10" t="str">
        <f>Tabela2[[#This Row],[Coluna8]]</f>
        <v>INSS</v>
      </c>
      <c r="T2190" s="10" t="e">
        <f>Tabela2[[#This Row],[Coluna72]]</f>
        <v>#REF!</v>
      </c>
      <c r="U2190" s="10">
        <f>SUM(Tabela2[[#This Row],[Coluna9]],Tabela2[[#This Row],[Coluna10]])</f>
        <v>19.7</v>
      </c>
      <c r="V2190" s="2" t="str">
        <f>Tabela2[[#This Row],[Coluna4]]</f>
        <v>19/02/2026</v>
      </c>
      <c r="W2190" s="2" t="str">
        <f>Tabela2[[#This Row],[Coluna6]]</f>
        <v>19/02/2026</v>
      </c>
    </row>
    <row r="2191" spans="2:23" x14ac:dyDescent="0.2">
      <c r="B2191" t="s">
        <v>748</v>
      </c>
      <c r="C2191" t="s">
        <v>95</v>
      </c>
      <c r="D2191" t="s">
        <v>13</v>
      </c>
      <c r="E2191" s="8" t="s">
        <v>846</v>
      </c>
      <c r="F2191" t="s">
        <v>750</v>
      </c>
      <c r="G2191" s="8" t="s">
        <v>846</v>
      </c>
      <c r="H2191" t="s">
        <v>570</v>
      </c>
      <c r="I2191" t="e">
        <f>VLOOKUP(Tabela2[[#This Row],[Coluna7]],[1]!Tabela1[#All],2,0)</f>
        <v>#REF!</v>
      </c>
      <c r="L2191">
        <v>20</v>
      </c>
      <c r="Q2191" s="10" t="str">
        <f>Tabela2[[#This Row],[Coluna5]]</f>
        <v>02/2026</v>
      </c>
      <c r="R2191" s="10" t="str">
        <f>IF(Tabela2[[#This Row],[Coluna9]]&gt;0,"Entrada","Saída")</f>
        <v>Saída</v>
      </c>
      <c r="S2191" s="10">
        <f>Tabela2[[#This Row],[Coluna8]]</f>
        <v>0</v>
      </c>
      <c r="T2191" s="10" t="e">
        <f>Tabela2[[#This Row],[Coluna72]]</f>
        <v>#REF!</v>
      </c>
      <c r="U2191" s="10">
        <f>SUM(Tabela2[[#This Row],[Coluna9]],Tabela2[[#This Row],[Coluna10]])</f>
        <v>20</v>
      </c>
      <c r="V2191" s="2" t="str">
        <f>Tabela2[[#This Row],[Coluna4]]</f>
        <v>19/02/2026</v>
      </c>
      <c r="W2191" s="2" t="str">
        <f>Tabela2[[#This Row],[Coluna6]]</f>
        <v>19/02/2026</v>
      </c>
    </row>
    <row r="2192" spans="2:23" x14ac:dyDescent="0.2">
      <c r="B2192" t="s">
        <v>748</v>
      </c>
      <c r="C2192" t="s">
        <v>95</v>
      </c>
      <c r="D2192" t="s">
        <v>13</v>
      </c>
      <c r="E2192" s="8" t="s">
        <v>756</v>
      </c>
      <c r="F2192" t="s">
        <v>750</v>
      </c>
      <c r="G2192" s="8" t="s">
        <v>756</v>
      </c>
      <c r="H2192" t="s">
        <v>538</v>
      </c>
      <c r="I2192" t="e">
        <f>VLOOKUP(Tabela2[[#This Row],[Coluna7]],[1]!Tabela1[#All],2,0)</f>
        <v>#REF!</v>
      </c>
      <c r="J2192" t="s">
        <v>917</v>
      </c>
      <c r="L2192">
        <v>59.88</v>
      </c>
      <c r="N2192" t="s">
        <v>791</v>
      </c>
      <c r="Q2192" s="10" t="str">
        <f>Tabela2[[#This Row],[Coluna5]]</f>
        <v>02/2026</v>
      </c>
      <c r="R2192" s="10" t="str">
        <f>IF(Tabela2[[#This Row],[Coluna9]]&gt;0,"Entrada","Saída")</f>
        <v>Saída</v>
      </c>
      <c r="S2192" s="10" t="str">
        <f>Tabela2[[#This Row],[Coluna8]]</f>
        <v>TORNEIRA</v>
      </c>
      <c r="T2192" s="10" t="e">
        <f>Tabela2[[#This Row],[Coluna72]]</f>
        <v>#REF!</v>
      </c>
      <c r="U2192" s="10">
        <f>SUM(Tabela2[[#This Row],[Coluna9]],Tabela2[[#This Row],[Coluna10]])</f>
        <v>59.88</v>
      </c>
      <c r="V2192" s="2" t="str">
        <f>Tabela2[[#This Row],[Coluna4]]</f>
        <v>20/02/2026</v>
      </c>
      <c r="W2192" s="2" t="str">
        <f>Tabela2[[#This Row],[Coluna6]]</f>
        <v>20/02/2026</v>
      </c>
    </row>
    <row r="2193" spans="2:23" x14ac:dyDescent="0.2">
      <c r="B2193" t="s">
        <v>18</v>
      </c>
      <c r="C2193" t="s">
        <v>95</v>
      </c>
      <c r="D2193" t="s">
        <v>13</v>
      </c>
      <c r="E2193" s="8" t="s">
        <v>756</v>
      </c>
      <c r="F2193" t="s">
        <v>84</v>
      </c>
      <c r="G2193" s="8" t="s">
        <v>756</v>
      </c>
      <c r="H2193" t="s">
        <v>595</v>
      </c>
      <c r="I2193" t="e">
        <f>VLOOKUP(Tabela2[[#This Row],[Coluna7]],[1]!Tabela1[#All],2,0)</f>
        <v>#REF!</v>
      </c>
      <c r="L2193">
        <v>177.48</v>
      </c>
      <c r="N2193" t="s">
        <v>420</v>
      </c>
      <c r="Q2193" s="10" t="str">
        <f>Tabela2[[#This Row],[Coluna5]]</f>
        <v>01/2026</v>
      </c>
      <c r="R2193" s="10" t="str">
        <f>IF(Tabela2[[#This Row],[Coluna9]]&gt;0,"Entrada","Saída")</f>
        <v>Saída</v>
      </c>
      <c r="S2193" s="10">
        <f>Tabela2[[#This Row],[Coluna8]]</f>
        <v>0</v>
      </c>
      <c r="T2193" s="10" t="e">
        <f>Tabela2[[#This Row],[Coluna72]]</f>
        <v>#REF!</v>
      </c>
      <c r="U2193" s="10">
        <f>SUM(Tabela2[[#This Row],[Coluna9]],Tabela2[[#This Row],[Coluna10]])</f>
        <v>177.48</v>
      </c>
      <c r="V2193" s="2" t="str">
        <f>Tabela2[[#This Row],[Coluna4]]</f>
        <v>20/02/2026</v>
      </c>
      <c r="W2193" s="2" t="str">
        <f>Tabela2[[#This Row],[Coluna6]]</f>
        <v>20/02/2026</v>
      </c>
    </row>
    <row r="2194" spans="2:23" x14ac:dyDescent="0.2">
      <c r="B2194" t="s">
        <v>18</v>
      </c>
      <c r="C2194" t="s">
        <v>95</v>
      </c>
      <c r="D2194" t="s">
        <v>13</v>
      </c>
      <c r="E2194" s="8" t="s">
        <v>756</v>
      </c>
      <c r="F2194" t="s">
        <v>750</v>
      </c>
      <c r="G2194" s="8" t="s">
        <v>756</v>
      </c>
      <c r="H2194" t="s">
        <v>595</v>
      </c>
      <c r="I2194" t="e">
        <f>VLOOKUP(Tabela2[[#This Row],[Coluna7]],[1]!Tabela1[#All],2,0)</f>
        <v>#REF!</v>
      </c>
      <c r="L2194">
        <v>564.5</v>
      </c>
      <c r="N2194" t="s">
        <v>596</v>
      </c>
      <c r="Q2194" s="10" t="str">
        <f>Tabela2[[#This Row],[Coluna5]]</f>
        <v>02/2026</v>
      </c>
      <c r="R2194" s="10" t="str">
        <f>IF(Tabela2[[#This Row],[Coluna9]]&gt;0,"Entrada","Saída")</f>
        <v>Saída</v>
      </c>
      <c r="S2194" s="10">
        <f>Tabela2[[#This Row],[Coluna8]]</f>
        <v>0</v>
      </c>
      <c r="T2194" s="10" t="e">
        <f>Tabela2[[#This Row],[Coluna72]]</f>
        <v>#REF!</v>
      </c>
      <c r="U2194" s="10">
        <f>SUM(Tabela2[[#This Row],[Coluna9]],Tabela2[[#This Row],[Coluna10]])</f>
        <v>564.5</v>
      </c>
      <c r="V2194" s="2" t="str">
        <f>Tabela2[[#This Row],[Coluna4]]</f>
        <v>20/02/2026</v>
      </c>
      <c r="W2194" s="2" t="str">
        <f>Tabela2[[#This Row],[Coluna6]]</f>
        <v>20/02/2026</v>
      </c>
    </row>
    <row r="2195" spans="2:23" x14ac:dyDescent="0.2">
      <c r="B2195" t="s">
        <v>18</v>
      </c>
      <c r="C2195" t="s">
        <v>95</v>
      </c>
      <c r="D2195" t="s">
        <v>13</v>
      </c>
      <c r="E2195" s="8" t="s">
        <v>756</v>
      </c>
      <c r="F2195" t="s">
        <v>750</v>
      </c>
      <c r="G2195" s="8" t="s">
        <v>756</v>
      </c>
      <c r="H2195" t="s">
        <v>595</v>
      </c>
      <c r="I2195" t="e">
        <f>VLOOKUP(Tabela2[[#This Row],[Coluna7]],[1]!Tabela1[#All],2,0)</f>
        <v>#REF!</v>
      </c>
      <c r="L2195">
        <v>655.35</v>
      </c>
      <c r="N2195" t="s">
        <v>396</v>
      </c>
      <c r="Q2195" s="10" t="str">
        <f>Tabela2[[#This Row],[Coluna5]]</f>
        <v>02/2026</v>
      </c>
      <c r="R2195" s="10" t="str">
        <f>IF(Tabela2[[#This Row],[Coluna9]]&gt;0,"Entrada","Saída")</f>
        <v>Saída</v>
      </c>
      <c r="S2195" s="10">
        <f>Tabela2[[#This Row],[Coluna8]]</f>
        <v>0</v>
      </c>
      <c r="T2195" s="10" t="e">
        <f>Tabela2[[#This Row],[Coluna72]]</f>
        <v>#REF!</v>
      </c>
      <c r="U2195" s="10">
        <f>SUM(Tabela2[[#This Row],[Coluna9]],Tabela2[[#This Row],[Coluna10]])</f>
        <v>655.35</v>
      </c>
      <c r="V2195" s="2" t="str">
        <f>Tabela2[[#This Row],[Coluna4]]</f>
        <v>20/02/2026</v>
      </c>
      <c r="W2195" s="2" t="str">
        <f>Tabela2[[#This Row],[Coluna6]]</f>
        <v>20/02/2026</v>
      </c>
    </row>
    <row r="2196" spans="2:23" x14ac:dyDescent="0.2">
      <c r="B2196" t="s">
        <v>18</v>
      </c>
      <c r="C2196" t="s">
        <v>95</v>
      </c>
      <c r="D2196" t="s">
        <v>13</v>
      </c>
      <c r="E2196" s="8" t="s">
        <v>756</v>
      </c>
      <c r="F2196" t="s">
        <v>750</v>
      </c>
      <c r="G2196" s="8" t="s">
        <v>756</v>
      </c>
      <c r="H2196" t="s">
        <v>538</v>
      </c>
      <c r="I2196" t="e">
        <f>VLOOKUP(Tabela2[[#This Row],[Coluna7]],[1]!Tabela1[#All],2,0)</f>
        <v>#REF!</v>
      </c>
      <c r="J2196" t="s">
        <v>908</v>
      </c>
      <c r="L2196">
        <v>1000</v>
      </c>
      <c r="M2196" t="s">
        <v>909</v>
      </c>
      <c r="N2196" t="s">
        <v>910</v>
      </c>
      <c r="Q2196" s="10" t="str">
        <f>Tabela2[[#This Row],[Coluna5]]</f>
        <v>02/2026</v>
      </c>
      <c r="R2196" s="10" t="str">
        <f>IF(Tabela2[[#This Row],[Coluna9]]&gt;0,"Entrada","Saída")</f>
        <v>Saída</v>
      </c>
      <c r="S2196" s="10" t="str">
        <f>Tabela2[[#This Row],[Coluna8]]</f>
        <v>EMPRESTIMO</v>
      </c>
      <c r="T2196" s="10" t="e">
        <f>Tabela2[[#This Row],[Coluna72]]</f>
        <v>#REF!</v>
      </c>
      <c r="U2196" s="10">
        <f>SUM(Tabela2[[#This Row],[Coluna9]],Tabela2[[#This Row],[Coluna10]])</f>
        <v>1000</v>
      </c>
      <c r="V2196" s="2" t="str">
        <f>Tabela2[[#This Row],[Coluna4]]</f>
        <v>20/02/2026</v>
      </c>
      <c r="W2196" s="2" t="str">
        <f>Tabela2[[#This Row],[Coluna6]]</f>
        <v>20/02/2026</v>
      </c>
    </row>
    <row r="2197" spans="2:23" x14ac:dyDescent="0.2">
      <c r="B2197" t="s">
        <v>748</v>
      </c>
      <c r="C2197" t="s">
        <v>95</v>
      </c>
      <c r="D2197" t="s">
        <v>13</v>
      </c>
      <c r="E2197" s="8" t="s">
        <v>756</v>
      </c>
      <c r="F2197" t="s">
        <v>750</v>
      </c>
      <c r="G2197" s="8" t="s">
        <v>756</v>
      </c>
      <c r="H2197" t="s">
        <v>546</v>
      </c>
      <c r="I2197" t="e">
        <f>VLOOKUP(Tabela2[[#This Row],[Coluna7]],[1]!Tabela1[#All],2,0)</f>
        <v>#REF!</v>
      </c>
      <c r="L2197">
        <v>500</v>
      </c>
      <c r="N2197" t="s">
        <v>547</v>
      </c>
      <c r="Q2197" s="10" t="str">
        <f>Tabela2[[#This Row],[Coluna5]]</f>
        <v>02/2026</v>
      </c>
      <c r="R2197" s="10" t="str">
        <f>IF(Tabela2[[#This Row],[Coluna9]]&gt;0,"Entrada","Saída")</f>
        <v>Saída</v>
      </c>
      <c r="S2197" s="10">
        <f>Tabela2[[#This Row],[Coluna8]]</f>
        <v>0</v>
      </c>
      <c r="T2197" s="10" t="e">
        <f>Tabela2[[#This Row],[Coluna72]]</f>
        <v>#REF!</v>
      </c>
      <c r="U2197" s="10">
        <f>SUM(Tabela2[[#This Row],[Coluna9]],Tabela2[[#This Row],[Coluna10]])</f>
        <v>500</v>
      </c>
      <c r="V2197" s="2" t="str">
        <f>Tabela2[[#This Row],[Coluna4]]</f>
        <v>20/02/2026</v>
      </c>
      <c r="W2197" s="2" t="str">
        <f>Tabela2[[#This Row],[Coluna6]]</f>
        <v>20/02/2026</v>
      </c>
    </row>
    <row r="2198" spans="2:23" x14ac:dyDescent="0.2">
      <c r="B2198" t="s">
        <v>748</v>
      </c>
      <c r="C2198" t="s">
        <v>95</v>
      </c>
      <c r="D2198" t="s">
        <v>13</v>
      </c>
      <c r="E2198" s="8" t="s">
        <v>756</v>
      </c>
      <c r="F2198" t="s">
        <v>750</v>
      </c>
      <c r="G2198" s="8" t="s">
        <v>756</v>
      </c>
      <c r="H2198" t="s">
        <v>546</v>
      </c>
      <c r="I2198" t="e">
        <f>VLOOKUP(Tabela2[[#This Row],[Coluna7]],[1]!Tabela1[#All],2,0)</f>
        <v>#REF!</v>
      </c>
      <c r="L2198">
        <v>50</v>
      </c>
      <c r="N2198" t="s">
        <v>584</v>
      </c>
      <c r="Q2198" s="10" t="str">
        <f>Tabela2[[#This Row],[Coluna5]]</f>
        <v>02/2026</v>
      </c>
      <c r="R2198" s="10" t="str">
        <f>IF(Tabela2[[#This Row],[Coluna9]]&gt;0,"Entrada","Saída")</f>
        <v>Saída</v>
      </c>
      <c r="S2198" s="10">
        <f>Tabela2[[#This Row],[Coluna8]]</f>
        <v>0</v>
      </c>
      <c r="T2198" s="10" t="e">
        <f>Tabela2[[#This Row],[Coluna72]]</f>
        <v>#REF!</v>
      </c>
      <c r="U2198" s="10">
        <f>SUM(Tabela2[[#This Row],[Coluna9]],Tabela2[[#This Row],[Coluna10]])</f>
        <v>50</v>
      </c>
      <c r="V2198" s="2" t="str">
        <f>Tabela2[[#This Row],[Coluna4]]</f>
        <v>20/02/2026</v>
      </c>
      <c r="W2198" s="2" t="str">
        <f>Tabela2[[#This Row],[Coluna6]]</f>
        <v>20/02/2026</v>
      </c>
    </row>
    <row r="2199" spans="2:23" x14ac:dyDescent="0.2">
      <c r="B2199" t="s">
        <v>748</v>
      </c>
      <c r="C2199" t="s">
        <v>95</v>
      </c>
      <c r="D2199" t="s">
        <v>13</v>
      </c>
      <c r="E2199" s="8" t="s">
        <v>918</v>
      </c>
      <c r="F2199" t="s">
        <v>750</v>
      </c>
      <c r="G2199" s="8" t="s">
        <v>918</v>
      </c>
      <c r="H2199" t="s">
        <v>542</v>
      </c>
      <c r="I2199" t="e">
        <f>VLOOKUP(Tabela2[[#This Row],[Coluna7]],[1]!Tabela1[#All],2,0)</f>
        <v>#REF!</v>
      </c>
      <c r="L2199">
        <v>150</v>
      </c>
      <c r="N2199" t="s">
        <v>517</v>
      </c>
      <c r="Q2199" s="10" t="str">
        <f>Tabela2[[#This Row],[Coluna5]]</f>
        <v>02/2026</v>
      </c>
      <c r="R2199" s="10" t="str">
        <f>IF(Tabela2[[#This Row],[Coluna9]]&gt;0,"Entrada","Saída")</f>
        <v>Saída</v>
      </c>
      <c r="S2199" s="10">
        <f>Tabela2[[#This Row],[Coluna8]]</f>
        <v>0</v>
      </c>
      <c r="T2199" s="10" t="e">
        <f>Tabela2[[#This Row],[Coluna72]]</f>
        <v>#REF!</v>
      </c>
      <c r="U2199" s="10">
        <f>SUM(Tabela2[[#This Row],[Coluna9]],Tabela2[[#This Row],[Coluna10]])</f>
        <v>150</v>
      </c>
      <c r="V2199" s="2" t="str">
        <f>Tabela2[[#This Row],[Coluna4]]</f>
        <v>21/02/2026</v>
      </c>
      <c r="W2199" s="2" t="str">
        <f>Tabela2[[#This Row],[Coluna6]]</f>
        <v>21/02/2026</v>
      </c>
    </row>
    <row r="2200" spans="2:23" x14ac:dyDescent="0.2">
      <c r="B2200" t="s">
        <v>748</v>
      </c>
      <c r="C2200" t="s">
        <v>95</v>
      </c>
      <c r="D2200" t="s">
        <v>13</v>
      </c>
      <c r="E2200" s="8" t="s">
        <v>918</v>
      </c>
      <c r="F2200" t="s">
        <v>750</v>
      </c>
      <c r="G2200" s="8" t="s">
        <v>918</v>
      </c>
      <c r="H2200" t="s">
        <v>546</v>
      </c>
      <c r="I2200" t="e">
        <f>VLOOKUP(Tabela2[[#This Row],[Coluna7]],[1]!Tabela1[#All],2,0)</f>
        <v>#REF!</v>
      </c>
      <c r="L2200">
        <v>250</v>
      </c>
      <c r="N2200" t="s">
        <v>547</v>
      </c>
      <c r="Q2200" s="10" t="str">
        <f>Tabela2[[#This Row],[Coluna5]]</f>
        <v>02/2026</v>
      </c>
      <c r="R2200" s="10" t="str">
        <f>IF(Tabela2[[#This Row],[Coluna9]]&gt;0,"Entrada","Saída")</f>
        <v>Saída</v>
      </c>
      <c r="S2200" s="10">
        <f>Tabela2[[#This Row],[Coluna8]]</f>
        <v>0</v>
      </c>
      <c r="T2200" s="10" t="e">
        <f>Tabela2[[#This Row],[Coluna72]]</f>
        <v>#REF!</v>
      </c>
      <c r="U2200" s="10">
        <f>SUM(Tabela2[[#This Row],[Coluna9]],Tabela2[[#This Row],[Coluna10]])</f>
        <v>250</v>
      </c>
      <c r="V2200" s="2" t="str">
        <f>Tabela2[[#This Row],[Coluna4]]</f>
        <v>21/02/2026</v>
      </c>
      <c r="W2200" s="2" t="str">
        <f>Tabela2[[#This Row],[Coluna6]]</f>
        <v>21/02/2026</v>
      </c>
    </row>
    <row r="2201" spans="2:23" x14ac:dyDescent="0.2">
      <c r="B2201" t="s">
        <v>748</v>
      </c>
      <c r="C2201" t="s">
        <v>95</v>
      </c>
      <c r="D2201" t="s">
        <v>13</v>
      </c>
      <c r="E2201" s="8" t="s">
        <v>918</v>
      </c>
      <c r="F2201" t="s">
        <v>750</v>
      </c>
      <c r="G2201" s="8" t="s">
        <v>918</v>
      </c>
      <c r="H2201" t="s">
        <v>546</v>
      </c>
      <c r="I2201" t="e">
        <f>VLOOKUP(Tabela2[[#This Row],[Coluna7]],[1]!Tabela1[#All],2,0)</f>
        <v>#REF!</v>
      </c>
      <c r="L2201">
        <v>100</v>
      </c>
      <c r="N2201" t="s">
        <v>584</v>
      </c>
      <c r="Q2201" s="10" t="str">
        <f>Tabela2[[#This Row],[Coluna5]]</f>
        <v>02/2026</v>
      </c>
      <c r="R2201" s="10" t="str">
        <f>IF(Tabela2[[#This Row],[Coluna9]]&gt;0,"Entrada","Saída")</f>
        <v>Saída</v>
      </c>
      <c r="S2201" s="10">
        <f>Tabela2[[#This Row],[Coluna8]]</f>
        <v>0</v>
      </c>
      <c r="T2201" s="10" t="e">
        <f>Tabela2[[#This Row],[Coluna72]]</f>
        <v>#REF!</v>
      </c>
      <c r="U2201" s="10">
        <f>SUM(Tabela2[[#This Row],[Coluna9]],Tabela2[[#This Row],[Coluna10]])</f>
        <v>100</v>
      </c>
      <c r="V2201" s="2" t="str">
        <f>Tabela2[[#This Row],[Coluna4]]</f>
        <v>21/02/2026</v>
      </c>
      <c r="W2201" s="2" t="str">
        <f>Tabela2[[#This Row],[Coluna6]]</f>
        <v>21/02/2026</v>
      </c>
    </row>
    <row r="2202" spans="2:23" x14ac:dyDescent="0.2">
      <c r="B2202" t="s">
        <v>748</v>
      </c>
      <c r="C2202" t="s">
        <v>95</v>
      </c>
      <c r="D2202" t="s">
        <v>13</v>
      </c>
      <c r="E2202" s="8" t="s">
        <v>847</v>
      </c>
      <c r="F2202" t="s">
        <v>750</v>
      </c>
      <c r="G2202" s="8" t="s">
        <v>847</v>
      </c>
      <c r="H2202" t="s">
        <v>546</v>
      </c>
      <c r="I2202" t="e">
        <f>VLOOKUP(Tabela2[[#This Row],[Coluna7]],[1]!Tabela1[#All],2,0)</f>
        <v>#REF!</v>
      </c>
      <c r="L2202">
        <v>800</v>
      </c>
      <c r="N2202" t="s">
        <v>584</v>
      </c>
      <c r="Q2202" s="10" t="str">
        <f>Tabela2[[#This Row],[Coluna5]]</f>
        <v>02/2026</v>
      </c>
      <c r="R2202" s="10" t="str">
        <f>IF(Tabela2[[#This Row],[Coluna9]]&gt;0,"Entrada","Saída")</f>
        <v>Saída</v>
      </c>
      <c r="S2202" s="10">
        <f>Tabela2[[#This Row],[Coluna8]]</f>
        <v>0</v>
      </c>
      <c r="T2202" s="10" t="e">
        <f>Tabela2[[#This Row],[Coluna72]]</f>
        <v>#REF!</v>
      </c>
      <c r="U2202" s="10">
        <f>SUM(Tabela2[[#This Row],[Coluna9]],Tabela2[[#This Row],[Coluna10]])</f>
        <v>800</v>
      </c>
      <c r="V2202" s="2" t="str">
        <f>Tabela2[[#This Row],[Coluna4]]</f>
        <v>22/02/2026</v>
      </c>
      <c r="W2202" s="2" t="str">
        <f>Tabela2[[#This Row],[Coluna6]]</f>
        <v>22/02/2026</v>
      </c>
    </row>
    <row r="2203" spans="2:23" x14ac:dyDescent="0.2">
      <c r="B2203" t="s">
        <v>748</v>
      </c>
      <c r="C2203" t="s">
        <v>95</v>
      </c>
      <c r="D2203" t="s">
        <v>13</v>
      </c>
      <c r="E2203" s="8" t="s">
        <v>847</v>
      </c>
      <c r="F2203" t="s">
        <v>750</v>
      </c>
      <c r="G2203" s="8" t="s">
        <v>847</v>
      </c>
      <c r="H2203" t="s">
        <v>546</v>
      </c>
      <c r="I2203" t="e">
        <f>VLOOKUP(Tabela2[[#This Row],[Coluna7]],[1]!Tabela1[#All],2,0)</f>
        <v>#REF!</v>
      </c>
      <c r="L2203">
        <v>30</v>
      </c>
      <c r="N2203" t="s">
        <v>547</v>
      </c>
      <c r="Q2203" s="10" t="str">
        <f>Tabela2[[#This Row],[Coluna5]]</f>
        <v>02/2026</v>
      </c>
      <c r="R2203" s="10" t="str">
        <f>IF(Tabela2[[#This Row],[Coluna9]]&gt;0,"Entrada","Saída")</f>
        <v>Saída</v>
      </c>
      <c r="S2203" s="10">
        <f>Tabela2[[#This Row],[Coluna8]]</f>
        <v>0</v>
      </c>
      <c r="T2203" s="10" t="e">
        <f>Tabela2[[#This Row],[Coluna72]]</f>
        <v>#REF!</v>
      </c>
      <c r="U2203" s="10">
        <f>SUM(Tabela2[[#This Row],[Coluna9]],Tabela2[[#This Row],[Coluna10]])</f>
        <v>30</v>
      </c>
      <c r="V2203" s="2" t="str">
        <f>Tabela2[[#This Row],[Coluna4]]</f>
        <v>22/02/2026</v>
      </c>
      <c r="W2203" s="2" t="str">
        <f>Tabela2[[#This Row],[Coluna6]]</f>
        <v>22/02/2026</v>
      </c>
    </row>
    <row r="2204" spans="2:23" x14ac:dyDescent="0.2">
      <c r="B2204" t="s">
        <v>18</v>
      </c>
      <c r="C2204" t="s">
        <v>95</v>
      </c>
      <c r="D2204" t="s">
        <v>13</v>
      </c>
      <c r="E2204" s="8" t="s">
        <v>848</v>
      </c>
      <c r="F2204" t="s">
        <v>750</v>
      </c>
      <c r="G2204" s="8" t="s">
        <v>848</v>
      </c>
      <c r="H2204" t="s">
        <v>538</v>
      </c>
      <c r="I2204" t="e">
        <f>VLOOKUP(Tabela2[[#This Row],[Coluna7]],[1]!Tabela1[#All],2,0)</f>
        <v>#REF!</v>
      </c>
      <c r="J2204" t="s">
        <v>908</v>
      </c>
      <c r="L2204">
        <v>500</v>
      </c>
      <c r="M2204" t="s">
        <v>909</v>
      </c>
      <c r="N2204" t="s">
        <v>910</v>
      </c>
      <c r="Q2204" s="10" t="str">
        <f>Tabela2[[#This Row],[Coluna5]]</f>
        <v>02/2026</v>
      </c>
      <c r="R2204" s="10" t="str">
        <f>IF(Tabela2[[#This Row],[Coluna9]]&gt;0,"Entrada","Saída")</f>
        <v>Saída</v>
      </c>
      <c r="S2204" s="10" t="str">
        <f>Tabela2[[#This Row],[Coluna8]]</f>
        <v>EMPRESTIMO</v>
      </c>
      <c r="T2204" s="10" t="e">
        <f>Tabela2[[#This Row],[Coluna72]]</f>
        <v>#REF!</v>
      </c>
      <c r="U2204" s="10">
        <f>SUM(Tabela2[[#This Row],[Coluna9]],Tabela2[[#This Row],[Coluna10]])</f>
        <v>500</v>
      </c>
      <c r="V2204" s="2" t="str">
        <f>Tabela2[[#This Row],[Coluna4]]</f>
        <v>23/02/2026</v>
      </c>
      <c r="W2204" s="2" t="str">
        <f>Tabela2[[#This Row],[Coluna6]]</f>
        <v>23/02/2026</v>
      </c>
    </row>
    <row r="2205" spans="2:23" x14ac:dyDescent="0.2">
      <c r="B2205" t="s">
        <v>18</v>
      </c>
      <c r="C2205" t="s">
        <v>95</v>
      </c>
      <c r="D2205" t="s">
        <v>13</v>
      </c>
      <c r="E2205" s="8" t="s">
        <v>848</v>
      </c>
      <c r="F2205" t="s">
        <v>750</v>
      </c>
      <c r="G2205" s="8" t="s">
        <v>848</v>
      </c>
      <c r="H2205" t="s">
        <v>551</v>
      </c>
      <c r="I2205" t="e">
        <f>VLOOKUP(Tabela2[[#This Row],[Coluna7]],[1]!Tabela1[#All],2,0)</f>
        <v>#REF!</v>
      </c>
      <c r="J2205" t="s">
        <v>637</v>
      </c>
      <c r="L2205">
        <v>12</v>
      </c>
      <c r="Q2205" s="10" t="str">
        <f>Tabela2[[#This Row],[Coluna5]]</f>
        <v>02/2026</v>
      </c>
      <c r="R2205" s="10" t="str">
        <f>IF(Tabela2[[#This Row],[Coluna9]]&gt;0,"Entrada","Saída")</f>
        <v>Saída</v>
      </c>
      <c r="S2205" s="10" t="str">
        <f>Tabela2[[#This Row],[Coluna8]]</f>
        <v>INSS</v>
      </c>
      <c r="T2205" s="10" t="e">
        <f>Tabela2[[#This Row],[Coluna72]]</f>
        <v>#REF!</v>
      </c>
      <c r="U2205" s="10">
        <f>SUM(Tabela2[[#This Row],[Coluna9]],Tabela2[[#This Row],[Coluna10]])</f>
        <v>12</v>
      </c>
      <c r="V2205" s="2" t="str">
        <f>Tabela2[[#This Row],[Coluna4]]</f>
        <v>23/02/2026</v>
      </c>
      <c r="W2205" s="2" t="str">
        <f>Tabela2[[#This Row],[Coluna6]]</f>
        <v>23/02/2026</v>
      </c>
    </row>
    <row r="2206" spans="2:23" x14ac:dyDescent="0.2">
      <c r="B2206" t="s">
        <v>18</v>
      </c>
      <c r="C2206" t="s">
        <v>95</v>
      </c>
      <c r="D2206" t="s">
        <v>13</v>
      </c>
      <c r="E2206" s="8" t="s">
        <v>848</v>
      </c>
      <c r="F2206" t="s">
        <v>750</v>
      </c>
      <c r="G2206" s="8" t="s">
        <v>848</v>
      </c>
      <c r="H2206" t="s">
        <v>546</v>
      </c>
      <c r="I2206" t="e">
        <f>VLOOKUP(Tabela2[[#This Row],[Coluna7]],[1]!Tabela1[#All],2,0)</f>
        <v>#REF!</v>
      </c>
      <c r="J2206" t="s">
        <v>584</v>
      </c>
      <c r="L2206">
        <v>150</v>
      </c>
      <c r="N2206" t="s">
        <v>584</v>
      </c>
      <c r="Q2206" s="10" t="str">
        <f>Tabela2[[#This Row],[Coluna5]]</f>
        <v>02/2026</v>
      </c>
      <c r="R2206" s="10" t="str">
        <f>IF(Tabela2[[#This Row],[Coluna9]]&gt;0,"Entrada","Saída")</f>
        <v>Saída</v>
      </c>
      <c r="S2206" s="10" t="str">
        <f>Tabela2[[#This Row],[Coluna8]]</f>
        <v>ELIEL ANTONIO DA SILVA</v>
      </c>
      <c r="T2206" s="10" t="e">
        <f>Tabela2[[#This Row],[Coluna72]]</f>
        <v>#REF!</v>
      </c>
      <c r="U2206" s="10">
        <f>SUM(Tabela2[[#This Row],[Coluna9]],Tabela2[[#This Row],[Coluna10]])</f>
        <v>150</v>
      </c>
      <c r="V2206" s="2" t="str">
        <f>Tabela2[[#This Row],[Coluna4]]</f>
        <v>23/02/2026</v>
      </c>
      <c r="W2206" s="2" t="str">
        <f>Tabela2[[#This Row],[Coluna6]]</f>
        <v>23/02/2026</v>
      </c>
    </row>
    <row r="2207" spans="2:23" x14ac:dyDescent="0.2">
      <c r="B2207" t="s">
        <v>18</v>
      </c>
      <c r="C2207" t="s">
        <v>95</v>
      </c>
      <c r="D2207" t="s">
        <v>13</v>
      </c>
      <c r="E2207" s="8" t="s">
        <v>848</v>
      </c>
      <c r="F2207" t="s">
        <v>750</v>
      </c>
      <c r="G2207" s="8" t="s">
        <v>848</v>
      </c>
      <c r="H2207" t="s">
        <v>542</v>
      </c>
      <c r="I2207" t="e">
        <f>VLOOKUP(Tabela2[[#This Row],[Coluna7]],[1]!Tabela1[#All],2,0)</f>
        <v>#REF!</v>
      </c>
      <c r="L2207">
        <v>250</v>
      </c>
      <c r="N2207" t="s">
        <v>583</v>
      </c>
      <c r="Q2207" s="10" t="str">
        <f>Tabela2[[#This Row],[Coluna5]]</f>
        <v>02/2026</v>
      </c>
      <c r="R2207" s="10" t="str">
        <f>IF(Tabela2[[#This Row],[Coluna9]]&gt;0,"Entrada","Saída")</f>
        <v>Saída</v>
      </c>
      <c r="S2207" s="10">
        <f>Tabela2[[#This Row],[Coluna8]]</f>
        <v>0</v>
      </c>
      <c r="T2207" s="10" t="e">
        <f>Tabela2[[#This Row],[Coluna72]]</f>
        <v>#REF!</v>
      </c>
      <c r="U2207" s="10">
        <f>SUM(Tabela2[[#This Row],[Coluna9]],Tabela2[[#This Row],[Coluna10]])</f>
        <v>250</v>
      </c>
      <c r="V2207" s="2" t="str">
        <f>Tabela2[[#This Row],[Coluna4]]</f>
        <v>23/02/2026</v>
      </c>
      <c r="W2207" s="2" t="str">
        <f>Tabela2[[#This Row],[Coluna6]]</f>
        <v>23/02/2026</v>
      </c>
    </row>
    <row r="2208" spans="2:23" x14ac:dyDescent="0.2">
      <c r="B2208" t="s">
        <v>748</v>
      </c>
      <c r="C2208" t="s">
        <v>95</v>
      </c>
      <c r="D2208" t="s">
        <v>13</v>
      </c>
      <c r="E2208" s="8" t="s">
        <v>848</v>
      </c>
      <c r="F2208" t="s">
        <v>750</v>
      </c>
      <c r="G2208" s="8" t="s">
        <v>848</v>
      </c>
      <c r="H2208" t="s">
        <v>570</v>
      </c>
      <c r="I2208" t="e">
        <f>VLOOKUP(Tabela2[[#This Row],[Coluna7]],[1]!Tabela1[#All],2,0)</f>
        <v>#REF!</v>
      </c>
      <c r="L2208">
        <v>17</v>
      </c>
      <c r="Q2208" s="10" t="str">
        <f>Tabela2[[#This Row],[Coluna5]]</f>
        <v>02/2026</v>
      </c>
      <c r="R2208" s="10" t="str">
        <f>IF(Tabela2[[#This Row],[Coluna9]]&gt;0,"Entrada","Saída")</f>
        <v>Saída</v>
      </c>
      <c r="S2208" s="10">
        <f>Tabela2[[#This Row],[Coluna8]]</f>
        <v>0</v>
      </c>
      <c r="T2208" s="10" t="e">
        <f>Tabela2[[#This Row],[Coluna72]]</f>
        <v>#REF!</v>
      </c>
      <c r="U2208" s="10">
        <f>SUM(Tabela2[[#This Row],[Coluna9]],Tabela2[[#This Row],[Coluna10]])</f>
        <v>17</v>
      </c>
      <c r="V2208" s="2" t="str">
        <f>Tabela2[[#This Row],[Coluna4]]</f>
        <v>23/02/2026</v>
      </c>
      <c r="W2208" s="2" t="str">
        <f>Tabela2[[#This Row],[Coluna6]]</f>
        <v>23/02/2026</v>
      </c>
    </row>
    <row r="2209" spans="2:23" x14ac:dyDescent="0.2">
      <c r="B2209" t="s">
        <v>18</v>
      </c>
      <c r="C2209" t="s">
        <v>95</v>
      </c>
      <c r="D2209" t="s">
        <v>13</v>
      </c>
      <c r="E2209" s="8" t="s">
        <v>757</v>
      </c>
      <c r="F2209" t="s">
        <v>750</v>
      </c>
      <c r="G2209" s="8" t="s">
        <v>757</v>
      </c>
      <c r="H2209" t="s">
        <v>570</v>
      </c>
      <c r="I2209" t="e">
        <f>VLOOKUP(Tabela2[[#This Row],[Coluna7]],[1]!Tabela1[#All],2,0)</f>
        <v>#REF!</v>
      </c>
      <c r="L2209">
        <v>10</v>
      </c>
      <c r="Q2209" s="10" t="str">
        <f>Tabela2[[#This Row],[Coluna5]]</f>
        <v>02/2026</v>
      </c>
      <c r="R2209" s="10" t="str">
        <f>IF(Tabela2[[#This Row],[Coluna9]]&gt;0,"Entrada","Saída")</f>
        <v>Saída</v>
      </c>
      <c r="S2209" s="10">
        <f>Tabela2[[#This Row],[Coluna8]]</f>
        <v>0</v>
      </c>
      <c r="T2209" s="10" t="e">
        <f>Tabela2[[#This Row],[Coluna72]]</f>
        <v>#REF!</v>
      </c>
      <c r="U2209" s="10">
        <f>SUM(Tabela2[[#This Row],[Coluna9]],Tabela2[[#This Row],[Coluna10]])</f>
        <v>10</v>
      </c>
      <c r="V2209" s="2" t="str">
        <f>Tabela2[[#This Row],[Coluna4]]</f>
        <v>24/02/2026</v>
      </c>
      <c r="W2209" s="2" t="str">
        <f>Tabela2[[#This Row],[Coluna6]]</f>
        <v>24/02/2026</v>
      </c>
    </row>
    <row r="2210" spans="2:23" x14ac:dyDescent="0.2">
      <c r="B2210" t="s">
        <v>18</v>
      </c>
      <c r="C2210" t="s">
        <v>125</v>
      </c>
      <c r="D2210" t="s">
        <v>13</v>
      </c>
      <c r="E2210" s="8" t="s">
        <v>757</v>
      </c>
      <c r="F2210" t="s">
        <v>750</v>
      </c>
      <c r="G2210" s="8" t="s">
        <v>757</v>
      </c>
      <c r="H2210" t="s">
        <v>919</v>
      </c>
      <c r="I2210" t="e">
        <f>VLOOKUP(Tabela2[[#This Row],[Coluna7]],[1]!Tabela1[#All],2,0)</f>
        <v>#REF!</v>
      </c>
      <c r="L2210">
        <v>5700</v>
      </c>
      <c r="M2210" t="s">
        <v>171</v>
      </c>
      <c r="N2210" t="s">
        <v>172</v>
      </c>
      <c r="Q2210" s="10" t="str">
        <f>Tabela2[[#This Row],[Coluna5]]</f>
        <v>02/2026</v>
      </c>
      <c r="R2210" s="10" t="str">
        <f>IF(Tabela2[[#This Row],[Coluna9]]&gt;0,"Entrada","Saída")</f>
        <v>Saída</v>
      </c>
      <c r="S2210" s="10">
        <f>Tabela2[[#This Row],[Coluna8]]</f>
        <v>0</v>
      </c>
      <c r="T2210" s="10" t="e">
        <f>Tabela2[[#This Row],[Coluna72]]</f>
        <v>#REF!</v>
      </c>
      <c r="U2210" s="10">
        <f>SUM(Tabela2[[#This Row],[Coluna9]],Tabela2[[#This Row],[Coluna10]])</f>
        <v>5700</v>
      </c>
      <c r="V2210" s="2" t="str">
        <f>Tabela2[[#This Row],[Coluna4]]</f>
        <v>24/02/2026</v>
      </c>
      <c r="W2210" s="2" t="str">
        <f>Tabela2[[#This Row],[Coluna6]]</f>
        <v>24/02/2026</v>
      </c>
    </row>
    <row r="2211" spans="2:23" x14ac:dyDescent="0.2">
      <c r="B2211" t="s">
        <v>748</v>
      </c>
      <c r="C2211" t="s">
        <v>95</v>
      </c>
      <c r="D2211" t="s">
        <v>13</v>
      </c>
      <c r="E2211" s="8" t="s">
        <v>757</v>
      </c>
      <c r="F2211" t="s">
        <v>750</v>
      </c>
      <c r="G2211" s="8" t="s">
        <v>757</v>
      </c>
      <c r="H2211" t="s">
        <v>919</v>
      </c>
      <c r="I2211" t="e">
        <f>VLOOKUP(Tabela2[[#This Row],[Coluna7]],[1]!Tabela1[#All],2,0)</f>
        <v>#REF!</v>
      </c>
      <c r="L2211">
        <v>6300</v>
      </c>
      <c r="M2211" t="s">
        <v>171</v>
      </c>
      <c r="N2211" t="s">
        <v>172</v>
      </c>
      <c r="Q2211" s="10" t="str">
        <f>Tabela2[[#This Row],[Coluna5]]</f>
        <v>02/2026</v>
      </c>
      <c r="R2211" s="10" t="str">
        <f>IF(Tabela2[[#This Row],[Coluna9]]&gt;0,"Entrada","Saída")</f>
        <v>Saída</v>
      </c>
      <c r="S2211" s="10">
        <f>Tabela2[[#This Row],[Coluna8]]</f>
        <v>0</v>
      </c>
      <c r="T2211" s="10" t="e">
        <f>Tabela2[[#This Row],[Coluna72]]</f>
        <v>#REF!</v>
      </c>
      <c r="U2211" s="10">
        <f>SUM(Tabela2[[#This Row],[Coluna9]],Tabela2[[#This Row],[Coluna10]])</f>
        <v>6300</v>
      </c>
      <c r="V2211" s="2" t="str">
        <f>Tabela2[[#This Row],[Coluna4]]</f>
        <v>24/02/2026</v>
      </c>
      <c r="W2211" s="2" t="str">
        <f>Tabela2[[#This Row],[Coluna6]]</f>
        <v>24/02/2026</v>
      </c>
    </row>
    <row r="2212" spans="2:23" x14ac:dyDescent="0.2">
      <c r="B2212" t="s">
        <v>27</v>
      </c>
      <c r="C2212" t="s">
        <v>95</v>
      </c>
      <c r="D2212" t="s">
        <v>13</v>
      </c>
      <c r="E2212" s="8" t="s">
        <v>850</v>
      </c>
      <c r="F2212" t="s">
        <v>750</v>
      </c>
      <c r="G2212" s="8" t="s">
        <v>850</v>
      </c>
      <c r="H2212" t="s">
        <v>919</v>
      </c>
      <c r="I2212" t="e">
        <f>VLOOKUP(Tabela2[[#This Row],[Coluna7]],[1]!Tabela1[#All],2,0)</f>
        <v>#REF!</v>
      </c>
      <c r="L2212">
        <v>12000</v>
      </c>
      <c r="M2212" t="s">
        <v>171</v>
      </c>
      <c r="N2212" t="s">
        <v>172</v>
      </c>
      <c r="Q2212" s="10" t="str">
        <f>Tabela2[[#This Row],[Coluna5]]</f>
        <v>02/2026</v>
      </c>
      <c r="R2212" s="10" t="str">
        <f>IF(Tabela2[[#This Row],[Coluna9]]&gt;0,"Entrada","Saída")</f>
        <v>Saída</v>
      </c>
      <c r="S2212" s="10">
        <f>Tabela2[[#This Row],[Coluna8]]</f>
        <v>0</v>
      </c>
      <c r="T2212" s="10" t="e">
        <f>Tabela2[[#This Row],[Coluna72]]</f>
        <v>#REF!</v>
      </c>
      <c r="U2212" s="10">
        <f>SUM(Tabela2[[#This Row],[Coluna9]],Tabela2[[#This Row],[Coluna10]])</f>
        <v>12000</v>
      </c>
      <c r="V2212" s="2" t="str">
        <f>Tabela2[[#This Row],[Coluna4]]</f>
        <v>25/02/2026</v>
      </c>
      <c r="W2212" s="2" t="str">
        <f>Tabela2[[#This Row],[Coluna6]]</f>
        <v>25/02/2026</v>
      </c>
    </row>
    <row r="2213" spans="2:23" x14ac:dyDescent="0.2">
      <c r="B2213" t="s">
        <v>748</v>
      </c>
      <c r="C2213" t="s">
        <v>95</v>
      </c>
      <c r="D2213" t="s">
        <v>13</v>
      </c>
      <c r="E2213" s="8" t="s">
        <v>850</v>
      </c>
      <c r="F2213" t="s">
        <v>750</v>
      </c>
      <c r="G2213" s="8" t="s">
        <v>850</v>
      </c>
      <c r="H2213" t="s">
        <v>557</v>
      </c>
      <c r="I2213" t="e">
        <f>VLOOKUP(Tabela2[[#This Row],[Coluna7]],[1]!Tabela1[#All],2,0)</f>
        <v>#REF!</v>
      </c>
      <c r="L2213">
        <v>216</v>
      </c>
      <c r="M2213" t="s">
        <v>171</v>
      </c>
      <c r="N2213" t="s">
        <v>172</v>
      </c>
      <c r="Q2213" s="10" t="str">
        <f>Tabela2[[#This Row],[Coluna5]]</f>
        <v>02/2026</v>
      </c>
      <c r="R2213" s="10" t="str">
        <f>IF(Tabela2[[#This Row],[Coluna9]]&gt;0,"Entrada","Saída")</f>
        <v>Saída</v>
      </c>
      <c r="S2213" s="10">
        <f>Tabela2[[#This Row],[Coluna8]]</f>
        <v>0</v>
      </c>
      <c r="T2213" s="10" t="e">
        <f>Tabela2[[#This Row],[Coluna72]]</f>
        <v>#REF!</v>
      </c>
      <c r="U2213" s="10">
        <f>SUM(Tabela2[[#This Row],[Coluna9]],Tabela2[[#This Row],[Coluna10]])</f>
        <v>216</v>
      </c>
      <c r="V2213" s="2" t="str">
        <f>Tabela2[[#This Row],[Coluna4]]</f>
        <v>25/02/2026</v>
      </c>
      <c r="W2213" s="2" t="str">
        <f>Tabela2[[#This Row],[Coluna6]]</f>
        <v>25/02/2026</v>
      </c>
    </row>
    <row r="2214" spans="2:23" x14ac:dyDescent="0.2">
      <c r="B2214" t="s">
        <v>748</v>
      </c>
      <c r="C2214" t="s">
        <v>95</v>
      </c>
      <c r="D2214" t="s">
        <v>13</v>
      </c>
      <c r="E2214" s="8" t="s">
        <v>850</v>
      </c>
      <c r="F2214" t="s">
        <v>750</v>
      </c>
      <c r="G2214" s="8" t="s">
        <v>850</v>
      </c>
      <c r="H2214" t="s">
        <v>570</v>
      </c>
      <c r="I2214" t="e">
        <f>VLOOKUP(Tabela2[[#This Row],[Coluna7]],[1]!Tabela1[#All],2,0)</f>
        <v>#REF!</v>
      </c>
      <c r="L2214">
        <v>22</v>
      </c>
      <c r="Q2214" s="10" t="str">
        <f>Tabela2[[#This Row],[Coluna5]]</f>
        <v>02/2026</v>
      </c>
      <c r="R2214" s="10" t="str">
        <f>IF(Tabela2[[#This Row],[Coluna9]]&gt;0,"Entrada","Saída")</f>
        <v>Saída</v>
      </c>
      <c r="S2214" s="10">
        <f>Tabela2[[#This Row],[Coluna8]]</f>
        <v>0</v>
      </c>
      <c r="T2214" s="10" t="e">
        <f>Tabela2[[#This Row],[Coluna72]]</f>
        <v>#REF!</v>
      </c>
      <c r="U2214" s="10">
        <f>SUM(Tabela2[[#This Row],[Coluna9]],Tabela2[[#This Row],[Coluna10]])</f>
        <v>22</v>
      </c>
      <c r="V2214" s="2" t="str">
        <f>Tabela2[[#This Row],[Coluna4]]</f>
        <v>25/02/2026</v>
      </c>
      <c r="W2214" s="2" t="str">
        <f>Tabela2[[#This Row],[Coluna6]]</f>
        <v>25/02/2026</v>
      </c>
    </row>
    <row r="2215" spans="2:23" x14ac:dyDescent="0.2">
      <c r="B2215" t="s">
        <v>18</v>
      </c>
      <c r="C2215" t="s">
        <v>95</v>
      </c>
      <c r="D2215" t="s">
        <v>13</v>
      </c>
      <c r="E2215" s="8" t="s">
        <v>758</v>
      </c>
      <c r="F2215" t="s">
        <v>750</v>
      </c>
      <c r="G2215" s="8" t="s">
        <v>758</v>
      </c>
      <c r="H2215" t="s">
        <v>542</v>
      </c>
      <c r="I2215" t="e">
        <f>VLOOKUP(Tabela2[[#This Row],[Coluna7]],[1]!Tabela1[#All],2,0)</f>
        <v>#REF!</v>
      </c>
      <c r="L2215">
        <v>500</v>
      </c>
      <c r="N2215" t="s">
        <v>583</v>
      </c>
      <c r="Q2215" s="10" t="str">
        <f>Tabela2[[#This Row],[Coluna5]]</f>
        <v>02/2026</v>
      </c>
      <c r="R2215" s="10" t="str">
        <f>IF(Tabela2[[#This Row],[Coluna9]]&gt;0,"Entrada","Saída")</f>
        <v>Saída</v>
      </c>
      <c r="S2215" s="10">
        <f>Tabela2[[#This Row],[Coluna8]]</f>
        <v>0</v>
      </c>
      <c r="T2215" s="10" t="e">
        <f>Tabela2[[#This Row],[Coluna72]]</f>
        <v>#REF!</v>
      </c>
      <c r="U2215" s="10">
        <f>SUM(Tabela2[[#This Row],[Coluna9]],Tabela2[[#This Row],[Coluna10]])</f>
        <v>500</v>
      </c>
      <c r="V2215" s="2" t="str">
        <f>Tabela2[[#This Row],[Coluna4]]</f>
        <v>26/02/2026</v>
      </c>
      <c r="W2215" s="2" t="str">
        <f>Tabela2[[#This Row],[Coluna6]]</f>
        <v>26/02/2026</v>
      </c>
    </row>
    <row r="2216" spans="2:23" x14ac:dyDescent="0.2">
      <c r="B2216" t="s">
        <v>18</v>
      </c>
      <c r="C2216" t="s">
        <v>95</v>
      </c>
      <c r="D2216" t="s">
        <v>13</v>
      </c>
      <c r="E2216" s="8" t="s">
        <v>758</v>
      </c>
      <c r="F2216" t="s">
        <v>750</v>
      </c>
      <c r="G2216" s="8" t="s">
        <v>758</v>
      </c>
      <c r="H2216" t="s">
        <v>919</v>
      </c>
      <c r="I2216" t="e">
        <f>VLOOKUP(Tabela2[[#This Row],[Coluna7]],[1]!Tabela1[#All],2,0)</f>
        <v>#REF!</v>
      </c>
      <c r="L2216">
        <v>1000</v>
      </c>
      <c r="N2216" t="s">
        <v>584</v>
      </c>
      <c r="Q2216" s="10" t="str">
        <f>Tabela2[[#This Row],[Coluna5]]</f>
        <v>02/2026</v>
      </c>
      <c r="R2216" s="10" t="str">
        <f>IF(Tabela2[[#This Row],[Coluna9]]&gt;0,"Entrada","Saída")</f>
        <v>Saída</v>
      </c>
      <c r="S2216" s="10">
        <f>Tabela2[[#This Row],[Coluna8]]</f>
        <v>0</v>
      </c>
      <c r="T2216" s="10" t="e">
        <f>Tabela2[[#This Row],[Coluna72]]</f>
        <v>#REF!</v>
      </c>
      <c r="U2216" s="10">
        <f>SUM(Tabela2[[#This Row],[Coluna9]],Tabela2[[#This Row],[Coluna10]])</f>
        <v>1000</v>
      </c>
      <c r="V2216" s="2" t="str">
        <f>Tabela2[[#This Row],[Coluna4]]</f>
        <v>26/02/2026</v>
      </c>
      <c r="W2216" s="2" t="str">
        <f>Tabela2[[#This Row],[Coluna6]]</f>
        <v>26/02/2026</v>
      </c>
    </row>
    <row r="2217" spans="2:23" x14ac:dyDescent="0.2">
      <c r="B2217" t="s">
        <v>748</v>
      </c>
      <c r="C2217" t="s">
        <v>95</v>
      </c>
      <c r="D2217" t="s">
        <v>13</v>
      </c>
      <c r="E2217" s="8" t="s">
        <v>758</v>
      </c>
      <c r="F2217" t="s">
        <v>750</v>
      </c>
      <c r="G2217" s="8" t="s">
        <v>758</v>
      </c>
      <c r="H2217" t="s">
        <v>546</v>
      </c>
      <c r="I2217" t="e">
        <f>VLOOKUP(Tabela2[[#This Row],[Coluna7]],[1]!Tabela1[#All],2,0)</f>
        <v>#REF!</v>
      </c>
      <c r="L2217">
        <v>100</v>
      </c>
      <c r="N2217" t="s">
        <v>547</v>
      </c>
      <c r="Q2217" s="10" t="str">
        <f>Tabela2[[#This Row],[Coluna5]]</f>
        <v>02/2026</v>
      </c>
      <c r="R2217" s="10" t="str">
        <f>IF(Tabela2[[#This Row],[Coluna9]]&gt;0,"Entrada","Saída")</f>
        <v>Saída</v>
      </c>
      <c r="S2217" s="10">
        <f>Tabela2[[#This Row],[Coluna8]]</f>
        <v>0</v>
      </c>
      <c r="T2217" s="10" t="e">
        <f>Tabela2[[#This Row],[Coluna72]]</f>
        <v>#REF!</v>
      </c>
      <c r="U2217" s="10">
        <f>SUM(Tabela2[[#This Row],[Coluna9]],Tabela2[[#This Row],[Coluna10]])</f>
        <v>100</v>
      </c>
      <c r="V2217" s="2" t="str">
        <f>Tabela2[[#This Row],[Coluna4]]</f>
        <v>26/02/2026</v>
      </c>
      <c r="W2217" s="2" t="str">
        <f>Tabela2[[#This Row],[Coluna6]]</f>
        <v>26/02/2026</v>
      </c>
    </row>
    <row r="2218" spans="2:23" x14ac:dyDescent="0.2">
      <c r="B2218" t="s">
        <v>18</v>
      </c>
      <c r="C2218" t="s">
        <v>95</v>
      </c>
      <c r="D2218" t="s">
        <v>13</v>
      </c>
      <c r="E2218" s="8" t="s">
        <v>855</v>
      </c>
      <c r="F2218" t="s">
        <v>750</v>
      </c>
      <c r="G2218" s="8" t="s">
        <v>855</v>
      </c>
      <c r="H2218" t="s">
        <v>570</v>
      </c>
      <c r="I2218" t="e">
        <f>VLOOKUP(Tabela2[[#This Row],[Coluna7]],[1]!Tabela1[#All],2,0)</f>
        <v>#REF!</v>
      </c>
      <c r="L2218">
        <v>256</v>
      </c>
      <c r="Q2218" s="10" t="str">
        <f>Tabela2[[#This Row],[Coluna5]]</f>
        <v>02/2026</v>
      </c>
      <c r="R2218" s="10" t="str">
        <f>IF(Tabela2[[#This Row],[Coluna9]]&gt;0,"Entrada","Saída")</f>
        <v>Saída</v>
      </c>
      <c r="S2218" s="10">
        <f>Tabela2[[#This Row],[Coluna8]]</f>
        <v>0</v>
      </c>
      <c r="T2218" s="10" t="e">
        <f>Tabela2[[#This Row],[Coluna72]]</f>
        <v>#REF!</v>
      </c>
      <c r="U2218" s="10">
        <f>SUM(Tabela2[[#This Row],[Coluna9]],Tabela2[[#This Row],[Coluna10]])</f>
        <v>256</v>
      </c>
      <c r="V2218" s="2" t="str">
        <f>Tabela2[[#This Row],[Coluna4]]</f>
        <v>27/02/2026</v>
      </c>
      <c r="W2218" s="2" t="str">
        <f>Tabela2[[#This Row],[Coluna6]]</f>
        <v>27/02/2026</v>
      </c>
    </row>
    <row r="2219" spans="2:23" x14ac:dyDescent="0.2">
      <c r="B2219" t="s">
        <v>18</v>
      </c>
      <c r="C2219" t="s">
        <v>95</v>
      </c>
      <c r="D2219" t="s">
        <v>13</v>
      </c>
      <c r="E2219" s="8" t="s">
        <v>855</v>
      </c>
      <c r="F2219" t="s">
        <v>750</v>
      </c>
      <c r="G2219" s="8" t="s">
        <v>855</v>
      </c>
      <c r="H2219" t="s">
        <v>570</v>
      </c>
      <c r="I2219" t="e">
        <f>VLOOKUP(Tabela2[[#This Row],[Coluna7]],[1]!Tabela1[#All],2,0)</f>
        <v>#REF!</v>
      </c>
      <c r="J2219" t="s">
        <v>638</v>
      </c>
      <c r="L2219">
        <v>10</v>
      </c>
      <c r="Q2219" s="10" t="str">
        <f>Tabela2[[#This Row],[Coluna5]]</f>
        <v>02/2026</v>
      </c>
      <c r="R2219" s="10" t="str">
        <f>IF(Tabela2[[#This Row],[Coluna9]]&gt;0,"Entrada","Saída")</f>
        <v>Saída</v>
      </c>
      <c r="S2219" s="10" t="str">
        <f>Tabela2[[#This Row],[Coluna8]]</f>
        <v>GESSO</v>
      </c>
      <c r="T2219" s="10" t="e">
        <f>Tabela2[[#This Row],[Coluna72]]</f>
        <v>#REF!</v>
      </c>
      <c r="U2219" s="10">
        <f>SUM(Tabela2[[#This Row],[Coluna9]],Tabela2[[#This Row],[Coluna10]])</f>
        <v>10</v>
      </c>
      <c r="V2219" s="2" t="str">
        <f>Tabela2[[#This Row],[Coluna4]]</f>
        <v>27/02/2026</v>
      </c>
      <c r="W2219" s="2" t="str">
        <f>Tabela2[[#This Row],[Coluna6]]</f>
        <v>27/02/2026</v>
      </c>
    </row>
    <row r="2220" spans="2:23" x14ac:dyDescent="0.2">
      <c r="B2220" t="s">
        <v>18</v>
      </c>
      <c r="C2220" t="s">
        <v>95</v>
      </c>
      <c r="D2220" t="s">
        <v>13</v>
      </c>
      <c r="E2220" s="8" t="s">
        <v>855</v>
      </c>
      <c r="F2220" t="s">
        <v>750</v>
      </c>
      <c r="G2220" s="8" t="s">
        <v>855</v>
      </c>
      <c r="H2220" t="s">
        <v>570</v>
      </c>
      <c r="I2220" t="e">
        <f>VLOOKUP(Tabela2[[#This Row],[Coluna7]],[1]!Tabela1[#All],2,0)</f>
        <v>#REF!</v>
      </c>
      <c r="L2220">
        <v>15</v>
      </c>
      <c r="Q2220" s="10" t="str">
        <f>Tabela2[[#This Row],[Coluna5]]</f>
        <v>02/2026</v>
      </c>
      <c r="R2220" s="10" t="str">
        <f>IF(Tabela2[[#This Row],[Coluna9]]&gt;0,"Entrada","Saída")</f>
        <v>Saída</v>
      </c>
      <c r="S2220" s="10">
        <f>Tabela2[[#This Row],[Coluna8]]</f>
        <v>0</v>
      </c>
      <c r="T2220" s="10" t="e">
        <f>Tabela2[[#This Row],[Coluna72]]</f>
        <v>#REF!</v>
      </c>
      <c r="U2220" s="10">
        <f>SUM(Tabela2[[#This Row],[Coluna9]],Tabela2[[#This Row],[Coluna10]])</f>
        <v>15</v>
      </c>
      <c r="V2220" s="2" t="str">
        <f>Tabela2[[#This Row],[Coluna4]]</f>
        <v>27/02/2026</v>
      </c>
      <c r="W2220" s="2" t="str">
        <f>Tabela2[[#This Row],[Coluna6]]</f>
        <v>27/02/2026</v>
      </c>
    </row>
    <row r="2221" spans="2:23" x14ac:dyDescent="0.2">
      <c r="B2221" t="s">
        <v>18</v>
      </c>
      <c r="C2221" t="s">
        <v>95</v>
      </c>
      <c r="D2221" t="s">
        <v>13</v>
      </c>
      <c r="E2221" s="8" t="s">
        <v>855</v>
      </c>
      <c r="F2221" t="s">
        <v>750</v>
      </c>
      <c r="G2221" s="8" t="s">
        <v>855</v>
      </c>
      <c r="H2221" t="s">
        <v>570</v>
      </c>
      <c r="I2221" t="e">
        <f>VLOOKUP(Tabela2[[#This Row],[Coluna7]],[1]!Tabela1[#All],2,0)</f>
        <v>#REF!</v>
      </c>
      <c r="J2221" t="s">
        <v>920</v>
      </c>
      <c r="L2221">
        <v>18</v>
      </c>
      <c r="Q2221" s="10" t="str">
        <f>Tabela2[[#This Row],[Coluna5]]</f>
        <v>02/2026</v>
      </c>
      <c r="R2221" s="10" t="str">
        <f>IF(Tabela2[[#This Row],[Coluna9]]&gt;0,"Entrada","Saída")</f>
        <v>Saída</v>
      </c>
      <c r="S2221" s="10" t="str">
        <f>Tabela2[[#This Row],[Coluna8]]</f>
        <v>ANDERSON ALVES SILVA</v>
      </c>
      <c r="T2221" s="10" t="e">
        <f>Tabela2[[#This Row],[Coluna72]]</f>
        <v>#REF!</v>
      </c>
      <c r="U2221" s="10">
        <f>SUM(Tabela2[[#This Row],[Coluna9]],Tabela2[[#This Row],[Coluna10]])</f>
        <v>18</v>
      </c>
      <c r="V2221" s="2" t="str">
        <f>Tabela2[[#This Row],[Coluna4]]</f>
        <v>27/02/2026</v>
      </c>
      <c r="W2221" s="2" t="str">
        <f>Tabela2[[#This Row],[Coluna6]]</f>
        <v>27/02/2026</v>
      </c>
    </row>
    <row r="2222" spans="2:23" x14ac:dyDescent="0.2">
      <c r="B2222" t="s">
        <v>921</v>
      </c>
      <c r="C2222" t="s">
        <v>95</v>
      </c>
      <c r="D2222" t="s">
        <v>13</v>
      </c>
      <c r="E2222" s="8" t="s">
        <v>855</v>
      </c>
      <c r="F2222" t="s">
        <v>750</v>
      </c>
      <c r="G2222" s="8" t="s">
        <v>855</v>
      </c>
      <c r="H2222" t="s">
        <v>546</v>
      </c>
      <c r="I2222" t="e">
        <f>VLOOKUP(Tabela2[[#This Row],[Coluna7]],[1]!Tabela1[#All],2,0)</f>
        <v>#REF!</v>
      </c>
      <c r="L2222">
        <v>70</v>
      </c>
      <c r="N2222" t="s">
        <v>584</v>
      </c>
      <c r="Q2222" s="10" t="str">
        <f>Tabela2[[#This Row],[Coluna5]]</f>
        <v>02/2026</v>
      </c>
      <c r="R2222" s="10" t="str">
        <f>IF(Tabela2[[#This Row],[Coluna9]]&gt;0,"Entrada","Saída")</f>
        <v>Saída</v>
      </c>
      <c r="S2222" s="10">
        <f>Tabela2[[#This Row],[Coluna8]]</f>
        <v>0</v>
      </c>
      <c r="T2222" s="10" t="e">
        <f>Tabela2[[#This Row],[Coluna72]]</f>
        <v>#REF!</v>
      </c>
      <c r="U2222" s="10">
        <f>SUM(Tabela2[[#This Row],[Coluna9]],Tabela2[[#This Row],[Coluna10]])</f>
        <v>70</v>
      </c>
      <c r="V2222" s="2" t="str">
        <f>Tabela2[[#This Row],[Coluna4]]</f>
        <v>27/02/2026</v>
      </c>
      <c r="W2222" s="2" t="str">
        <f>Tabela2[[#This Row],[Coluna6]]</f>
        <v>27/02/2026</v>
      </c>
    </row>
    <row r="2223" spans="2:23" x14ac:dyDescent="0.2">
      <c r="B2223" t="s">
        <v>27</v>
      </c>
      <c r="C2223" t="s">
        <v>95</v>
      </c>
      <c r="D2223" t="s">
        <v>13</v>
      </c>
      <c r="E2223" s="8" t="s">
        <v>856</v>
      </c>
      <c r="F2223" t="s">
        <v>750</v>
      </c>
      <c r="G2223" s="8" t="s">
        <v>855</v>
      </c>
      <c r="H2223" t="s">
        <v>600</v>
      </c>
      <c r="I2223" t="e">
        <f>VLOOKUP(Tabela2[[#This Row],[Coluna7]],[1]!Tabela1[#All],2,0)</f>
        <v>#REF!</v>
      </c>
      <c r="J2223" t="s">
        <v>601</v>
      </c>
      <c r="L2223">
        <v>250</v>
      </c>
      <c r="Q2223" s="10" t="str">
        <f>Tabela2[[#This Row],[Coluna5]]</f>
        <v>02/2026</v>
      </c>
      <c r="R2223" s="10" t="str">
        <f>IF(Tabela2[[#This Row],[Coluna9]]&gt;0,"Entrada","Saída")</f>
        <v>Saída</v>
      </c>
      <c r="S2223" s="10" t="str">
        <f>Tabela2[[#This Row],[Coluna8]]</f>
        <v>FALCÃO</v>
      </c>
      <c r="T2223" s="10" t="e">
        <f>Tabela2[[#This Row],[Coluna72]]</f>
        <v>#REF!</v>
      </c>
      <c r="U2223" s="10">
        <f>SUM(Tabela2[[#This Row],[Coluna9]],Tabela2[[#This Row],[Coluna10]])</f>
        <v>250</v>
      </c>
      <c r="V2223" s="2" t="str">
        <f>Tabela2[[#This Row],[Coluna4]]</f>
        <v>28/02/2026</v>
      </c>
      <c r="W2223" s="2" t="str">
        <f>Tabela2[[#This Row],[Coluna6]]</f>
        <v>27/02/2026</v>
      </c>
    </row>
    <row r="2224" spans="2:23" x14ac:dyDescent="0.2">
      <c r="B2224" t="s">
        <v>748</v>
      </c>
      <c r="C2224" t="s">
        <v>95</v>
      </c>
      <c r="D2224" t="s">
        <v>13</v>
      </c>
      <c r="E2224" s="8" t="s">
        <v>856</v>
      </c>
      <c r="F2224" t="s">
        <v>750</v>
      </c>
      <c r="G2224" s="8" t="s">
        <v>856</v>
      </c>
      <c r="H2224" t="s">
        <v>546</v>
      </c>
      <c r="I2224" t="e">
        <f>VLOOKUP(Tabela2[[#This Row],[Coluna7]],[1]!Tabela1[#All],2,0)</f>
        <v>#REF!</v>
      </c>
      <c r="L2224">
        <v>66</v>
      </c>
      <c r="N2224" t="s">
        <v>584</v>
      </c>
      <c r="Q2224" s="10" t="str">
        <f>Tabela2[[#This Row],[Coluna5]]</f>
        <v>02/2026</v>
      </c>
      <c r="R2224" s="10" t="str">
        <f>IF(Tabela2[[#This Row],[Coluna9]]&gt;0,"Entrada","Saída")</f>
        <v>Saída</v>
      </c>
      <c r="S2224" s="10">
        <f>Tabela2[[#This Row],[Coluna8]]</f>
        <v>0</v>
      </c>
      <c r="T2224" s="10" t="e">
        <f>Tabela2[[#This Row],[Coluna72]]</f>
        <v>#REF!</v>
      </c>
      <c r="U2224" s="10">
        <f>SUM(Tabela2[[#This Row],[Coluna9]],Tabela2[[#This Row],[Coluna10]])</f>
        <v>66</v>
      </c>
      <c r="V2224" s="2" t="str">
        <f>Tabela2[[#This Row],[Coluna4]]</f>
        <v>28/02/2026</v>
      </c>
      <c r="W2224" s="2" t="str">
        <f>Tabela2[[#This Row],[Coluna6]]</f>
        <v>28/02/2026</v>
      </c>
    </row>
    <row r="2225" spans="2:23" x14ac:dyDescent="0.2">
      <c r="B2225" t="s">
        <v>748</v>
      </c>
      <c r="C2225" t="s">
        <v>95</v>
      </c>
      <c r="D2225" t="s">
        <v>13</v>
      </c>
      <c r="E2225" s="8" t="s">
        <v>856</v>
      </c>
      <c r="F2225" t="s">
        <v>750</v>
      </c>
      <c r="G2225" s="8" t="s">
        <v>856</v>
      </c>
      <c r="H2225" t="s">
        <v>546</v>
      </c>
      <c r="I2225" t="e">
        <f>VLOOKUP(Tabela2[[#This Row],[Coluna7]],[1]!Tabela1[#All],2,0)</f>
        <v>#REF!</v>
      </c>
      <c r="L2225">
        <v>700</v>
      </c>
      <c r="N2225" t="s">
        <v>584</v>
      </c>
      <c r="Q2225" s="10" t="str">
        <f>Tabela2[[#This Row],[Coluna5]]</f>
        <v>02/2026</v>
      </c>
      <c r="R2225" s="10" t="str">
        <f>IF(Tabela2[[#This Row],[Coluna9]]&gt;0,"Entrada","Saída")</f>
        <v>Saída</v>
      </c>
      <c r="S2225" s="10">
        <f>Tabela2[[#This Row],[Coluna8]]</f>
        <v>0</v>
      </c>
      <c r="T2225" s="10" t="e">
        <f>Tabela2[[#This Row],[Coluna72]]</f>
        <v>#REF!</v>
      </c>
      <c r="U2225" s="10">
        <f>SUM(Tabela2[[#This Row],[Coluna9]],Tabela2[[#This Row],[Coluna10]])</f>
        <v>700</v>
      </c>
      <c r="V2225" s="2" t="str">
        <f>Tabela2[[#This Row],[Coluna4]]</f>
        <v>28/02/2026</v>
      </c>
      <c r="W2225" s="2" t="str">
        <f>Tabela2[[#This Row],[Coluna6]]</f>
        <v>28/02/2026</v>
      </c>
    </row>
    <row r="2226" spans="2:23" x14ac:dyDescent="0.2">
      <c r="B2226" t="s">
        <v>748</v>
      </c>
      <c r="C2226" t="s">
        <v>95</v>
      </c>
      <c r="D2226" t="s">
        <v>13</v>
      </c>
      <c r="E2226" s="8" t="s">
        <v>856</v>
      </c>
      <c r="F2226" t="s">
        <v>750</v>
      </c>
      <c r="G2226" s="8" t="s">
        <v>856</v>
      </c>
      <c r="H2226" t="s">
        <v>546</v>
      </c>
      <c r="I2226" t="e">
        <f>VLOOKUP(Tabela2[[#This Row],[Coluna7]],[1]!Tabela1[#All],2,0)</f>
        <v>#REF!</v>
      </c>
      <c r="L2226">
        <v>50</v>
      </c>
      <c r="N2226" t="s">
        <v>547</v>
      </c>
      <c r="Q2226" s="10" t="str">
        <f>Tabela2[[#This Row],[Coluna5]]</f>
        <v>02/2026</v>
      </c>
      <c r="R2226" s="10" t="str">
        <f>IF(Tabela2[[#This Row],[Coluna9]]&gt;0,"Entrada","Saída")</f>
        <v>Saída</v>
      </c>
      <c r="S2226" s="10">
        <f>Tabela2[[#This Row],[Coluna8]]</f>
        <v>0</v>
      </c>
      <c r="T2226" s="10" t="e">
        <f>Tabela2[[#This Row],[Coluna72]]</f>
        <v>#REF!</v>
      </c>
      <c r="U2226" s="10">
        <f>SUM(Tabela2[[#This Row],[Coluna9]],Tabela2[[#This Row],[Coluna10]])</f>
        <v>50</v>
      </c>
      <c r="V2226" s="2" t="str">
        <f>Tabela2[[#This Row],[Coluna4]]</f>
        <v>28/02/2026</v>
      </c>
      <c r="W2226" s="2" t="str">
        <f>Tabela2[[#This Row],[Coluna6]]</f>
        <v>28/02/2026</v>
      </c>
    </row>
    <row r="2227" spans="2:23" x14ac:dyDescent="0.2">
      <c r="B2227" t="s">
        <v>18</v>
      </c>
      <c r="C2227" t="s">
        <v>125</v>
      </c>
      <c r="D2227" t="s">
        <v>13</v>
      </c>
      <c r="E2227" s="8" t="s">
        <v>339</v>
      </c>
      <c r="F2227" t="s">
        <v>84</v>
      </c>
      <c r="G2227" s="8" t="s">
        <v>339</v>
      </c>
      <c r="H2227" t="s">
        <v>693</v>
      </c>
      <c r="I2227" t="e">
        <f>VLOOKUP(Tabela2[[#This Row],[Coluna7]],[1]!Tabela1[#All],2,0)</f>
        <v>#REF!</v>
      </c>
      <c r="J2227" t="s">
        <v>712</v>
      </c>
      <c r="L2227">
        <v>3.45</v>
      </c>
      <c r="N2227" t="s">
        <v>131</v>
      </c>
      <c r="Q2227" s="10" t="str">
        <f>Tabela2[[#This Row],[Coluna5]]</f>
        <v>01/2026</v>
      </c>
      <c r="R2227" s="10" t="str">
        <f>IF(Tabela2[[#This Row],[Coluna9]]&gt;0,"Entrada","Saída")</f>
        <v>Saída</v>
      </c>
      <c r="S2227" s="10" t="str">
        <f>Tabela2[[#This Row],[Coluna8]]</f>
        <v>TARIFA EFÍ</v>
      </c>
      <c r="T2227" s="10" t="e">
        <f>Tabela2[[#This Row],[Coluna72]]</f>
        <v>#REF!</v>
      </c>
      <c r="U2227" s="10">
        <f>SUM(Tabela2[[#This Row],[Coluna9]],Tabela2[[#This Row],[Coluna10]])</f>
        <v>3.45</v>
      </c>
      <c r="V2227" s="2" t="str">
        <f>Tabela2[[#This Row],[Coluna4]]</f>
        <v>02/01/2026</v>
      </c>
      <c r="W2227" s="2" t="str">
        <f>Tabela2[[#This Row],[Coluna6]]</f>
        <v>02/01/2026</v>
      </c>
    </row>
    <row r="2228" spans="2:23" x14ac:dyDescent="0.2">
      <c r="B2228" t="s">
        <v>18</v>
      </c>
      <c r="C2228" t="s">
        <v>125</v>
      </c>
      <c r="D2228" t="s">
        <v>13</v>
      </c>
      <c r="E2228" s="8" t="s">
        <v>301</v>
      </c>
      <c r="F2228" t="s">
        <v>84</v>
      </c>
      <c r="G2228" s="8" t="s">
        <v>301</v>
      </c>
      <c r="H2228" t="s">
        <v>693</v>
      </c>
      <c r="I2228" t="e">
        <f>VLOOKUP(Tabela2[[#This Row],[Coluna7]],[1]!Tabela1[#All],2,0)</f>
        <v>#REF!</v>
      </c>
      <c r="J2228" t="s">
        <v>712</v>
      </c>
      <c r="L2228">
        <v>3.45</v>
      </c>
      <c r="N2228" t="s">
        <v>132</v>
      </c>
      <c r="Q2228" s="10" t="str">
        <f>Tabela2[[#This Row],[Coluna5]]</f>
        <v>01/2026</v>
      </c>
      <c r="R2228" s="10" t="str">
        <f>IF(Tabela2[[#This Row],[Coluna9]]&gt;0,"Entrada","Saída")</f>
        <v>Saída</v>
      </c>
      <c r="S2228" s="10" t="str">
        <f>Tabela2[[#This Row],[Coluna8]]</f>
        <v>TARIFA EFÍ</v>
      </c>
      <c r="T2228" s="10" t="e">
        <f>Tabela2[[#This Row],[Coluna72]]</f>
        <v>#REF!</v>
      </c>
      <c r="U2228" s="10">
        <f>SUM(Tabela2[[#This Row],[Coluna9]],Tabela2[[#This Row],[Coluna10]])</f>
        <v>3.45</v>
      </c>
      <c r="V2228" s="2" t="str">
        <f>Tabela2[[#This Row],[Coluna4]]</f>
        <v>05/01/2026</v>
      </c>
      <c r="W2228" s="2" t="str">
        <f>Tabela2[[#This Row],[Coluna6]]</f>
        <v>05/01/2026</v>
      </c>
    </row>
    <row r="2229" spans="2:23" x14ac:dyDescent="0.2">
      <c r="B2229" t="s">
        <v>215</v>
      </c>
      <c r="C2229" t="s">
        <v>200</v>
      </c>
      <c r="D2229" t="s">
        <v>13</v>
      </c>
      <c r="E2229" s="8" t="s">
        <v>83</v>
      </c>
      <c r="F2229" t="s">
        <v>84</v>
      </c>
      <c r="G2229" s="8" t="s">
        <v>83</v>
      </c>
      <c r="H2229" t="s">
        <v>693</v>
      </c>
      <c r="I2229" t="e">
        <f>VLOOKUP(Tabela2[[#This Row],[Coluna7]],[1]!Tabela1[#All],2,0)</f>
        <v>#REF!</v>
      </c>
      <c r="J2229" t="s">
        <v>703</v>
      </c>
      <c r="L2229">
        <v>0.99</v>
      </c>
      <c r="M2229" t="s">
        <v>349</v>
      </c>
      <c r="N2229" t="s">
        <v>350</v>
      </c>
      <c r="Q2229" s="10" t="str">
        <f>Tabela2[[#This Row],[Coluna5]]</f>
        <v>01/2026</v>
      </c>
      <c r="R2229" s="10" t="str">
        <f>IF(Tabela2[[#This Row],[Coluna9]]&gt;0,"Entrada","Saída")</f>
        <v>Saída</v>
      </c>
      <c r="S2229" s="10" t="str">
        <f>Tabela2[[#This Row],[Coluna8]]</f>
        <v xml:space="preserve">(TAXA DO ASAAS) </v>
      </c>
      <c r="T2229" s="10" t="e">
        <f>Tabela2[[#This Row],[Coluna72]]</f>
        <v>#REF!</v>
      </c>
      <c r="U2229" s="10">
        <f>SUM(Tabela2[[#This Row],[Coluna9]],Tabela2[[#This Row],[Coluna10]])</f>
        <v>0.99</v>
      </c>
      <c r="V2229" s="2" t="str">
        <f>Tabela2[[#This Row],[Coluna4]]</f>
        <v>06/01/2026</v>
      </c>
      <c r="W2229" s="2" t="str">
        <f>Tabela2[[#This Row],[Coluna6]]</f>
        <v>06/01/2026</v>
      </c>
    </row>
    <row r="2230" spans="2:23" x14ac:dyDescent="0.2">
      <c r="B2230" t="s">
        <v>215</v>
      </c>
      <c r="C2230" t="s">
        <v>222</v>
      </c>
      <c r="D2230" t="s">
        <v>13</v>
      </c>
      <c r="E2230" s="8" t="s">
        <v>83</v>
      </c>
      <c r="F2230" t="s">
        <v>84</v>
      </c>
      <c r="G2230" s="8" t="s">
        <v>83</v>
      </c>
      <c r="H2230" t="s">
        <v>693</v>
      </c>
      <c r="I2230" t="e">
        <f>VLOOKUP(Tabela2[[#This Row],[Coluna7]],[1]!Tabela1[#All],2,0)</f>
        <v>#REF!</v>
      </c>
      <c r="J2230" t="s">
        <v>713</v>
      </c>
      <c r="L2230">
        <v>0.99</v>
      </c>
      <c r="M2230" t="s">
        <v>224</v>
      </c>
      <c r="N2230" t="s">
        <v>225</v>
      </c>
      <c r="Q2230" s="10" t="str">
        <f>Tabela2[[#This Row],[Coluna5]]</f>
        <v>01/2026</v>
      </c>
      <c r="R2230" s="10" t="str">
        <f>IF(Tabela2[[#This Row],[Coluna9]]&gt;0,"Entrada","Saída")</f>
        <v>Saída</v>
      </c>
      <c r="S2230" s="10" t="str">
        <f>Tabela2[[#This Row],[Coluna8]]</f>
        <v>(TAXA DO ASAAS) 3/15 HONORARIOS INICIAIS</v>
      </c>
      <c r="T2230" s="10" t="e">
        <f>Tabela2[[#This Row],[Coluna72]]</f>
        <v>#REF!</v>
      </c>
      <c r="U2230" s="10">
        <f>SUM(Tabela2[[#This Row],[Coluna9]],Tabela2[[#This Row],[Coluna10]])</f>
        <v>0.99</v>
      </c>
      <c r="V2230" s="2" t="str">
        <f>Tabela2[[#This Row],[Coluna4]]</f>
        <v>06/01/2026</v>
      </c>
      <c r="W2230" s="2" t="str">
        <f>Tabela2[[#This Row],[Coluna6]]</f>
        <v>06/01/2026</v>
      </c>
    </row>
    <row r="2231" spans="2:23" x14ac:dyDescent="0.2">
      <c r="B2231" t="s">
        <v>18</v>
      </c>
      <c r="C2231" t="s">
        <v>324</v>
      </c>
      <c r="D2231" t="s">
        <v>13</v>
      </c>
      <c r="E2231" s="8" t="s">
        <v>87</v>
      </c>
      <c r="F2231" t="s">
        <v>84</v>
      </c>
      <c r="G2231" s="8" t="s">
        <v>87</v>
      </c>
      <c r="H2231" t="s">
        <v>693</v>
      </c>
      <c r="I2231" t="e">
        <f>VLOOKUP(Tabela2[[#This Row],[Coluna7]],[1]!Tabela1[#All],2,0)</f>
        <v>#REF!</v>
      </c>
      <c r="J2231" t="s">
        <v>714</v>
      </c>
      <c r="L2231">
        <v>3.45</v>
      </c>
      <c r="M2231" t="s">
        <v>152</v>
      </c>
      <c r="N2231" t="s">
        <v>153</v>
      </c>
      <c r="Q2231" s="10" t="str">
        <f>Tabela2[[#This Row],[Coluna5]]</f>
        <v>01/2026</v>
      </c>
      <c r="R2231" s="10" t="str">
        <f>IF(Tabela2[[#This Row],[Coluna9]]&gt;0,"Entrada","Saída")</f>
        <v>Saída</v>
      </c>
      <c r="S2231" s="10" t="str">
        <f>Tabela2[[#This Row],[Coluna8]]</f>
        <v>1/2 TARIFA EFÍ</v>
      </c>
      <c r="T2231" s="10" t="e">
        <f>Tabela2[[#This Row],[Coluna72]]</f>
        <v>#REF!</v>
      </c>
      <c r="U2231" s="10">
        <f>SUM(Tabela2[[#This Row],[Coluna9]],Tabela2[[#This Row],[Coluna10]])</f>
        <v>3.45</v>
      </c>
      <c r="V2231" s="2" t="str">
        <f>Tabela2[[#This Row],[Coluna4]]</f>
        <v>07/01/2026</v>
      </c>
      <c r="W2231" s="2" t="str">
        <f>Tabela2[[#This Row],[Coluna6]]</f>
        <v>07/01/2026</v>
      </c>
    </row>
    <row r="2232" spans="2:23" x14ac:dyDescent="0.2">
      <c r="B2232" t="s">
        <v>18</v>
      </c>
      <c r="C2232" t="s">
        <v>125</v>
      </c>
      <c r="D2232" t="s">
        <v>13</v>
      </c>
      <c r="E2232" s="8" t="s">
        <v>85</v>
      </c>
      <c r="F2232" t="s">
        <v>84</v>
      </c>
      <c r="G2232" s="8" t="s">
        <v>83</v>
      </c>
      <c r="H2232" t="s">
        <v>693</v>
      </c>
      <c r="I2232" t="e">
        <f>VLOOKUP(Tabela2[[#This Row],[Coluna7]],[1]!Tabela1[#All],2,0)</f>
        <v>#REF!</v>
      </c>
      <c r="J2232" t="s">
        <v>711</v>
      </c>
      <c r="L2232">
        <v>3.45</v>
      </c>
      <c r="N2232" t="s">
        <v>154</v>
      </c>
      <c r="Q2232" s="10" t="str">
        <f>Tabela2[[#This Row],[Coluna5]]</f>
        <v>01/2026</v>
      </c>
      <c r="R2232" s="10" t="str">
        <f>IF(Tabela2[[#This Row],[Coluna9]]&gt;0,"Entrada","Saída")</f>
        <v>Saída</v>
      </c>
      <c r="S2232" s="10" t="str">
        <f>Tabela2[[#This Row],[Coluna8]]</f>
        <v>1/3 TARIFA EFÍ</v>
      </c>
      <c r="T2232" s="10" t="e">
        <f>Tabela2[[#This Row],[Coluna72]]</f>
        <v>#REF!</v>
      </c>
      <c r="U2232" s="10">
        <f>SUM(Tabela2[[#This Row],[Coluna9]],Tabela2[[#This Row],[Coluna10]])</f>
        <v>3.45</v>
      </c>
      <c r="V2232" s="2" t="str">
        <f>Tabela2[[#This Row],[Coluna4]]</f>
        <v>08/01/2026</v>
      </c>
      <c r="W2232" s="2" t="str">
        <f>Tabela2[[#This Row],[Coluna6]]</f>
        <v>06/01/2026</v>
      </c>
    </row>
    <row r="2233" spans="2:23" x14ac:dyDescent="0.2">
      <c r="B2233" t="s">
        <v>18</v>
      </c>
      <c r="C2233" t="s">
        <v>200</v>
      </c>
      <c r="D2233" t="s">
        <v>13</v>
      </c>
      <c r="E2233" s="8" t="s">
        <v>85</v>
      </c>
      <c r="F2233" t="s">
        <v>84</v>
      </c>
      <c r="G2233" s="8" t="s">
        <v>83</v>
      </c>
      <c r="H2233" t="s">
        <v>693</v>
      </c>
      <c r="I2233" t="e">
        <f>VLOOKUP(Tabela2[[#This Row],[Coluna7]],[1]!Tabela1[#All],2,0)</f>
        <v>#REF!</v>
      </c>
      <c r="J2233" t="s">
        <v>715</v>
      </c>
      <c r="L2233">
        <v>3.45</v>
      </c>
      <c r="N2233" t="s">
        <v>199</v>
      </c>
      <c r="Q2233" s="10" t="str">
        <f>Tabela2[[#This Row],[Coluna5]]</f>
        <v>01/2026</v>
      </c>
      <c r="R2233" s="10" t="str">
        <f>IF(Tabela2[[#This Row],[Coluna9]]&gt;0,"Entrada","Saída")</f>
        <v>Saída</v>
      </c>
      <c r="S2233" s="10" t="str">
        <f>Tabela2[[#This Row],[Coluna8]]</f>
        <v>1/15 TARIFA EFI</v>
      </c>
      <c r="T2233" s="10" t="e">
        <f>Tabela2[[#This Row],[Coluna72]]</f>
        <v>#REF!</v>
      </c>
      <c r="U2233" s="10">
        <f>SUM(Tabela2[[#This Row],[Coluna9]],Tabela2[[#This Row],[Coluna10]])</f>
        <v>3.45</v>
      </c>
      <c r="V2233" s="2" t="str">
        <f>Tabela2[[#This Row],[Coluna4]]</f>
        <v>08/01/2026</v>
      </c>
      <c r="W2233" s="2" t="str">
        <f>Tabela2[[#This Row],[Coluna6]]</f>
        <v>06/01/2026</v>
      </c>
    </row>
    <row r="2234" spans="2:23" x14ac:dyDescent="0.2">
      <c r="B2234" t="s">
        <v>18</v>
      </c>
      <c r="C2234" t="s">
        <v>125</v>
      </c>
      <c r="D2234" t="s">
        <v>13</v>
      </c>
      <c r="E2234" s="8" t="s">
        <v>85</v>
      </c>
      <c r="F2234" t="s">
        <v>84</v>
      </c>
      <c r="G2234" s="8" t="s">
        <v>85</v>
      </c>
      <c r="H2234" t="s">
        <v>693</v>
      </c>
      <c r="I2234" t="e">
        <f>VLOOKUP(Tabela2[[#This Row],[Coluna7]],[1]!Tabela1[#All],2,0)</f>
        <v>#REF!</v>
      </c>
      <c r="J2234" t="s">
        <v>710</v>
      </c>
      <c r="L2234">
        <v>3.45</v>
      </c>
      <c r="M2234" t="s">
        <v>123</v>
      </c>
      <c r="N2234" t="s">
        <v>124</v>
      </c>
      <c r="Q2234" s="10" t="str">
        <f>Tabela2[[#This Row],[Coluna5]]</f>
        <v>01/2026</v>
      </c>
      <c r="R2234" s="10" t="str">
        <f>IF(Tabela2[[#This Row],[Coluna9]]&gt;0,"Entrada","Saída")</f>
        <v>Saída</v>
      </c>
      <c r="S2234" s="10" t="str">
        <f>Tabela2[[#This Row],[Coluna8]]</f>
        <v>TARIFA EFI</v>
      </c>
      <c r="T2234" s="10" t="e">
        <f>Tabela2[[#This Row],[Coluna72]]</f>
        <v>#REF!</v>
      </c>
      <c r="U2234" s="10">
        <f>SUM(Tabela2[[#This Row],[Coluna9]],Tabela2[[#This Row],[Coluna10]])</f>
        <v>3.45</v>
      </c>
      <c r="V2234" s="2" t="str">
        <f>Tabela2[[#This Row],[Coluna4]]</f>
        <v>08/01/2026</v>
      </c>
      <c r="W2234" s="2" t="str">
        <f>Tabela2[[#This Row],[Coluna6]]</f>
        <v>08/01/2026</v>
      </c>
    </row>
    <row r="2235" spans="2:23" x14ac:dyDescent="0.2">
      <c r="B2235" t="s">
        <v>215</v>
      </c>
      <c r="C2235" t="s">
        <v>200</v>
      </c>
      <c r="D2235" t="s">
        <v>13</v>
      </c>
      <c r="E2235" s="8" t="s">
        <v>86</v>
      </c>
      <c r="F2235" t="s">
        <v>84</v>
      </c>
      <c r="G2235" s="8" t="s">
        <v>86</v>
      </c>
      <c r="H2235" t="s">
        <v>693</v>
      </c>
      <c r="I2235" t="e">
        <f>VLOOKUP(Tabela2[[#This Row],[Coluna7]],[1]!Tabela1[#All],2,0)</f>
        <v>#REF!</v>
      </c>
      <c r="J2235" t="s">
        <v>703</v>
      </c>
      <c r="L2235">
        <v>0.99</v>
      </c>
      <c r="M2235" t="s">
        <v>353</v>
      </c>
      <c r="N2235" t="s">
        <v>354</v>
      </c>
      <c r="Q2235" s="10" t="str">
        <f>Tabela2[[#This Row],[Coluna5]]</f>
        <v>01/2026</v>
      </c>
      <c r="R2235" s="10" t="str">
        <f>IF(Tabela2[[#This Row],[Coluna9]]&gt;0,"Entrada","Saída")</f>
        <v>Saída</v>
      </c>
      <c r="S2235" s="10" t="str">
        <f>Tabela2[[#This Row],[Coluna8]]</f>
        <v xml:space="preserve">(TAXA DO ASAAS) </v>
      </c>
      <c r="T2235" s="10" t="e">
        <f>Tabela2[[#This Row],[Coluna72]]</f>
        <v>#REF!</v>
      </c>
      <c r="U2235" s="10">
        <f>SUM(Tabela2[[#This Row],[Coluna9]],Tabela2[[#This Row],[Coluna10]])</f>
        <v>0.99</v>
      </c>
      <c r="V2235" s="2" t="str">
        <f>Tabela2[[#This Row],[Coluna4]]</f>
        <v>13/01/2026</v>
      </c>
      <c r="W2235" s="2" t="str">
        <f>Tabela2[[#This Row],[Coluna6]]</f>
        <v>13/01/2026</v>
      </c>
    </row>
    <row r="2236" spans="2:23" x14ac:dyDescent="0.2">
      <c r="B2236" t="s">
        <v>18</v>
      </c>
      <c r="C2236" t="s">
        <v>95</v>
      </c>
      <c r="D2236" t="s">
        <v>13</v>
      </c>
      <c r="E2236" s="8" t="s">
        <v>88</v>
      </c>
      <c r="F2236" t="s">
        <v>84</v>
      </c>
      <c r="G2236" s="8" t="s">
        <v>88</v>
      </c>
      <c r="H2236" t="s">
        <v>693</v>
      </c>
      <c r="I2236" t="e">
        <f>VLOOKUP(Tabela2[[#This Row],[Coluna7]],[1]!Tabela1[#All],2,0)</f>
        <v>#REF!</v>
      </c>
      <c r="L2236">
        <v>3.45</v>
      </c>
      <c r="N2236" t="s">
        <v>193</v>
      </c>
      <c r="Q2236" s="10" t="str">
        <f>Tabela2[[#This Row],[Coluna5]]</f>
        <v>01/2026</v>
      </c>
      <c r="R2236" s="10" t="str">
        <f>IF(Tabela2[[#This Row],[Coluna9]]&gt;0,"Entrada","Saída")</f>
        <v>Saída</v>
      </c>
      <c r="S2236" s="10">
        <f>Tabela2[[#This Row],[Coluna8]]</f>
        <v>0</v>
      </c>
      <c r="T2236" s="10" t="e">
        <f>Tabela2[[#This Row],[Coluna72]]</f>
        <v>#REF!</v>
      </c>
      <c r="U2236" s="10">
        <f>SUM(Tabela2[[#This Row],[Coluna9]],Tabela2[[#This Row],[Coluna10]])</f>
        <v>3.45</v>
      </c>
      <c r="V2236" s="2" t="str">
        <f>Tabela2[[#This Row],[Coluna4]]</f>
        <v>14/01/2026</v>
      </c>
      <c r="W2236" s="2" t="str">
        <f>Tabela2[[#This Row],[Coluna6]]</f>
        <v>14/01/2026</v>
      </c>
    </row>
    <row r="2237" spans="2:23" x14ac:dyDescent="0.2">
      <c r="B2237" t="s">
        <v>27</v>
      </c>
      <c r="C2237" t="s">
        <v>95</v>
      </c>
      <c r="D2237" t="s">
        <v>13</v>
      </c>
      <c r="E2237" s="8" t="s">
        <v>89</v>
      </c>
      <c r="F2237" t="s">
        <v>84</v>
      </c>
      <c r="G2237" s="8" t="s">
        <v>89</v>
      </c>
      <c r="H2237" t="s">
        <v>693</v>
      </c>
      <c r="I2237" t="e">
        <f>VLOOKUP(Tabela2[[#This Row],[Coluna7]],[1]!Tabela1[#All],2,0)</f>
        <v>#REF!</v>
      </c>
      <c r="L2237">
        <v>168.5</v>
      </c>
      <c r="Q2237" s="10" t="str">
        <f>Tabela2[[#This Row],[Coluna5]]</f>
        <v>01/2026</v>
      </c>
      <c r="R2237" s="10" t="str">
        <f>IF(Tabela2[[#This Row],[Coluna9]]&gt;0,"Entrada","Saída")</f>
        <v>Saída</v>
      </c>
      <c r="S2237" s="10">
        <f>Tabela2[[#This Row],[Coluna8]]</f>
        <v>0</v>
      </c>
      <c r="T2237" s="10" t="e">
        <f>Tabela2[[#This Row],[Coluna72]]</f>
        <v>#REF!</v>
      </c>
      <c r="U2237" s="10">
        <f>SUM(Tabela2[[#This Row],[Coluna9]],Tabela2[[#This Row],[Coluna10]])</f>
        <v>168.5</v>
      </c>
      <c r="V2237" s="2" t="str">
        <f>Tabela2[[#This Row],[Coluna4]]</f>
        <v>15/01/2026</v>
      </c>
      <c r="W2237" s="2" t="str">
        <f>Tabela2[[#This Row],[Coluna6]]</f>
        <v>15/01/2026</v>
      </c>
    </row>
    <row r="2238" spans="2:23" x14ac:dyDescent="0.2">
      <c r="B2238" t="s">
        <v>215</v>
      </c>
      <c r="C2238" t="s">
        <v>200</v>
      </c>
      <c r="D2238" t="s">
        <v>13</v>
      </c>
      <c r="E2238" s="8" t="s">
        <v>91</v>
      </c>
      <c r="F2238" t="s">
        <v>84</v>
      </c>
      <c r="G2238" s="8" t="s">
        <v>91</v>
      </c>
      <c r="H2238" t="s">
        <v>693</v>
      </c>
      <c r="I2238" t="e">
        <f>VLOOKUP(Tabela2[[#This Row],[Coluna7]],[1]!Tabela1[#All],2,0)</f>
        <v>#REF!</v>
      </c>
      <c r="J2238" t="s">
        <v>716</v>
      </c>
      <c r="L2238">
        <v>0.99</v>
      </c>
      <c r="N2238" t="s">
        <v>355</v>
      </c>
      <c r="Q2238" s="10" t="str">
        <f>Tabela2[[#This Row],[Coluna5]]</f>
        <v>01/2026</v>
      </c>
      <c r="R2238" s="10" t="str">
        <f>IF(Tabela2[[#This Row],[Coluna9]]&gt;0,"Entrada","Saída")</f>
        <v>Saída</v>
      </c>
      <c r="S2238" s="10" t="str">
        <f>Tabela2[[#This Row],[Coluna8]]</f>
        <v>(TAXA DO ASAAS) 1/10</v>
      </c>
      <c r="T2238" s="10" t="e">
        <f>Tabela2[[#This Row],[Coluna72]]</f>
        <v>#REF!</v>
      </c>
      <c r="U2238" s="10">
        <f>SUM(Tabela2[[#This Row],[Coluna9]],Tabela2[[#This Row],[Coluna10]])</f>
        <v>0.99</v>
      </c>
      <c r="V2238" s="2" t="str">
        <f>Tabela2[[#This Row],[Coluna4]]</f>
        <v>20/01/2026</v>
      </c>
      <c r="W2238" s="2" t="str">
        <f>Tabela2[[#This Row],[Coluna6]]</f>
        <v>20/01/2026</v>
      </c>
    </row>
    <row r="2239" spans="2:23" x14ac:dyDescent="0.2">
      <c r="B2239" t="s">
        <v>34</v>
      </c>
      <c r="C2239" t="s">
        <v>95</v>
      </c>
      <c r="D2239" t="s">
        <v>13</v>
      </c>
      <c r="E2239" s="8" t="s">
        <v>356</v>
      </c>
      <c r="F2239" t="s">
        <v>84</v>
      </c>
      <c r="G2239" s="8" t="s">
        <v>356</v>
      </c>
      <c r="H2239" t="s">
        <v>693</v>
      </c>
      <c r="I2239" t="e">
        <f>VLOOKUP(Tabela2[[#This Row],[Coluna7]],[1]!Tabela1[#All],2,0)</f>
        <v>#REF!</v>
      </c>
      <c r="J2239" t="s">
        <v>707</v>
      </c>
      <c r="L2239">
        <v>20</v>
      </c>
      <c r="Q2239" s="10" t="str">
        <f>Tabela2[[#This Row],[Coluna5]]</f>
        <v>01/2026</v>
      </c>
      <c r="R2239" s="10" t="str">
        <f>IF(Tabela2[[#This Row],[Coluna9]]&gt;0,"Entrada","Saída")</f>
        <v>Saída</v>
      </c>
      <c r="S2239" s="10" t="str">
        <f>Tabela2[[#This Row],[Coluna8]]</f>
        <v>SEGURO CONTA</v>
      </c>
      <c r="T2239" s="10" t="e">
        <f>Tabela2[[#This Row],[Coluna72]]</f>
        <v>#REF!</v>
      </c>
      <c r="U2239" s="10">
        <f>SUM(Tabela2[[#This Row],[Coluna9]],Tabela2[[#This Row],[Coluna10]])</f>
        <v>20</v>
      </c>
      <c r="V2239" s="2" t="str">
        <f>Tabela2[[#This Row],[Coluna4]]</f>
        <v>21/01/2026</v>
      </c>
      <c r="W2239" s="2" t="str">
        <f>Tabela2[[#This Row],[Coluna6]]</f>
        <v>21/01/2026</v>
      </c>
    </row>
    <row r="2240" spans="2:23" x14ac:dyDescent="0.2">
      <c r="B2240" t="s">
        <v>18</v>
      </c>
      <c r="C2240" t="s">
        <v>95</v>
      </c>
      <c r="D2240" t="s">
        <v>13</v>
      </c>
      <c r="E2240" s="8" t="s">
        <v>93</v>
      </c>
      <c r="F2240" t="s">
        <v>84</v>
      </c>
      <c r="G2240" s="8" t="s">
        <v>93</v>
      </c>
      <c r="H2240" t="s">
        <v>693</v>
      </c>
      <c r="I2240" t="e">
        <f>VLOOKUP(Tabela2[[#This Row],[Coluna7]],[1]!Tabela1[#All],2,0)</f>
        <v>#REF!</v>
      </c>
      <c r="L2240">
        <v>3.45</v>
      </c>
      <c r="N2240" t="s">
        <v>207</v>
      </c>
      <c r="Q2240" s="10" t="str">
        <f>Tabela2[[#This Row],[Coluna5]]</f>
        <v>01/2026</v>
      </c>
      <c r="R2240" s="10" t="str">
        <f>IF(Tabela2[[#This Row],[Coluna9]]&gt;0,"Entrada","Saída")</f>
        <v>Saída</v>
      </c>
      <c r="S2240" s="10">
        <f>Tabela2[[#This Row],[Coluna8]]</f>
        <v>0</v>
      </c>
      <c r="T2240" s="10" t="e">
        <f>Tabela2[[#This Row],[Coluna72]]</f>
        <v>#REF!</v>
      </c>
      <c r="U2240" s="10">
        <f>SUM(Tabela2[[#This Row],[Coluna9]],Tabela2[[#This Row],[Coluna10]])</f>
        <v>3.45</v>
      </c>
      <c r="V2240" s="2" t="str">
        <f>Tabela2[[#This Row],[Coluna4]]</f>
        <v>26/01/2026</v>
      </c>
      <c r="W2240" s="2" t="str">
        <f>Tabela2[[#This Row],[Coluna6]]</f>
        <v>26/01/2026</v>
      </c>
    </row>
    <row r="2241" spans="2:23" x14ac:dyDescent="0.2">
      <c r="B2241" t="s">
        <v>18</v>
      </c>
      <c r="C2241" t="s">
        <v>95</v>
      </c>
      <c r="D2241" t="s">
        <v>13</v>
      </c>
      <c r="E2241" s="8" t="s">
        <v>93</v>
      </c>
      <c r="F2241" t="s">
        <v>84</v>
      </c>
      <c r="G2241" s="8" t="s">
        <v>93</v>
      </c>
      <c r="H2241" t="s">
        <v>693</v>
      </c>
      <c r="I2241" t="e">
        <f>VLOOKUP(Tabela2[[#This Row],[Coluna7]],[1]!Tabela1[#All],2,0)</f>
        <v>#REF!</v>
      </c>
      <c r="L2241">
        <v>3.45</v>
      </c>
      <c r="M2241" t="s">
        <v>204</v>
      </c>
      <c r="N2241" t="s">
        <v>205</v>
      </c>
      <c r="Q2241" s="10" t="str">
        <f>Tabela2[[#This Row],[Coluna5]]</f>
        <v>01/2026</v>
      </c>
      <c r="R2241" s="10" t="str">
        <f>IF(Tabela2[[#This Row],[Coluna9]]&gt;0,"Entrada","Saída")</f>
        <v>Saída</v>
      </c>
      <c r="S2241" s="10">
        <f>Tabela2[[#This Row],[Coluna8]]</f>
        <v>0</v>
      </c>
      <c r="T2241" s="10" t="e">
        <f>Tabela2[[#This Row],[Coluna72]]</f>
        <v>#REF!</v>
      </c>
      <c r="U2241" s="10">
        <f>SUM(Tabela2[[#This Row],[Coluna9]],Tabela2[[#This Row],[Coluna10]])</f>
        <v>3.45</v>
      </c>
      <c r="V2241" s="2" t="str">
        <f>Tabela2[[#This Row],[Coluna4]]</f>
        <v>26/01/2026</v>
      </c>
      <c r="W2241" s="2" t="str">
        <f>Tabela2[[#This Row],[Coluna6]]</f>
        <v>26/01/2026</v>
      </c>
    </row>
    <row r="2242" spans="2:23" x14ac:dyDescent="0.2">
      <c r="B2242" t="s">
        <v>748</v>
      </c>
      <c r="C2242" t="s">
        <v>95</v>
      </c>
      <c r="D2242" t="s">
        <v>13</v>
      </c>
      <c r="E2242" s="8" t="s">
        <v>93</v>
      </c>
      <c r="F2242" t="s">
        <v>84</v>
      </c>
      <c r="G2242" s="8" t="s">
        <v>93</v>
      </c>
      <c r="H2242" t="s">
        <v>693</v>
      </c>
      <c r="I2242" t="e">
        <f>VLOOKUP(Tabela2[[#This Row],[Coluna7]],[1]!Tabela1[#All],2,0)</f>
        <v>#REF!</v>
      </c>
      <c r="J2242" t="s">
        <v>694</v>
      </c>
      <c r="L2242">
        <v>75</v>
      </c>
      <c r="Q2242" s="10" t="str">
        <f>Tabela2[[#This Row],[Coluna5]]</f>
        <v>01/2026</v>
      </c>
      <c r="R2242" s="10" t="str">
        <f>IF(Tabela2[[#This Row],[Coluna9]]&gt;0,"Entrada","Saída")</f>
        <v>Saída</v>
      </c>
      <c r="S2242" s="10" t="str">
        <f>Tabela2[[#This Row],[Coluna8]]</f>
        <v>CESTA PJ</v>
      </c>
      <c r="T2242" s="10" t="e">
        <f>Tabela2[[#This Row],[Coluna72]]</f>
        <v>#REF!</v>
      </c>
      <c r="U2242" s="10">
        <f>SUM(Tabela2[[#This Row],[Coluna9]],Tabela2[[#This Row],[Coluna10]])</f>
        <v>75</v>
      </c>
      <c r="V2242" s="2" t="str">
        <f>Tabela2[[#This Row],[Coluna4]]</f>
        <v>26/01/2026</v>
      </c>
      <c r="W2242" s="2" t="str">
        <f>Tabela2[[#This Row],[Coluna6]]</f>
        <v>26/01/2026</v>
      </c>
    </row>
    <row r="2243" spans="2:23" x14ac:dyDescent="0.2">
      <c r="B2243" t="s">
        <v>27</v>
      </c>
      <c r="C2243" t="s">
        <v>95</v>
      </c>
      <c r="D2243" t="s">
        <v>13</v>
      </c>
      <c r="E2243" s="8" t="s">
        <v>359</v>
      </c>
      <c r="F2243" t="s">
        <v>84</v>
      </c>
      <c r="G2243" s="8" t="s">
        <v>359</v>
      </c>
      <c r="H2243" t="s">
        <v>693</v>
      </c>
      <c r="I2243" t="e">
        <f>VLOOKUP(Tabela2[[#This Row],[Coluna7]],[1]!Tabela1[#All],2,0)</f>
        <v>#REF!</v>
      </c>
      <c r="L2243">
        <v>9.8000000000000007</v>
      </c>
      <c r="Q2243" s="10" t="str">
        <f>Tabela2[[#This Row],[Coluna5]]</f>
        <v>01/2026</v>
      </c>
      <c r="R2243" s="10" t="str">
        <f>IF(Tabela2[[#This Row],[Coluna9]]&gt;0,"Entrada","Saída")</f>
        <v>Saída</v>
      </c>
      <c r="S2243" s="10">
        <f>Tabela2[[#This Row],[Coluna8]]</f>
        <v>0</v>
      </c>
      <c r="T2243" s="10" t="e">
        <f>Tabela2[[#This Row],[Coluna72]]</f>
        <v>#REF!</v>
      </c>
      <c r="U2243" s="10">
        <f>SUM(Tabela2[[#This Row],[Coluna9]],Tabela2[[#This Row],[Coluna10]])</f>
        <v>9.8000000000000007</v>
      </c>
      <c r="V2243" s="2" t="str">
        <f>Tabela2[[#This Row],[Coluna4]]</f>
        <v>28/01/2026</v>
      </c>
      <c r="W2243" s="2" t="str">
        <f>Tabela2[[#This Row],[Coluna6]]</f>
        <v>28/01/2026</v>
      </c>
    </row>
    <row r="2244" spans="2:23" x14ac:dyDescent="0.2">
      <c r="B2244" t="s">
        <v>18</v>
      </c>
      <c r="C2244" t="s">
        <v>125</v>
      </c>
      <c r="D2244" t="s">
        <v>13</v>
      </c>
      <c r="E2244" s="8" t="s">
        <v>810</v>
      </c>
      <c r="F2244" t="s">
        <v>750</v>
      </c>
      <c r="G2244" s="8" t="s">
        <v>810</v>
      </c>
      <c r="H2244" t="s">
        <v>693</v>
      </c>
      <c r="I2244" t="e">
        <f>VLOOKUP(Tabela2[[#This Row],[Coluna7]],[1]!Tabela1[#All],2,0)</f>
        <v>#REF!</v>
      </c>
      <c r="J2244" t="s">
        <v>922</v>
      </c>
      <c r="L2244">
        <v>3.45</v>
      </c>
      <c r="M2244" t="s">
        <v>116</v>
      </c>
      <c r="N2244" t="s">
        <v>117</v>
      </c>
      <c r="Q2244" s="10" t="str">
        <f>Tabela2[[#This Row],[Coluna5]]</f>
        <v>02/2026</v>
      </c>
      <c r="R2244" s="10" t="str">
        <f>IF(Tabela2[[#This Row],[Coluna9]]&gt;0,"Entrada","Saída")</f>
        <v>Saída</v>
      </c>
      <c r="S2244" s="10" t="str">
        <f>Tabela2[[#This Row],[Coluna8]]</f>
        <v>2/3 TARIFA EFÍ</v>
      </c>
      <c r="T2244" s="10" t="e">
        <f>Tabela2[[#This Row],[Coluna72]]</f>
        <v>#REF!</v>
      </c>
      <c r="U2244" s="10">
        <f>SUM(Tabela2[[#This Row],[Coluna9]],Tabela2[[#This Row],[Coluna10]])</f>
        <v>3.45</v>
      </c>
      <c r="V2244" s="2" t="str">
        <f>Tabela2[[#This Row],[Coluna4]]</f>
        <v>02/02/2026</v>
      </c>
      <c r="W2244" s="2" t="str">
        <f>Tabela2[[#This Row],[Coluna6]]</f>
        <v>02/02/2026</v>
      </c>
    </row>
    <row r="2245" spans="2:23" x14ac:dyDescent="0.2">
      <c r="B2245" t="s">
        <v>18</v>
      </c>
      <c r="C2245" t="s">
        <v>95</v>
      </c>
      <c r="D2245" t="s">
        <v>13</v>
      </c>
      <c r="E2245" s="8" t="s">
        <v>810</v>
      </c>
      <c r="F2245" t="s">
        <v>750</v>
      </c>
      <c r="G2245" s="8" t="s">
        <v>810</v>
      </c>
      <c r="H2245" t="s">
        <v>923</v>
      </c>
      <c r="I2245" t="e">
        <f>VLOOKUP(Tabela2[[#This Row],[Coluna7]],[1]!Tabela1[#All],2,0)</f>
        <v>#REF!</v>
      </c>
      <c r="L2245">
        <v>3.45</v>
      </c>
      <c r="N2245" t="s">
        <v>103</v>
      </c>
      <c r="Q2245" s="10" t="str">
        <f>Tabela2[[#This Row],[Coluna5]]</f>
        <v>02/2026</v>
      </c>
      <c r="R2245" s="10" t="str">
        <f>IF(Tabela2[[#This Row],[Coluna9]]&gt;0,"Entrada","Saída")</f>
        <v>Saída</v>
      </c>
      <c r="S2245" s="10">
        <f>Tabela2[[#This Row],[Coluna8]]</f>
        <v>0</v>
      </c>
      <c r="T2245" s="10" t="e">
        <f>Tabela2[[#This Row],[Coluna72]]</f>
        <v>#REF!</v>
      </c>
      <c r="U2245" s="10">
        <f>SUM(Tabela2[[#This Row],[Coluna9]],Tabela2[[#This Row],[Coluna10]])</f>
        <v>3.45</v>
      </c>
      <c r="V2245" s="2" t="str">
        <f>Tabela2[[#This Row],[Coluna4]]</f>
        <v>02/02/2026</v>
      </c>
      <c r="W2245" s="2" t="str">
        <f>Tabela2[[#This Row],[Coluna6]]</f>
        <v>02/02/2026</v>
      </c>
    </row>
    <row r="2246" spans="2:23" x14ac:dyDescent="0.2">
      <c r="B2246" t="s">
        <v>18</v>
      </c>
      <c r="C2246" t="s">
        <v>95</v>
      </c>
      <c r="D2246" t="s">
        <v>13</v>
      </c>
      <c r="E2246" s="8" t="s">
        <v>754</v>
      </c>
      <c r="F2246" t="s">
        <v>750</v>
      </c>
      <c r="G2246" s="8" t="s">
        <v>754</v>
      </c>
      <c r="H2246" t="s">
        <v>923</v>
      </c>
      <c r="I2246" t="e">
        <f>VLOOKUP(Tabela2[[#This Row],[Coluna7]],[1]!Tabela1[#All],2,0)</f>
        <v>#REF!</v>
      </c>
      <c r="L2246">
        <v>3.45</v>
      </c>
      <c r="N2246" t="s">
        <v>132</v>
      </c>
      <c r="Q2246" s="10" t="str">
        <f>Tabela2[[#This Row],[Coluna5]]</f>
        <v>02/2026</v>
      </c>
      <c r="R2246" s="10" t="str">
        <f>IF(Tabela2[[#This Row],[Coluna9]]&gt;0,"Entrada","Saída")</f>
        <v>Saída</v>
      </c>
      <c r="S2246" s="10">
        <f>Tabela2[[#This Row],[Coluna8]]</f>
        <v>0</v>
      </c>
      <c r="T2246" s="10" t="e">
        <f>Tabela2[[#This Row],[Coluna72]]</f>
        <v>#REF!</v>
      </c>
      <c r="U2246" s="10">
        <f>SUM(Tabela2[[#This Row],[Coluna9]],Tabela2[[#This Row],[Coluna10]])</f>
        <v>3.45</v>
      </c>
      <c r="V2246" s="2" t="str">
        <f>Tabela2[[#This Row],[Coluna4]]</f>
        <v>04/02/2026</v>
      </c>
      <c r="W2246" s="2" t="str">
        <f>Tabela2[[#This Row],[Coluna6]]</f>
        <v>04/02/2026</v>
      </c>
    </row>
    <row r="2247" spans="2:23" x14ac:dyDescent="0.2">
      <c r="B2247" t="s">
        <v>215</v>
      </c>
      <c r="C2247" t="s">
        <v>222</v>
      </c>
      <c r="D2247" t="s">
        <v>13</v>
      </c>
      <c r="E2247" s="8" t="s">
        <v>361</v>
      </c>
      <c r="F2247" t="s">
        <v>750</v>
      </c>
      <c r="G2247" s="8" t="s">
        <v>361</v>
      </c>
      <c r="H2247" t="s">
        <v>693</v>
      </c>
      <c r="I2247" t="e">
        <f>VLOOKUP(Tabela2[[#This Row],[Coluna7]],[1]!Tabela1[#All],2,0)</f>
        <v>#REF!</v>
      </c>
      <c r="J2247" t="s">
        <v>924</v>
      </c>
      <c r="L2247">
        <v>1.99</v>
      </c>
      <c r="M2247" t="s">
        <v>224</v>
      </c>
      <c r="N2247" t="s">
        <v>225</v>
      </c>
      <c r="Q2247" s="10" t="str">
        <f>Tabela2[[#This Row],[Coluna5]]</f>
        <v>02/2026</v>
      </c>
      <c r="R2247" s="10" t="str">
        <f>IF(Tabela2[[#This Row],[Coluna9]]&gt;0,"Entrada","Saída")</f>
        <v>Saída</v>
      </c>
      <c r="S2247" s="10" t="str">
        <f>Tabela2[[#This Row],[Coluna8]]</f>
        <v>(TAXA DO ASAAS) 4/15 HONORARIOS INICIAIS</v>
      </c>
      <c r="T2247" s="10" t="e">
        <f>Tabela2[[#This Row],[Coluna72]]</f>
        <v>#REF!</v>
      </c>
      <c r="U2247" s="10">
        <f>SUM(Tabela2[[#This Row],[Coluna9]],Tabela2[[#This Row],[Coluna10]])</f>
        <v>1.99</v>
      </c>
      <c r="V2247" s="2" t="str">
        <f>Tabela2[[#This Row],[Coluna4]]</f>
        <v>06/02/2026</v>
      </c>
      <c r="W2247" s="2" t="str">
        <f>Tabela2[[#This Row],[Coluna6]]</f>
        <v>06/02/2026</v>
      </c>
    </row>
    <row r="2248" spans="2:23" x14ac:dyDescent="0.2">
      <c r="B2248" t="s">
        <v>215</v>
      </c>
      <c r="C2248" t="s">
        <v>200</v>
      </c>
      <c r="D2248" t="s">
        <v>13</v>
      </c>
      <c r="E2248" s="8" t="s">
        <v>361</v>
      </c>
      <c r="F2248" t="s">
        <v>750</v>
      </c>
      <c r="G2248" s="8" t="s">
        <v>361</v>
      </c>
      <c r="H2248" t="s">
        <v>693</v>
      </c>
      <c r="I2248" t="e">
        <f>VLOOKUP(Tabela2[[#This Row],[Coluna7]],[1]!Tabela1[#All],2,0)</f>
        <v>#REF!</v>
      </c>
      <c r="J2248" t="s">
        <v>925</v>
      </c>
      <c r="L2248">
        <v>1.99</v>
      </c>
      <c r="N2248" t="s">
        <v>827</v>
      </c>
      <c r="Q2248" s="10" t="str">
        <f>Tabela2[[#This Row],[Coluna5]]</f>
        <v>02/2026</v>
      </c>
      <c r="R2248" s="10" t="str">
        <f>IF(Tabela2[[#This Row],[Coluna9]]&gt;0,"Entrada","Saída")</f>
        <v>Saída</v>
      </c>
      <c r="S2248" s="10" t="str">
        <f>Tabela2[[#This Row],[Coluna8]]</f>
        <v>(TAXA DO ASAAS) 2/4 PARCELAMENTO DO SALDO REMANESCENTE DO CONTRATO DE HONORÁRIOS ADVOCATÍCIOS.</v>
      </c>
      <c r="T2248" s="10" t="e">
        <f>Tabela2[[#This Row],[Coluna72]]</f>
        <v>#REF!</v>
      </c>
      <c r="U2248" s="10">
        <f>SUM(Tabela2[[#This Row],[Coluna9]],Tabela2[[#This Row],[Coluna10]])</f>
        <v>1.99</v>
      </c>
      <c r="V2248" s="2" t="str">
        <f>Tabela2[[#This Row],[Coluna4]]</f>
        <v>06/02/2026</v>
      </c>
      <c r="W2248" s="2" t="str">
        <f>Tabela2[[#This Row],[Coluna6]]</f>
        <v>06/02/2026</v>
      </c>
    </row>
    <row r="2249" spans="2:23" x14ac:dyDescent="0.2">
      <c r="B2249" t="s">
        <v>18</v>
      </c>
      <c r="C2249" t="s">
        <v>200</v>
      </c>
      <c r="D2249" t="s">
        <v>13</v>
      </c>
      <c r="E2249" s="8" t="s">
        <v>361</v>
      </c>
      <c r="F2249" t="s">
        <v>750</v>
      </c>
      <c r="G2249" s="8" t="s">
        <v>751</v>
      </c>
      <c r="H2249" t="s">
        <v>923</v>
      </c>
      <c r="I2249" t="e">
        <f>VLOOKUP(Tabela2[[#This Row],[Coluna7]],[1]!Tabela1[#All],2,0)</f>
        <v>#REF!</v>
      </c>
      <c r="L2249">
        <v>3.45</v>
      </c>
      <c r="N2249" t="s">
        <v>134</v>
      </c>
      <c r="Q2249" s="10" t="str">
        <f>Tabela2[[#This Row],[Coluna5]]</f>
        <v>02/2026</v>
      </c>
      <c r="R2249" s="10" t="str">
        <f>IF(Tabela2[[#This Row],[Coluna9]]&gt;0,"Entrada","Saída")</f>
        <v>Saída</v>
      </c>
      <c r="S2249" s="10">
        <f>Tabela2[[#This Row],[Coluna8]]</f>
        <v>0</v>
      </c>
      <c r="T2249" s="10" t="e">
        <f>Tabela2[[#This Row],[Coluna72]]</f>
        <v>#REF!</v>
      </c>
      <c r="U2249" s="10">
        <f>SUM(Tabela2[[#This Row],[Coluna9]],Tabela2[[#This Row],[Coluna10]])</f>
        <v>3.45</v>
      </c>
      <c r="V2249" s="2" t="str">
        <f>Tabela2[[#This Row],[Coluna4]]</f>
        <v>06/02/2026</v>
      </c>
      <c r="W2249" s="2" t="str">
        <f>Tabela2[[#This Row],[Coluna6]]</f>
        <v>09/02/2026</v>
      </c>
    </row>
    <row r="2250" spans="2:23" x14ac:dyDescent="0.2">
      <c r="B2250" t="s">
        <v>18</v>
      </c>
      <c r="C2250" t="s">
        <v>324</v>
      </c>
      <c r="D2250" t="s">
        <v>13</v>
      </c>
      <c r="E2250" s="8" t="s">
        <v>830</v>
      </c>
      <c r="F2250" t="s">
        <v>84</v>
      </c>
      <c r="G2250" s="8" t="s">
        <v>751</v>
      </c>
      <c r="H2250" t="s">
        <v>693</v>
      </c>
      <c r="I2250" t="e">
        <f>VLOOKUP(Tabela2[[#This Row],[Coluna7]],[1]!Tabela1[#All],2,0)</f>
        <v>#REF!</v>
      </c>
      <c r="J2250" t="s">
        <v>926</v>
      </c>
      <c r="L2250">
        <v>3.45</v>
      </c>
      <c r="M2250" t="s">
        <v>152</v>
      </c>
      <c r="N2250" t="s">
        <v>153</v>
      </c>
      <c r="Q2250" s="10" t="str">
        <f>Tabela2[[#This Row],[Coluna5]]</f>
        <v>01/2026</v>
      </c>
      <c r="R2250" s="10" t="str">
        <f>IF(Tabela2[[#This Row],[Coluna9]]&gt;0,"Entrada","Saída")</f>
        <v>Saída</v>
      </c>
      <c r="S2250" s="10" t="str">
        <f>Tabela2[[#This Row],[Coluna8]]</f>
        <v>2/2 TARIFA EFÍ</v>
      </c>
      <c r="T2250" s="10" t="e">
        <f>Tabela2[[#This Row],[Coluna72]]</f>
        <v>#REF!</v>
      </c>
      <c r="U2250" s="10">
        <f>SUM(Tabela2[[#This Row],[Coluna9]],Tabela2[[#This Row],[Coluna10]])</f>
        <v>3.45</v>
      </c>
      <c r="V2250" s="2" t="str">
        <f>Tabela2[[#This Row],[Coluna4]]</f>
        <v>07/02/2026</v>
      </c>
      <c r="W2250" s="2" t="str">
        <f>Tabela2[[#This Row],[Coluna6]]</f>
        <v>09/02/2026</v>
      </c>
    </row>
    <row r="2251" spans="2:23" x14ac:dyDescent="0.2">
      <c r="B2251" t="s">
        <v>18</v>
      </c>
      <c r="C2251" t="s">
        <v>125</v>
      </c>
      <c r="D2251" t="s">
        <v>13</v>
      </c>
      <c r="E2251" s="8" t="s">
        <v>752</v>
      </c>
      <c r="F2251" t="s">
        <v>84</v>
      </c>
      <c r="G2251" s="8" t="s">
        <v>361</v>
      </c>
      <c r="H2251" t="s">
        <v>693</v>
      </c>
      <c r="I2251" t="e">
        <f>VLOOKUP(Tabela2[[#This Row],[Coluna7]],[1]!Tabela1[#All],2,0)</f>
        <v>#REF!</v>
      </c>
      <c r="J2251" t="s">
        <v>922</v>
      </c>
      <c r="L2251">
        <v>3.45</v>
      </c>
      <c r="N2251" t="s">
        <v>154</v>
      </c>
      <c r="Q2251" s="10" t="str">
        <f>Tabela2[[#This Row],[Coluna5]]</f>
        <v>01/2026</v>
      </c>
      <c r="R2251" s="10" t="str">
        <f>IF(Tabela2[[#This Row],[Coluna9]]&gt;0,"Entrada","Saída")</f>
        <v>Saída</v>
      </c>
      <c r="S2251" s="10" t="str">
        <f>Tabela2[[#This Row],[Coluna8]]</f>
        <v>2/3 TARIFA EFÍ</v>
      </c>
      <c r="T2251" s="10" t="e">
        <f>Tabela2[[#This Row],[Coluna72]]</f>
        <v>#REF!</v>
      </c>
      <c r="U2251" s="10">
        <f>SUM(Tabela2[[#This Row],[Coluna9]],Tabela2[[#This Row],[Coluna10]])</f>
        <v>3.45</v>
      </c>
      <c r="V2251" s="2" t="str">
        <f>Tabela2[[#This Row],[Coluna4]]</f>
        <v>08/02/2026</v>
      </c>
      <c r="W2251" s="2" t="str">
        <f>Tabela2[[#This Row],[Coluna6]]</f>
        <v>06/02/2026</v>
      </c>
    </row>
    <row r="2252" spans="2:23" x14ac:dyDescent="0.2">
      <c r="B2252" t="s">
        <v>18</v>
      </c>
      <c r="C2252" t="s">
        <v>200</v>
      </c>
      <c r="D2252" t="s">
        <v>13</v>
      </c>
      <c r="E2252" s="8" t="s">
        <v>752</v>
      </c>
      <c r="F2252" t="s">
        <v>84</v>
      </c>
      <c r="G2252" s="8" t="s">
        <v>821</v>
      </c>
      <c r="H2252" t="s">
        <v>693</v>
      </c>
      <c r="I2252" t="e">
        <f>VLOOKUP(Tabela2[[#This Row],[Coluna7]],[1]!Tabela1[#All],2,0)</f>
        <v>#REF!</v>
      </c>
      <c r="J2252" t="s">
        <v>927</v>
      </c>
      <c r="L2252">
        <v>3.45</v>
      </c>
      <c r="N2252" t="s">
        <v>199</v>
      </c>
      <c r="Q2252" s="10" t="str">
        <f>Tabela2[[#This Row],[Coluna5]]</f>
        <v>01/2026</v>
      </c>
      <c r="R2252" s="10" t="str">
        <f>IF(Tabela2[[#This Row],[Coluna9]]&gt;0,"Entrada","Saída")</f>
        <v>Saída</v>
      </c>
      <c r="S2252" s="10" t="str">
        <f>Tabela2[[#This Row],[Coluna8]]</f>
        <v>2/15 TARIFA EFI</v>
      </c>
      <c r="T2252" s="10" t="e">
        <f>Tabela2[[#This Row],[Coluna72]]</f>
        <v>#REF!</v>
      </c>
      <c r="U2252" s="10">
        <f>SUM(Tabela2[[#This Row],[Coluna9]],Tabela2[[#This Row],[Coluna10]])</f>
        <v>3.45</v>
      </c>
      <c r="V2252" s="2" t="str">
        <f>Tabela2[[#This Row],[Coluna4]]</f>
        <v>08/02/2026</v>
      </c>
      <c r="W2252" s="2" t="str">
        <f>Tabela2[[#This Row],[Coluna6]]</f>
        <v>05/02/2026</v>
      </c>
    </row>
    <row r="2253" spans="2:23" x14ac:dyDescent="0.2">
      <c r="B2253" t="s">
        <v>18</v>
      </c>
      <c r="C2253" t="s">
        <v>95</v>
      </c>
      <c r="D2253" t="s">
        <v>13</v>
      </c>
      <c r="E2253" s="8" t="s">
        <v>751</v>
      </c>
      <c r="F2253" t="s">
        <v>750</v>
      </c>
      <c r="G2253" s="8" t="s">
        <v>751</v>
      </c>
      <c r="H2253" t="s">
        <v>928</v>
      </c>
      <c r="I2253" t="e">
        <f>VLOOKUP(Tabela2[[#This Row],[Coluna7]],[1]!Tabela1[#All],2,0)</f>
        <v>#REF!</v>
      </c>
      <c r="J2253" t="s">
        <v>736</v>
      </c>
      <c r="L2253">
        <v>4.41</v>
      </c>
      <c r="Q2253" s="10" t="str">
        <f>Tabela2[[#This Row],[Coluna5]]</f>
        <v>02/2026</v>
      </c>
      <c r="R2253" s="10" t="str">
        <f>IF(Tabela2[[#This Row],[Coluna9]]&gt;0,"Entrada","Saída")</f>
        <v>Saída</v>
      </c>
      <c r="S2253" s="10" t="str">
        <f>Tabela2[[#This Row],[Coluna8]]</f>
        <v>CARTÃO INTER</v>
      </c>
      <c r="T2253" s="10" t="e">
        <f>Tabela2[[#This Row],[Coluna72]]</f>
        <v>#REF!</v>
      </c>
      <c r="U2253" s="10">
        <f>SUM(Tabela2[[#This Row],[Coluna9]],Tabela2[[#This Row],[Coluna10]])</f>
        <v>4.41</v>
      </c>
      <c r="V2253" s="2" t="str">
        <f>Tabela2[[#This Row],[Coluna4]]</f>
        <v>09/02/2026</v>
      </c>
      <c r="W2253" s="2" t="str">
        <f>Tabela2[[#This Row],[Coluna6]]</f>
        <v>09/02/2026</v>
      </c>
    </row>
    <row r="2254" spans="2:23" x14ac:dyDescent="0.2">
      <c r="B2254" t="s">
        <v>27</v>
      </c>
      <c r="C2254" t="s">
        <v>95</v>
      </c>
      <c r="D2254" t="s">
        <v>13</v>
      </c>
      <c r="E2254" s="8" t="s">
        <v>753</v>
      </c>
      <c r="F2254" t="s">
        <v>750</v>
      </c>
      <c r="G2254" s="8" t="s">
        <v>753</v>
      </c>
      <c r="H2254" t="s">
        <v>693</v>
      </c>
      <c r="I2254" t="e">
        <f>VLOOKUP(Tabela2[[#This Row],[Coluna7]],[1]!Tabela1[#All],2,0)</f>
        <v>#REF!</v>
      </c>
      <c r="J2254" t="s">
        <v>694</v>
      </c>
      <c r="L2254">
        <v>168.5</v>
      </c>
      <c r="Q2254" s="10" t="str">
        <f>Tabela2[[#This Row],[Coluna5]]</f>
        <v>02/2026</v>
      </c>
      <c r="R2254" s="10" t="str">
        <f>IF(Tabela2[[#This Row],[Coluna9]]&gt;0,"Entrada","Saída")</f>
        <v>Saída</v>
      </c>
      <c r="S2254" s="10" t="str">
        <f>Tabela2[[#This Row],[Coluna8]]</f>
        <v>CESTA PJ</v>
      </c>
      <c r="T2254" s="10" t="e">
        <f>Tabela2[[#This Row],[Coluna72]]</f>
        <v>#REF!</v>
      </c>
      <c r="U2254" s="10">
        <f>SUM(Tabela2[[#This Row],[Coluna9]],Tabela2[[#This Row],[Coluna10]])</f>
        <v>168.5</v>
      </c>
      <c r="V2254" s="2" t="str">
        <f>Tabela2[[#This Row],[Coluna4]]</f>
        <v>13/02/2026</v>
      </c>
      <c r="W2254" s="2" t="str">
        <f>Tabela2[[#This Row],[Coluna6]]</f>
        <v>13/02/2026</v>
      </c>
    </row>
    <row r="2255" spans="2:23" x14ac:dyDescent="0.2">
      <c r="B2255" t="s">
        <v>215</v>
      </c>
      <c r="C2255" t="s">
        <v>200</v>
      </c>
      <c r="D2255" t="s">
        <v>13</v>
      </c>
      <c r="E2255" s="8" t="s">
        <v>756</v>
      </c>
      <c r="F2255" t="s">
        <v>750</v>
      </c>
      <c r="G2255" s="8" t="s">
        <v>756</v>
      </c>
      <c r="H2255" t="s">
        <v>693</v>
      </c>
      <c r="I2255" t="e">
        <f>VLOOKUP(Tabela2[[#This Row],[Coluna7]],[1]!Tabela1[#All],2,0)</f>
        <v>#REF!</v>
      </c>
      <c r="J2255" t="s">
        <v>929</v>
      </c>
      <c r="L2255">
        <v>1.99</v>
      </c>
      <c r="N2255" t="s">
        <v>355</v>
      </c>
      <c r="Q2255" s="10" t="str">
        <f>Tabela2[[#This Row],[Coluna5]]</f>
        <v>02/2026</v>
      </c>
      <c r="R2255" s="10" t="str">
        <f>IF(Tabela2[[#This Row],[Coluna9]]&gt;0,"Entrada","Saída")</f>
        <v>Saída</v>
      </c>
      <c r="S2255" s="10" t="str">
        <f>Tabela2[[#This Row],[Coluna8]]</f>
        <v>(TAXA DO ASAAS) 2/10</v>
      </c>
      <c r="T2255" s="10" t="e">
        <f>Tabela2[[#This Row],[Coluna72]]</f>
        <v>#REF!</v>
      </c>
      <c r="U2255" s="10">
        <f>SUM(Tabela2[[#This Row],[Coluna9]],Tabela2[[#This Row],[Coluna10]])</f>
        <v>1.99</v>
      </c>
      <c r="V2255" s="2" t="str">
        <f>Tabela2[[#This Row],[Coluna4]]</f>
        <v>20/02/2026</v>
      </c>
      <c r="W2255" s="2" t="str">
        <f>Tabela2[[#This Row],[Coluna6]]</f>
        <v>20/02/2026</v>
      </c>
    </row>
    <row r="2256" spans="2:23" x14ac:dyDescent="0.2">
      <c r="B2256" t="s">
        <v>18</v>
      </c>
      <c r="C2256" t="s">
        <v>324</v>
      </c>
      <c r="D2256" t="s">
        <v>13</v>
      </c>
      <c r="E2256" s="8" t="s">
        <v>756</v>
      </c>
      <c r="F2256" t="s">
        <v>750</v>
      </c>
      <c r="G2256" s="8" t="s">
        <v>756</v>
      </c>
      <c r="H2256" t="s">
        <v>693</v>
      </c>
      <c r="I2256" t="e">
        <f>VLOOKUP(Tabela2[[#This Row],[Coluna7]],[1]!Tabela1[#All],2,0)</f>
        <v>#REF!</v>
      </c>
      <c r="L2256">
        <v>3.45</v>
      </c>
      <c r="M2256" t="s">
        <v>192</v>
      </c>
      <c r="N2256" t="s">
        <v>193</v>
      </c>
      <c r="Q2256" s="10" t="str">
        <f>Tabela2[[#This Row],[Coluna5]]</f>
        <v>02/2026</v>
      </c>
      <c r="R2256" s="10" t="str">
        <f>IF(Tabela2[[#This Row],[Coluna9]]&gt;0,"Entrada","Saída")</f>
        <v>Saída</v>
      </c>
      <c r="S2256" s="10">
        <f>Tabela2[[#This Row],[Coluna8]]</f>
        <v>0</v>
      </c>
      <c r="T2256" s="10" t="e">
        <f>Tabela2[[#This Row],[Coluna72]]</f>
        <v>#REF!</v>
      </c>
      <c r="U2256" s="10">
        <f>SUM(Tabela2[[#This Row],[Coluna9]],Tabela2[[#This Row],[Coluna10]])</f>
        <v>3.45</v>
      </c>
      <c r="V2256" s="2" t="str">
        <f>Tabela2[[#This Row],[Coluna4]]</f>
        <v>20/02/2026</v>
      </c>
      <c r="W2256" s="2" t="str">
        <f>Tabela2[[#This Row],[Coluna6]]</f>
        <v>20/02/2026</v>
      </c>
    </row>
    <row r="2257" spans="2:23" x14ac:dyDescent="0.2">
      <c r="B2257" t="s">
        <v>18</v>
      </c>
      <c r="C2257" t="s">
        <v>125</v>
      </c>
      <c r="D2257" t="s">
        <v>13</v>
      </c>
      <c r="E2257" s="8" t="s">
        <v>848</v>
      </c>
      <c r="F2257" t="s">
        <v>750</v>
      </c>
      <c r="G2257" s="8" t="s">
        <v>848</v>
      </c>
      <c r="H2257" t="s">
        <v>693</v>
      </c>
      <c r="I2257" t="e">
        <f>VLOOKUP(Tabela2[[#This Row],[Coluna7]],[1]!Tabela1[#All],2,0)</f>
        <v>#REF!</v>
      </c>
      <c r="L2257">
        <v>3.45</v>
      </c>
      <c r="N2257" t="s">
        <v>207</v>
      </c>
      <c r="Q2257" s="10" t="str">
        <f>Tabela2[[#This Row],[Coluna5]]</f>
        <v>02/2026</v>
      </c>
      <c r="R2257" s="10" t="str">
        <f>IF(Tabela2[[#This Row],[Coluna9]]&gt;0,"Entrada","Saída")</f>
        <v>Saída</v>
      </c>
      <c r="S2257" s="10">
        <f>Tabela2[[#This Row],[Coluna8]]</f>
        <v>0</v>
      </c>
      <c r="T2257" s="10" t="e">
        <f>Tabela2[[#This Row],[Coluna72]]</f>
        <v>#REF!</v>
      </c>
      <c r="U2257" s="10">
        <f>SUM(Tabela2[[#This Row],[Coluna9]],Tabela2[[#This Row],[Coluna10]])</f>
        <v>3.45</v>
      </c>
      <c r="V2257" s="2" t="str">
        <f>Tabela2[[#This Row],[Coluna4]]</f>
        <v>23/02/2026</v>
      </c>
      <c r="W2257" s="2" t="str">
        <f>Tabela2[[#This Row],[Coluna6]]</f>
        <v>23/02/2026</v>
      </c>
    </row>
    <row r="2258" spans="2:23" x14ac:dyDescent="0.2">
      <c r="B2258" t="s">
        <v>748</v>
      </c>
      <c r="C2258" t="s">
        <v>95</v>
      </c>
      <c r="D2258" t="s">
        <v>13</v>
      </c>
      <c r="E2258" s="8" t="s">
        <v>850</v>
      </c>
      <c r="F2258" t="s">
        <v>750</v>
      </c>
      <c r="G2258" s="8" t="s">
        <v>850</v>
      </c>
      <c r="H2258" t="s">
        <v>693</v>
      </c>
      <c r="I2258" t="e">
        <f>VLOOKUP(Tabela2[[#This Row],[Coluna7]],[1]!Tabela1[#All],2,0)</f>
        <v>#REF!</v>
      </c>
      <c r="J2258" t="s">
        <v>694</v>
      </c>
      <c r="L2258">
        <v>75</v>
      </c>
      <c r="Q2258" s="10" t="str">
        <f>Tabela2[[#This Row],[Coluna5]]</f>
        <v>02/2026</v>
      </c>
      <c r="R2258" s="10" t="str">
        <f>IF(Tabela2[[#This Row],[Coluna9]]&gt;0,"Entrada","Saída")</f>
        <v>Saída</v>
      </c>
      <c r="S2258" s="10" t="str">
        <f>Tabela2[[#This Row],[Coluna8]]</f>
        <v>CESTA PJ</v>
      </c>
      <c r="T2258" s="10" t="e">
        <f>Tabela2[[#This Row],[Coluna72]]</f>
        <v>#REF!</v>
      </c>
      <c r="U2258" s="10">
        <f>SUM(Tabela2[[#This Row],[Coluna9]],Tabela2[[#This Row],[Coluna10]])</f>
        <v>75</v>
      </c>
      <c r="V2258" s="2" t="str">
        <f>Tabela2[[#This Row],[Coluna4]]</f>
        <v>25/02/2026</v>
      </c>
      <c r="W2258" s="2" t="str">
        <f>Tabela2[[#This Row],[Coluna6]]</f>
        <v>25/02/2026</v>
      </c>
    </row>
    <row r="2259" spans="2:23" x14ac:dyDescent="0.2">
      <c r="B2259" t="s">
        <v>27</v>
      </c>
      <c r="C2259" t="s">
        <v>95</v>
      </c>
      <c r="D2259" t="s">
        <v>13</v>
      </c>
      <c r="E2259" s="8" t="s">
        <v>855</v>
      </c>
      <c r="F2259" t="s">
        <v>750</v>
      </c>
      <c r="G2259" s="8" t="s">
        <v>855</v>
      </c>
      <c r="H2259" t="s">
        <v>923</v>
      </c>
      <c r="I2259" t="e">
        <f>VLOOKUP(Tabela2[[#This Row],[Coluna7]],[1]!Tabela1[#All],2,0)</f>
        <v>#REF!</v>
      </c>
      <c r="L2259">
        <v>9.8000000000000007</v>
      </c>
      <c r="Q2259" s="10" t="str">
        <f>Tabela2[[#This Row],[Coluna5]]</f>
        <v>02/2026</v>
      </c>
      <c r="R2259" s="10" t="str">
        <f>IF(Tabela2[[#This Row],[Coluna9]]&gt;0,"Entrada","Saída")</f>
        <v>Saída</v>
      </c>
      <c r="S2259" s="10">
        <f>Tabela2[[#This Row],[Coluna8]]</f>
        <v>0</v>
      </c>
      <c r="T2259" s="10" t="e">
        <f>Tabela2[[#This Row],[Coluna72]]</f>
        <v>#REF!</v>
      </c>
      <c r="U2259" s="10">
        <f>SUM(Tabela2[[#This Row],[Coluna9]],Tabela2[[#This Row],[Coluna10]])</f>
        <v>9.8000000000000007</v>
      </c>
      <c r="V2259" s="2" t="str">
        <f>Tabela2[[#This Row],[Coluna4]]</f>
        <v>27/02/2026</v>
      </c>
      <c r="W2259" s="2" t="str">
        <f>Tabela2[[#This Row],[Coluna6]]</f>
        <v>27/02/2026</v>
      </c>
    </row>
    <row r="2260" spans="2:23" x14ac:dyDescent="0.2">
      <c r="B2260" t="s">
        <v>748</v>
      </c>
      <c r="C2260" t="s">
        <v>95</v>
      </c>
      <c r="D2260" t="s">
        <v>13</v>
      </c>
      <c r="E2260" s="8" t="s">
        <v>91</v>
      </c>
      <c r="F2260" t="s">
        <v>84</v>
      </c>
      <c r="G2260" s="8" t="s">
        <v>91</v>
      </c>
      <c r="H2260" t="s">
        <v>719</v>
      </c>
      <c r="I2260" t="e">
        <f>VLOOKUP(Tabela2[[#This Row],[Coluna7]],[1]!Tabela1[#All],2,0)</f>
        <v>#REF!</v>
      </c>
      <c r="J2260" t="s">
        <v>728</v>
      </c>
      <c r="L2260">
        <v>60</v>
      </c>
      <c r="Q2260" s="10" t="str">
        <f>Tabela2[[#This Row],[Coluna5]]</f>
        <v>01/2026</v>
      </c>
      <c r="R2260" s="10" t="str">
        <f>IF(Tabela2[[#This Row],[Coluna9]]&gt;0,"Entrada","Saída")</f>
        <v>Saída</v>
      </c>
      <c r="S2260" s="10" t="str">
        <f>Tabela2[[#This Row],[Coluna8]]</f>
        <v>BRINDES</v>
      </c>
      <c r="T2260" s="10" t="e">
        <f>Tabela2[[#This Row],[Coluna72]]</f>
        <v>#REF!</v>
      </c>
      <c r="U2260" s="10">
        <f>SUM(Tabela2[[#This Row],[Coluna9]],Tabela2[[#This Row],[Coluna10]])</f>
        <v>60</v>
      </c>
      <c r="V2260" s="2" t="str">
        <f>Tabela2[[#This Row],[Coluna4]]</f>
        <v>20/01/2026</v>
      </c>
      <c r="W2260" s="2" t="str">
        <f>Tabela2[[#This Row],[Coluna6]]</f>
        <v>20/01/2026</v>
      </c>
    </row>
    <row r="2261" spans="2:23" x14ac:dyDescent="0.2">
      <c r="B2261" t="s">
        <v>748</v>
      </c>
      <c r="C2261" t="s">
        <v>95</v>
      </c>
      <c r="D2261" t="s">
        <v>13</v>
      </c>
      <c r="E2261" s="8" t="s">
        <v>91</v>
      </c>
      <c r="F2261" t="s">
        <v>84</v>
      </c>
      <c r="G2261" s="8" t="s">
        <v>91</v>
      </c>
      <c r="H2261" t="s">
        <v>719</v>
      </c>
      <c r="I2261" t="e">
        <f>VLOOKUP(Tabela2[[#This Row],[Coluna7]],[1]!Tabela1[#All],2,0)</f>
        <v>#REF!</v>
      </c>
      <c r="J2261" t="s">
        <v>729</v>
      </c>
      <c r="L2261">
        <v>26.5</v>
      </c>
      <c r="Q2261" s="10" t="str">
        <f>Tabela2[[#This Row],[Coluna5]]</f>
        <v>01/2026</v>
      </c>
      <c r="R2261" s="10" t="str">
        <f>IF(Tabela2[[#This Row],[Coluna9]]&gt;0,"Entrada","Saída")</f>
        <v>Saída</v>
      </c>
      <c r="S2261" s="10" t="str">
        <f>Tabela2[[#This Row],[Coluna8]]</f>
        <v>BRINDE</v>
      </c>
      <c r="T2261" s="10" t="e">
        <f>Tabela2[[#This Row],[Coluna72]]</f>
        <v>#REF!</v>
      </c>
      <c r="U2261" s="10">
        <f>SUM(Tabela2[[#This Row],[Coluna9]],Tabela2[[#This Row],[Coluna10]])</f>
        <v>26.5</v>
      </c>
      <c r="V2261" s="2" t="str">
        <f>Tabela2[[#This Row],[Coluna4]]</f>
        <v>20/01/2026</v>
      </c>
      <c r="W2261" s="2" t="str">
        <f>Tabela2[[#This Row],[Coluna6]]</f>
        <v>20/01/2026</v>
      </c>
    </row>
    <row r="2262" spans="2:23" x14ac:dyDescent="0.2">
      <c r="B2262" t="s">
        <v>748</v>
      </c>
      <c r="C2262" t="s">
        <v>95</v>
      </c>
      <c r="D2262" t="s">
        <v>13</v>
      </c>
      <c r="E2262" s="8" t="s">
        <v>358</v>
      </c>
      <c r="F2262" t="s">
        <v>84</v>
      </c>
      <c r="G2262" s="8" t="s">
        <v>358</v>
      </c>
      <c r="H2262" t="s">
        <v>719</v>
      </c>
      <c r="I2262" t="e">
        <f>VLOOKUP(Tabela2[[#This Row],[Coluna7]],[1]!Tabela1[#All],2,0)</f>
        <v>#REF!</v>
      </c>
      <c r="J2262" t="s">
        <v>729</v>
      </c>
      <c r="L2262">
        <v>13</v>
      </c>
      <c r="Q2262" s="10" t="str">
        <f>Tabela2[[#This Row],[Coluna5]]</f>
        <v>01/2026</v>
      </c>
      <c r="R2262" s="10" t="str">
        <f>IF(Tabela2[[#This Row],[Coluna9]]&gt;0,"Entrada","Saída")</f>
        <v>Saída</v>
      </c>
      <c r="S2262" s="10" t="str">
        <f>Tabela2[[#This Row],[Coluna8]]</f>
        <v>BRINDE</v>
      </c>
      <c r="T2262" s="10" t="e">
        <f>Tabela2[[#This Row],[Coluna72]]</f>
        <v>#REF!</v>
      </c>
      <c r="U2262" s="10">
        <f>SUM(Tabela2[[#This Row],[Coluna9]],Tabela2[[#This Row],[Coluna10]])</f>
        <v>13</v>
      </c>
      <c r="V2262" s="2" t="str">
        <f>Tabela2[[#This Row],[Coluna4]]</f>
        <v>27/01/2026</v>
      </c>
      <c r="W2262" s="2" t="str">
        <f>Tabela2[[#This Row],[Coluna6]]</f>
        <v>27/01/2026</v>
      </c>
    </row>
    <row r="2263" spans="2:23" x14ac:dyDescent="0.2">
      <c r="B2263" t="s">
        <v>18</v>
      </c>
      <c r="C2263" t="s">
        <v>95</v>
      </c>
      <c r="D2263" t="s">
        <v>13</v>
      </c>
      <c r="E2263" s="8" t="s">
        <v>834</v>
      </c>
      <c r="F2263" t="s">
        <v>750</v>
      </c>
      <c r="G2263" s="8" t="s">
        <v>834</v>
      </c>
      <c r="H2263" t="s">
        <v>719</v>
      </c>
      <c r="I2263" t="e">
        <f>VLOOKUP(Tabela2[[#This Row],[Coluna7]],[1]!Tabela1[#All],2,0)</f>
        <v>#REF!</v>
      </c>
      <c r="J2263" t="s">
        <v>930</v>
      </c>
      <c r="L2263">
        <v>100</v>
      </c>
      <c r="Q2263" s="10" t="str">
        <f>Tabela2[[#This Row],[Coluna5]]</f>
        <v>02/2026</v>
      </c>
      <c r="R2263" s="10" t="str">
        <f>IF(Tabela2[[#This Row],[Coluna9]]&gt;0,"Entrada","Saída")</f>
        <v>Saída</v>
      </c>
      <c r="S2263" s="10" t="str">
        <f>Tabela2[[#This Row],[Coluna8]]</f>
        <v>PATROCINIO MARACATU - JADILSON PEREIRA</v>
      </c>
      <c r="T2263" s="10" t="e">
        <f>Tabela2[[#This Row],[Coluna72]]</f>
        <v>#REF!</v>
      </c>
      <c r="U2263" s="10">
        <f>SUM(Tabela2[[#This Row],[Coluna9]],Tabela2[[#This Row],[Coluna10]])</f>
        <v>100</v>
      </c>
      <c r="V2263" s="2" t="str">
        <f>Tabela2[[#This Row],[Coluna4]]</f>
        <v>10/02/2026</v>
      </c>
      <c r="W2263" s="2" t="str">
        <f>Tabela2[[#This Row],[Coluna6]]</f>
        <v>10/02/2026</v>
      </c>
    </row>
    <row r="2264" spans="2:23" x14ac:dyDescent="0.2">
      <c r="B2264" t="s">
        <v>748</v>
      </c>
      <c r="C2264" t="s">
        <v>95</v>
      </c>
      <c r="D2264" t="s">
        <v>13</v>
      </c>
      <c r="E2264" s="8" t="s">
        <v>839</v>
      </c>
      <c r="F2264" t="s">
        <v>750</v>
      </c>
      <c r="G2264" s="8" t="s">
        <v>839</v>
      </c>
      <c r="H2264" t="s">
        <v>719</v>
      </c>
      <c r="I2264" t="e">
        <f>VLOOKUP(Tabela2[[#This Row],[Coluna7]],[1]!Tabela1[#All],2,0)</f>
        <v>#REF!</v>
      </c>
      <c r="J2264" t="s">
        <v>931</v>
      </c>
      <c r="L2264">
        <v>1050</v>
      </c>
      <c r="Q2264" s="10" t="str">
        <f>Tabela2[[#This Row],[Coluna5]]</f>
        <v>02/2026</v>
      </c>
      <c r="R2264" s="10" t="str">
        <f>IF(Tabela2[[#This Row],[Coluna9]]&gt;0,"Entrada","Saída")</f>
        <v>Saída</v>
      </c>
      <c r="S2264" s="10" t="str">
        <f>Tabela2[[#This Row],[Coluna8]]</f>
        <v>BONES PERSONALIZADOS</v>
      </c>
      <c r="T2264" s="10" t="e">
        <f>Tabela2[[#This Row],[Coluna72]]</f>
        <v>#REF!</v>
      </c>
      <c r="U2264" s="10">
        <f>SUM(Tabela2[[#This Row],[Coluna9]],Tabela2[[#This Row],[Coluna10]])</f>
        <v>1050</v>
      </c>
      <c r="V2264" s="2" t="str">
        <f>Tabela2[[#This Row],[Coluna4]]</f>
        <v>12/02/2026</v>
      </c>
      <c r="W2264" s="2" t="str">
        <f>Tabela2[[#This Row],[Coluna6]]</f>
        <v>12/02/2026</v>
      </c>
    </row>
    <row r="2265" spans="2:23" x14ac:dyDescent="0.2">
      <c r="B2265" t="s">
        <v>18</v>
      </c>
      <c r="C2265" t="s">
        <v>95</v>
      </c>
      <c r="D2265" t="s">
        <v>13</v>
      </c>
      <c r="E2265" s="8" t="s">
        <v>346</v>
      </c>
      <c r="F2265" t="s">
        <v>84</v>
      </c>
      <c r="G2265" s="8" t="s">
        <v>94</v>
      </c>
      <c r="H2265" t="s">
        <v>730</v>
      </c>
      <c r="I2265" t="e">
        <f>VLOOKUP(Tabela2[[#This Row],[Coluna7]],[1]!Tabela1[#All],2,0)</f>
        <v>#REF!</v>
      </c>
      <c r="J2265" t="s">
        <v>731</v>
      </c>
      <c r="L2265">
        <v>1000</v>
      </c>
      <c r="Q2265" s="10" t="str">
        <f>Tabela2[[#This Row],[Coluna5]]</f>
        <v>01/2026</v>
      </c>
      <c r="R2265" s="10" t="str">
        <f>IF(Tabela2[[#This Row],[Coluna9]]&gt;0,"Entrada","Saída")</f>
        <v>Saída</v>
      </c>
      <c r="S2265" s="10" t="str">
        <f>Tabela2[[#This Row],[Coluna8]]</f>
        <v>MARCOS URQUIZA HERCULANO</v>
      </c>
      <c r="T2265" s="10" t="e">
        <f>Tabela2[[#This Row],[Coluna72]]</f>
        <v>#REF!</v>
      </c>
      <c r="U2265" s="10">
        <f>SUM(Tabela2[[#This Row],[Coluna9]],Tabela2[[#This Row],[Coluna10]])</f>
        <v>1000</v>
      </c>
      <c r="V2265" s="2" t="str">
        <f>Tabela2[[#This Row],[Coluna4]]</f>
        <v>12/01/2026</v>
      </c>
      <c r="W2265" s="2" t="str">
        <f>Tabela2[[#This Row],[Coluna6]]</f>
        <v>29/01/2026</v>
      </c>
    </row>
    <row r="2266" spans="2:23" x14ac:dyDescent="0.2">
      <c r="B2266" t="s">
        <v>748</v>
      </c>
      <c r="C2266" t="s">
        <v>95</v>
      </c>
      <c r="D2266" t="s">
        <v>13</v>
      </c>
      <c r="E2266" s="8" t="s">
        <v>755</v>
      </c>
      <c r="F2266" t="s">
        <v>750</v>
      </c>
      <c r="G2266" s="8" t="s">
        <v>755</v>
      </c>
      <c r="H2266" t="s">
        <v>730</v>
      </c>
      <c r="I2266" t="e">
        <f>VLOOKUP(Tabela2[[#This Row],[Coluna7]],[1]!Tabela1[#All],2,0)</f>
        <v>#REF!</v>
      </c>
      <c r="J2266" t="s">
        <v>932</v>
      </c>
      <c r="L2266">
        <v>330</v>
      </c>
      <c r="Q2266" s="10" t="str">
        <f>Tabela2[[#This Row],[Coluna5]]</f>
        <v>02/2026</v>
      </c>
      <c r="R2266" s="10" t="str">
        <f>IF(Tabela2[[#This Row],[Coluna9]]&gt;0,"Entrada","Saída")</f>
        <v>Saída</v>
      </c>
      <c r="S2266" s="10" t="str">
        <f>Tabela2[[#This Row],[Coluna8]]</f>
        <v>MARIA ASSUNÇÃO</v>
      </c>
      <c r="T2266" s="10" t="e">
        <f>Tabela2[[#This Row],[Coluna72]]</f>
        <v>#REF!</v>
      </c>
      <c r="U2266" s="10">
        <f>SUM(Tabela2[[#This Row],[Coluna9]],Tabela2[[#This Row],[Coluna10]])</f>
        <v>330</v>
      </c>
      <c r="V2266" s="2" t="str">
        <f>Tabela2[[#This Row],[Coluna4]]</f>
        <v>18/02/2026</v>
      </c>
      <c r="W2266" s="2" t="str">
        <f>Tabela2[[#This Row],[Coluna6]]</f>
        <v>18/02/2026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Advbox-2026-02-05_0955989</dc:title>
  <dc:subject>Spreadsheet export</dc:subject>
  <dc:creator>Maatwebsite</dc:creator>
  <cp:keywords>maatwebsite, excel, export</cp:keywords>
  <dc:description>Default spreadsheet export</dc:description>
  <cp:lastModifiedBy>Thamiris Serpa</cp:lastModifiedBy>
  <dcterms:created xsi:type="dcterms:W3CDTF">2026-02-05T15:28:06Z</dcterms:created>
  <dcterms:modified xsi:type="dcterms:W3CDTF">2026-03-23T19:39:09Z</dcterms:modified>
  <cp:category>Excel</cp:category>
</cp:coreProperties>
</file>